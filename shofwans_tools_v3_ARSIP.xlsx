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7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monitor" sheetId="2" state="visible" r:id="rId2"/>
    <sheet xmlns:r="http://schemas.openxmlformats.org/officeDocument/2006/relationships" name="INT" sheetId="3" state="visible" r:id="rId3"/>
    <sheet xmlns:r="http://schemas.openxmlformats.org/officeDocument/2006/relationships" name="ROH" sheetId="4" state="visible" r:id="rId4"/>
    <sheet xmlns:r="http://schemas.openxmlformats.org/officeDocument/2006/relationships" name="RT" sheetId="5" state="visible" r:id="rId5"/>
    <sheet xmlns:r="http://schemas.openxmlformats.org/officeDocument/2006/relationships" name="catatan" sheetId="6" state="visible" r:id="rId6"/>
    <sheet xmlns:r="http://schemas.openxmlformats.org/officeDocument/2006/relationships" name="FODER" sheetId="7" state="visible" r:id="rId7"/>
    <sheet xmlns:r="http://schemas.openxmlformats.org/officeDocument/2006/relationships" name="Sheet1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b val="1"/>
      <color rgb="FFFF0000"/>
      <sz val="12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ptos Narrow"/>
      <family val="2"/>
      <b val="1"/>
      <color rgb="FFFF000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50">
    <xf numFmtId="0" fontId="0" fillId="0" borderId="0" pivotButton="0" quotePrefix="0" xfId="0"/>
    <xf numFmtId="2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  <xf numFmtId="0" fontId="0" fillId="3" borderId="0" pivotButton="0" quotePrefix="0" xfId="0"/>
    <xf numFmtId="9" fontId="0" fillId="0" borderId="0" pivotButton="0" quotePrefix="0" xfId="1"/>
    <xf numFmtId="164" fontId="0" fillId="0" borderId="0" pivotButton="0" quotePrefix="0" xfId="0"/>
    <xf numFmtId="2" fontId="0" fillId="2" borderId="0" pivotButton="0" quotePrefix="0" xfId="0"/>
    <xf numFmtId="0" fontId="3" fillId="4" borderId="1" applyAlignment="1" pivotButton="0" quotePrefix="0" xfId="0">
      <alignment horizontal="center"/>
    </xf>
    <xf numFmtId="0" fontId="5" fillId="4" borderId="3" applyAlignment="1" pivotButton="0" quotePrefix="0" xfId="0">
      <alignment horizontal="center"/>
    </xf>
    <xf numFmtId="0" fontId="3" fillId="4" borderId="4" applyAlignment="1" pivotButton="0" quotePrefix="0" xfId="0">
      <alignment horizontal="center" vertical="center"/>
    </xf>
    <xf numFmtId="2" fontId="6" fillId="7" borderId="6" applyAlignment="1" pivotButton="0" quotePrefix="0" xfId="0">
      <alignment horizontal="center" vertical="center"/>
    </xf>
    <xf numFmtId="2" fontId="6" fillId="7" borderId="7" applyAlignment="1" pivotButton="0" quotePrefix="0" xfId="0">
      <alignment horizontal="center" vertical="center"/>
    </xf>
    <xf numFmtId="0" fontId="3" fillId="4" borderId="8" applyAlignment="1" pivotButton="0" quotePrefix="0" xfId="0">
      <alignment horizontal="center" vertical="center"/>
    </xf>
    <xf numFmtId="2" fontId="6" fillId="7" borderId="10" applyAlignment="1" pivotButton="0" quotePrefix="0" xfId="0">
      <alignment horizontal="center" vertical="center"/>
    </xf>
    <xf numFmtId="2" fontId="6" fillId="7" borderId="11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2" fontId="3" fillId="4" borderId="13" applyAlignment="1" pivotButton="0" quotePrefix="0" xfId="0">
      <alignment horizontal="center" vertical="center"/>
    </xf>
    <xf numFmtId="2" fontId="3" fillId="4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6" borderId="0" pivotButton="0" quotePrefix="0" xfId="0"/>
    <xf numFmtId="20" fontId="0" fillId="0" borderId="0" pivotButton="0" quotePrefix="0" xfId="0"/>
    <xf numFmtId="0" fontId="0" fillId="0" borderId="0" pivotButton="0" quotePrefix="1" xfId="0"/>
    <xf numFmtId="16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1" xfId="0">
      <alignment horizontal="right"/>
    </xf>
    <xf numFmtId="0" fontId="8" fillId="0" borderId="0" pivotButton="0" quotePrefix="0" xfId="0"/>
    <xf numFmtId="0" fontId="0" fillId="4" borderId="0" pivotButton="0" quotePrefix="0" xfId="0"/>
    <xf numFmtId="2" fontId="0" fillId="4" borderId="0" pivotButton="0" quotePrefix="0" xfId="0"/>
    <xf numFmtId="9" fontId="0" fillId="4" borderId="0" pivotButton="0" quotePrefix="0" xfId="1"/>
    <xf numFmtId="164" fontId="0" fillId="4" borderId="0" pivotButton="0" quotePrefix="0" xfId="0"/>
    <xf numFmtId="9" fontId="0" fillId="0" borderId="0" pivotButton="0" quotePrefix="0" xfId="0"/>
    <xf numFmtId="9" fontId="0" fillId="4" borderId="0" pivotButton="0" quotePrefix="0" xfId="0"/>
    <xf numFmtId="0" fontId="0" fillId="4" borderId="0" pivotButton="0" quotePrefix="1" xfId="0"/>
    <xf numFmtId="2" fontId="5" fillId="4" borderId="3" applyAlignment="1" pivotButton="0" quotePrefix="0" xfId="0">
      <alignment horizontal="center"/>
    </xf>
    <xf numFmtId="0" fontId="0" fillId="0" borderId="2" pivotButton="0" quotePrefix="0" xfId="0"/>
    <xf numFmtId="2" fontId="3" fillId="4" borderId="17" applyAlignment="1" pivotButton="0" quotePrefix="0" xfId="0">
      <alignment horizontal="center" vertical="center"/>
    </xf>
    <xf numFmtId="0" fontId="0" fillId="0" borderId="9" pivotButton="0" quotePrefix="0" xfId="0"/>
    <xf numFmtId="2" fontId="5" fillId="4" borderId="18" applyAlignment="1" pivotButton="0" quotePrefix="0" xfId="0">
      <alignment horizontal="center"/>
    </xf>
    <xf numFmtId="0" fontId="0" fillId="0" borderId="15" pivotButton="0" quotePrefix="0" xfId="0"/>
    <xf numFmtId="2" fontId="3" fillId="4" borderId="8" applyAlignment="1" pivotButton="0" quotePrefix="0" xfId="0">
      <alignment horizontal="center" vertical="center"/>
    </xf>
    <xf numFmtId="0" fontId="0" fillId="0" borderId="12" pivotButton="0" quotePrefix="0" xfId="0"/>
    <xf numFmtId="2" fontId="3" fillId="4" borderId="16" applyAlignment="1" pivotButton="0" quotePrefix="0" xfId="0">
      <alignment horizontal="center" vertical="center"/>
    </xf>
    <xf numFmtId="0" fontId="0" fillId="0" borderId="5" pivotButton="0" quotePrefix="0" xfId="0"/>
    <xf numFmtId="2" fontId="5" fillId="4" borderId="2" applyAlignment="1" pivotButton="0" quotePrefix="0" xfId="0">
      <alignment horizontal="center"/>
    </xf>
    <xf numFmtId="0" fontId="5" fillId="4" borderId="18" applyAlignment="1" pivotButton="0" quotePrefix="0" xfId="0">
      <alignment horizontal="center"/>
    </xf>
    <xf numFmtId="0" fontId="4" fillId="2" borderId="3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0" fontId="4" fillId="5" borderId="3" applyAlignment="1" pivotButton="0" quotePrefix="0" xfId="0">
      <alignment horizontal="center"/>
    </xf>
    <xf numFmtId="0" fontId="4" fillId="7" borderId="2" applyAlignment="1" pivotButton="0" quotePrefix="0" xfId="0">
      <alignment horizontal="center"/>
    </xf>
  </cellXfs>
  <cellStyles count="3">
    <cellStyle name="Normal" xfId="0" builtinId="0"/>
    <cellStyle name="Percent" xfId="1" builtinId="5"/>
    <cellStyle name="Normal - Style1 2" xfId="2"/>
  </cellStyles>
  <dxfs count="42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PLN</author>
  </authors>
  <commentList>
    <comment ref="Y7" authorId="0" shapeId="0">
      <text>
        <t>PLN:
Sumber: sheet ROH baris 176 (PLTU ADIPALA #1), 48 nilai kolom C:AX. Nama di A7 ("PLTU ADPLA #1") berbeda dengan di ROH, jadi kunci pencarian ditulis eksplisit. Formula lama: =AVERAGE(OFFSET('[LS_02092026_beban.xlsx]ROH-009B-Awal'!$J$6:$BE$512,MATCH(A7,$C$132:$C$561,0),0,1,48))/615</t>
      </text>
    </comment>
    <comment ref="X18" authorId="0" shapeId="0">
      <text>
        <t>PLN:
Nama unit di Kit_PU tertulis "PLTU TJ AWAR2 #1/#2", berbeda dari label A18:A19 ("PLTU TAWAR"), sehingga MATCH ke A18/A19 menghasilkan #N/A.</t>
      </text>
    </comment>
    <comment ref="Y18" authorId="0" shapeId="0">
      <text>
        <t>PLN:
Nama unit di daftar ROH (C132:C560) berbeda dari label A18:A19 yang kini memakai penamaan Kit_PU, jadi nama versi ROH ditulis langsung di sini.</t>
      </text>
    </comment>
    <comment ref="X24" authorId="0" shapeId="0">
      <text>
        <t>PLN:
Di Kit_PU unit tertulis "PLTU Jawa Power #5/#6", beda dari label A24:A25 ("PLTU JP"), jadi nama ditulis langsung.</t>
      </text>
    </comment>
    <comment ref="Y24" authorId="0" shapeId="0">
      <text>
        <t>PLN:
Nama versi ROH ("PLTU JP #5/#6") ditulis langsung; label A24:A25 memakai penamaan Kit_PU.</t>
      </text>
    </comment>
    <comment ref="X28" authorId="0" shapeId="0">
      <text>
        <t>PLN:
Formula Y28 di sebelahnya masih menunjuk A12:A13 (TJATIBJP), bukan A28:A29 (JAWA 7) — kemungkinan sisa copy. X28 sudah pakai A28:A29.</t>
      </text>
    </comment>
    <comment ref="Y28" authorId="0" shapeId="0">
      <text>
        <t>PLN:
Sebelumnya formula ini merujuk A12:A13 (TJATIBJP) — sisa copy; diperbaiki ke A28:A29 (JAWA 7 #1/#2).</t>
      </text>
    </comment>
    <comment ref="Z28" authorId="0" shapeId="0">
      <text>
        <t>PLN:
Sebelumnya mewarisi rujukan salah A12:A13 dari Y28; diperbaiki ke A28:A29 (JAWA 7 #1/#2).</t>
      </text>
    </comment>
    <comment ref="X30" authorId="0" shapeId="0">
      <text>
        <t>PLN:
Di Kit_PU tertulis "PLTU PAITON #9", beda dari label A30 ("PLTU PITON #9").</t>
      </text>
    </comment>
    <comment ref="Y30" authorId="0" shapeId="0">
      <text>
        <t>PLN:
Nama versi ROH ("PLTU PITON #9") ditulis langsung; label A30 memakai penamaan Kit_PU.</t>
      </text>
    </comment>
    <comment ref="X32" authorId="0" shapeId="0">
      <text>
        <t>PLN:
Di Kit_PU tertulis "PLTU PACITAN #1/#2", beda dari label A32:A33 ("PLTU PCTAN").</t>
      </text>
    </comment>
    <comment ref="Y32" authorId="0" shapeId="0">
      <text>
        <t>PLN:
Nama versi ROH ("PLTU PCTAN #1/#2") ditulis langsung; label A32:A33 memakai penamaan Kit_PU.</t>
      </text>
    </comment>
    <comment ref="A34" authorId="0" shapeId="0">
      <text>
        <t>PLN:
Unit ini di daftar ROH bernama "PLTU CRBON #2" (C308); di Kit_PU bernama "PLTU CEPR #1" (Cirebon Energi Prasarana), beban rata-rata ~848 MW dari kapasitas 924 MW.</t>
      </text>
    </comment>
    <comment ref="X34" authorId="0" shapeId="0">
      <text>
        <t>PLN:
Kit_PU hanya punya satu unit Cirebon: "PLTU IPP CIREBON #1". Label A34 adalah "PLTU CRBON #2" — perlu dikonfirmasi apakah keduanya unit yang sama.</t>
      </text>
    </comment>
    <comment ref="Y34" authorId="0" shapeId="0">
      <text>
        <t>PLN:
Nama versi ROH ("PLTU CRBON #2", lihat C308) ditulis langsung; label A34 memakai penamaan Kit_PU.</t>
      </text>
    </comment>
    <comment ref="X35" authorId="0" shapeId="0">
      <text>
        <t>PLN:
Kit_PU hanya punya satu unit Cirebon, "PLTU IPP CIREBON #1", dengan beban rata-rata ~652 MW — cocok dengan kapasitas 660 MW (Cirebon #1), bukan 924 MW (Cirebon #2).</t>
      </text>
    </comment>
    <comment ref="Y35" authorId="0" shapeId="0">
      <text>
        <t>PLN:
Nama versi ROH ("PLTU CRBON #1") ditulis langsung; label A35 memakai penamaan Kit_PU.</t>
      </text>
    </comment>
    <comment ref="X39" authorId="0" shapeId="0">
      <text>
        <t>PLN:
DMN 323 MW per unit × 3 unit (PRATU #1–#3), sesuai keterangan pengguna.</t>
      </text>
    </comment>
    <comment ref="Y39" authorId="0" shapeId="0">
      <text>
        <t>PLN:
DMN 323 MW per unit × 3 unit (PRATU #1–#3), sesuai keterangan pengguna.</t>
      </text>
    </comment>
    <comment ref="A42" authorId="0" shapeId="0">
      <text>
        <t>PLN:
Di daftar ROH (C142) unit ini bernama "PLTU SLAYA #8"; di Kit_PU bernama "PLTU SRLYA #8".</t>
      </text>
    </comment>
    <comment ref="X42" authorId="0" shapeId="0">
      <text>
        <t>PLN:
DMN 540 MW, sesuai keterangan pengguna.</t>
      </text>
    </comment>
    <comment ref="Y42" authorId="0" shapeId="0">
      <text>
        <t>PLN:
Nama versi ROH ("PLTU SLAYA #8") ditulis langsung; label A42 memakai penamaan Kit_PU. DMN 540 MW.</t>
      </text>
    </comment>
    <comment ref="X43" authorId="0" shapeId="0">
      <text>
        <t>PLN:
Gabungan 4 unit Suralaya #1–#4 (di Kit_PU bernama "PLTU SRLYA #1–#4", di ROH "PLTU SLAYA #1–#4"). Nama ditulis langsung karena label A43 ("Suralaya 1-4") adalah nama grup. DMN 371,5 MW per unit × 4 unit, sesuai keterangan pengguna.</t>
      </text>
    </comment>
    <comment ref="Y43" authorId="0" shapeId="0">
      <text>
        <t>PLN:
Gabungan 4 unit versi ROH ("PLTU SLAYA #1–#4", C134:C137). DMN 371,5 MW per unit × 4 unit.</t>
      </text>
    </comment>
    <comment ref="A44" authorId="0" shapeId="0">
      <text>
        <t>PLN:
Di daftar ROH unit ini bernama "PLTU RMBNG #1"; di Kit_PU bernama "PLTU REMBANG #10".</t>
      </text>
    </comment>
    <comment ref="X44" authorId="0" shapeId="0">
      <text>
        <t>PLN:
DMN 280 MW per unit × 2 unit, sesuai keterangan pengguna.</t>
      </text>
    </comment>
    <comment ref="Y44" authorId="0" shapeId="0">
      <text>
        <t>PLN:
Nama versi ROH ("PLTU RMBNG #1/#2") ditulis langsung; label A44:A45 memakai penamaan Kit_PU. DMN 280 MW per unit.</t>
      </text>
    </comment>
    <comment ref="A45" authorId="0" shapeId="0">
      <text>
        <t>PLN:
Di daftar ROH unit ini bernama "PLTU RMBNG #2"; di Kit_PU bernama "PLTU REMBANG #20".</t>
      </text>
    </comment>
    <comment ref="A48" authorId="0" shapeId="0">
      <text>
        <t>PLN:
Di daftar ROH unit ini bernama "PLTU IDMYU #1"; di Kit_PU bernama "PLTU INDRAMAYU #1".</t>
      </text>
    </comment>
    <comment ref="X48" authorId="0" shapeId="0">
      <text>
        <t>PLN:
DMN 290 MW per unit × 3 unit (INDRAMAYU #1–#3), sesuai keterangan pengguna.</t>
      </text>
    </comment>
    <comment ref="Y48" authorId="0" shapeId="0">
      <text>
        <t>PLN:
Nama versi ROH ("PLTU IDMYU #1–#3") ditulis langsung; label A48:A50 memakai penamaan Kit_PU. DMN 290 MW per unit.</t>
      </text>
    </comment>
    <comment ref="A49" authorId="0" shapeId="0">
      <text>
        <t>PLN:
Di daftar ROH unit ini bernama "PLTU IDMYU #2"; di Kit_PU bernama "PLTU INDRAMAYU #2".</t>
      </text>
    </comment>
    <comment ref="A50" authorId="0" shapeId="0">
      <text>
        <t>PLN:
Di daftar ROH unit ini bernama "PLTU IDMYU #3"; di Kit_PU bernama "PLTU INDRAMAYU #3".</t>
      </text>
    </comment>
    <comment ref="X51" authorId="0" shapeId="0">
      <text>
        <t>PLN:
Gabungan 2 unit Labuan (di Kit_PU "PLTU LABUAN #1/#2", di ROH "PLTU LBUAN #1/#2"). Nama ditulis langsung karena label A51 ("Labuan") adalah nama grup. DMN 280 MW per unit × 2 unit, sesuai keterangan pengguna.</t>
      </text>
    </comment>
    <comment ref="Y51" authorId="0" shapeId="0">
      <text>
        <t>PLN:
Gabungan 2 unit versi ROH ("PLTU LBUAN #1/#2"). DMN 280 MW per unit × 2 unit.</t>
      </text>
    </comment>
    <comment ref="X52" authorId="0" shapeId="0">
      <text>
        <t>PLN:
Gabungan 4 unit Lontar (Kit_PU "PLTU LONTAR #1–#4", ROH "PLTU LNTAR #1–#4"). Nama ditulis langsung karena label A52 ("Lontar") adalah nama grup. DMN: #1–#3 280 MW, #4 293 MW → total 1.133 MW, sesuai keterangan pengguna.</t>
      </text>
    </comment>
    <comment ref="Y52" authorId="0" shapeId="0">
      <text>
        <t>PLN:
Gabungan 4 unit versi ROH ("PLTU LNTAR #1–#4"). DMN: #1–#3 280 MW, #4 293 MW → total 1.133 MW.</t>
      </text>
    </comment>
    <comment ref="C68" authorId="0" shapeId="0">
      <text>
        <t>PLN:
Pengganti SUMIFS: nilai di C71:C127 bertipe teks sehingga SUMIFS menghasilkan 0. VALUE mengkonversi, IFERROR mengabaikan baris yang B-nya #N/A. Formula lama: =SUMIFS(C71:C127,$B$71:$B$127,1)</t>
      </text>
    </comment>
    <comment ref="C71" authorId="0" shapeId="0">
      <text>
        <t>PLN:
Formula lama (backup): =INDEX($L$131:$BH$679,MATCH(A71,$C$131:$C$679,0),MATCH($C$70,$L$130:$BH$130))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73"/>
  <sheetViews>
    <sheetView zoomScale="55" zoomScaleNormal="55" workbookViewId="0">
      <pane ySplit="1068" topLeftCell="A57" activePane="bottomLeft" state="split"/>
      <selection activeCell="W1" sqref="W1"/>
      <selection pane="bottomLeft" activeCell="C71" sqref="C71"/>
    </sheetView>
  </sheetViews>
  <sheetFormatPr baseColWidth="8" defaultRowHeight="14.4"/>
  <cols>
    <col width="17.77734375" bestFit="1" customWidth="1" min="1" max="1"/>
    <col width="5.88671875" bestFit="1" customWidth="1" min="2" max="2"/>
    <col width="9.21875" customWidth="1" min="3" max="10"/>
    <col width="6.109375" customWidth="1" min="11" max="11"/>
    <col width="11.44140625" customWidth="1" min="25" max="25"/>
    <col width="9.21875" customWidth="1" min="26" max="26"/>
    <col width="15.44140625" customWidth="1" min="28" max="28"/>
    <col width="12.33203125" customWidth="1" min="29" max="29"/>
    <col width="4.33203125" customWidth="1" min="33" max="33"/>
  </cols>
  <sheetData>
    <row r="1" ht="16.2" customHeight="1" thickBot="1">
      <c r="A1" s="4" t="inlineStr">
        <is>
          <t>ROH_INT</t>
        </is>
      </c>
      <c r="C1">
        <f t="array" ref="C1:V1">OFFSET(INDIRECT($A$137&amp;"!$C$1:$AX$1"),0,$X$1,1,20)</f>
        <v/>
      </c>
      <c r="D1">
        <f/>
        <v/>
      </c>
      <c r="E1">
        <f/>
        <v/>
      </c>
      <c r="F1">
        <f/>
        <v/>
      </c>
      <c r="G1">
        <f/>
        <v/>
      </c>
      <c r="H1">
        <f/>
        <v/>
      </c>
      <c r="I1">
        <f/>
        <v/>
      </c>
      <c r="J1">
        <f/>
        <v/>
      </c>
      <c r="K1">
        <f/>
        <v/>
      </c>
      <c r="L1">
        <f/>
        <v/>
      </c>
      <c r="M1">
        <f/>
        <v/>
      </c>
      <c r="N1">
        <f/>
        <v/>
      </c>
      <c r="O1">
        <f/>
        <v/>
      </c>
      <c r="P1">
        <f/>
        <v/>
      </c>
      <c r="Q1">
        <f/>
        <v/>
      </c>
      <c r="R1">
        <f/>
        <v/>
      </c>
      <c r="S1">
        <f/>
        <v/>
      </c>
      <c r="T1">
        <f/>
        <v/>
      </c>
      <c r="U1">
        <f/>
        <v/>
      </c>
      <c r="V1">
        <f/>
        <v/>
      </c>
      <c r="W1" s="2" t="inlineStr">
        <is>
          <t>SIANG</t>
        </is>
      </c>
      <c r="X1">
        <f>IF(W1="PAGI",14,IF(W1="SIANG",28,IF(W1="MALAM2",28,0)))</f>
        <v/>
      </c>
      <c r="Y1" t="inlineStr">
        <is>
          <t>stiffness Mw/Hz</t>
        </is>
      </c>
      <c r="Z1" s="20" t="n">
        <v>1800</v>
      </c>
      <c r="AA1" t="n">
        <v>0.07000000000000001</v>
      </c>
      <c r="AB1" s="2">
        <f>Z1*AA1</f>
        <v/>
      </c>
      <c r="AC1" s="2">
        <f>AB1*2</f>
        <v/>
      </c>
      <c r="AD1">
        <f>50.08</f>
        <v/>
      </c>
      <c r="AE1" t="n">
        <v>0.16</v>
      </c>
      <c r="AH1" s="8" t="n"/>
      <c r="AI1" s="46" t="inlineStr">
        <is>
          <t>SAGULING</t>
        </is>
      </c>
      <c r="AJ1" s="35" t="n"/>
      <c r="AK1" s="48" t="inlineStr">
        <is>
          <t xml:space="preserve">CIRATA </t>
        </is>
      </c>
      <c r="AL1" s="35" t="n"/>
      <c r="AM1" s="47" t="inlineStr">
        <is>
          <t>JATILUHUR</t>
        </is>
      </c>
      <c r="AN1" s="35" t="n"/>
      <c r="AO1" s="49" t="inlineStr">
        <is>
          <t>MRICA</t>
        </is>
      </c>
      <c r="AP1" s="35" t="n"/>
    </row>
    <row r="2" ht="16.2" customHeight="1" thickBot="1">
      <c r="A2" t="inlineStr">
        <is>
          <t>Load Sistem</t>
        </is>
      </c>
      <c r="C2">
        <f t="array" ref="C2:V2">OFFSET(INDIRECT($A$137&amp;"!$C$1:$AX$1"),MATCH("Pembangkitan Total",INDIRECT($A$137&amp;"!$A$1:$A$300"),0)-1,$X$1,1,20)</f>
        <v/>
      </c>
      <c r="D2">
        <f/>
        <v/>
      </c>
      <c r="E2">
        <f/>
        <v/>
      </c>
      <c r="F2">
        <f/>
        <v/>
      </c>
      <c r="G2">
        <f/>
        <v/>
      </c>
      <c r="H2">
        <f/>
        <v/>
      </c>
      <c r="I2">
        <f/>
        <v/>
      </c>
      <c r="J2">
        <f/>
        <v/>
      </c>
      <c r="K2">
        <f/>
        <v/>
      </c>
      <c r="L2">
        <f/>
        <v/>
      </c>
      <c r="M2">
        <f/>
        <v/>
      </c>
      <c r="N2">
        <f/>
        <v/>
      </c>
      <c r="O2">
        <f/>
        <v/>
      </c>
      <c r="P2">
        <f/>
        <v/>
      </c>
      <c r="Q2">
        <f/>
        <v/>
      </c>
      <c r="R2">
        <f/>
        <v/>
      </c>
      <c r="S2">
        <f/>
        <v/>
      </c>
      <c r="T2">
        <f/>
        <v/>
      </c>
      <c r="U2">
        <f/>
        <v/>
      </c>
      <c r="V2">
        <f/>
        <v/>
      </c>
      <c r="AA2" t="n">
        <v>50</v>
      </c>
      <c r="AB2" s="7">
        <f>AA2/Z1</f>
        <v/>
      </c>
      <c r="AC2" s="1" t="n"/>
      <c r="AD2" t="n">
        <v>50</v>
      </c>
      <c r="AE2" s="7">
        <f>AD2-AB2</f>
        <v/>
      </c>
      <c r="AF2" s="7">
        <f>AD2+AB2</f>
        <v/>
      </c>
      <c r="AH2" s="9" t="inlineStr">
        <is>
          <t>MAX</t>
        </is>
      </c>
      <c r="AI2" s="34" t="n">
        <v>643</v>
      </c>
      <c r="AJ2" s="35" t="n"/>
      <c r="AK2" s="34" t="n">
        <v>220</v>
      </c>
      <c r="AL2" s="35" t="n"/>
      <c r="AM2" s="34" t="n">
        <v>107</v>
      </c>
      <c r="AN2" s="35" t="n"/>
      <c r="AO2" s="44" t="n">
        <v>231</v>
      </c>
      <c r="AP2" s="35" t="n"/>
    </row>
    <row r="3" ht="15" customHeight="1">
      <c r="A3" t="inlineStr">
        <is>
          <t>Trend Naik/Turun</t>
        </is>
      </c>
      <c r="D3">
        <f>D2-C2</f>
        <v/>
      </c>
      <c r="E3">
        <f>E2-D2</f>
        <v/>
      </c>
      <c r="F3">
        <f>F2-E2</f>
        <v/>
      </c>
      <c r="G3">
        <f>G2-F2</f>
        <v/>
      </c>
      <c r="H3">
        <f>H2-G2</f>
        <v/>
      </c>
      <c r="I3">
        <f>I2-H2</f>
        <v/>
      </c>
      <c r="J3">
        <f>J2-I2</f>
        <v/>
      </c>
      <c r="K3">
        <f>K2-J2</f>
        <v/>
      </c>
      <c r="L3">
        <f>L2-K2</f>
        <v/>
      </c>
      <c r="M3">
        <f>M2-L2</f>
        <v/>
      </c>
      <c r="N3">
        <f>N2-M2</f>
        <v/>
      </c>
      <c r="O3">
        <f>O2-N2</f>
        <v/>
      </c>
      <c r="P3">
        <f>P2-O2</f>
        <v/>
      </c>
      <c r="Q3">
        <f>Q2-P2</f>
        <v/>
      </c>
      <c r="R3">
        <f>R2-Q2</f>
        <v/>
      </c>
      <c r="S3">
        <f>S2-R2</f>
        <v/>
      </c>
      <c r="T3">
        <f>T2-S2</f>
        <v/>
      </c>
      <c r="U3">
        <f>U2-T2</f>
        <v/>
      </c>
      <c r="V3">
        <f>V2-U2</f>
        <v/>
      </c>
      <c r="AH3" s="10" t="inlineStr">
        <is>
          <t>Basah</t>
        </is>
      </c>
      <c r="AI3" s="42" t="n">
        <v>636.2</v>
      </c>
      <c r="AJ3" s="43" t="n"/>
      <c r="AK3" s="42" t="n">
        <v>213</v>
      </c>
      <c r="AL3" s="43" t="n"/>
      <c r="AM3" s="42" t="n">
        <v>98.3</v>
      </c>
      <c r="AN3" s="43" t="n"/>
      <c r="AO3" s="11" t="inlineStr">
        <is>
          <t>Target</t>
        </is>
      </c>
      <c r="AP3" s="12" t="n">
        <v>227.65</v>
      </c>
    </row>
    <row r="4" ht="15" customHeight="1">
      <c r="A4" t="inlineStr">
        <is>
          <t>SCH Contribute</t>
        </is>
      </c>
      <c r="D4">
        <f>D68-C68</f>
        <v/>
      </c>
      <c r="E4">
        <f>E68-D68</f>
        <v/>
      </c>
      <c r="F4">
        <f>F68-E68</f>
        <v/>
      </c>
      <c r="G4">
        <f>G68-F68</f>
        <v/>
      </c>
      <c r="H4">
        <f>H68-G68</f>
        <v/>
      </c>
      <c r="I4">
        <f>I68-H68</f>
        <v/>
      </c>
      <c r="J4">
        <f>J68-I68</f>
        <v/>
      </c>
      <c r="K4">
        <f>K68-J68</f>
        <v/>
      </c>
      <c r="L4">
        <f>L68-K68</f>
        <v/>
      </c>
      <c r="M4">
        <f>M68-L68</f>
        <v/>
      </c>
      <c r="N4">
        <f>N68-M68</f>
        <v/>
      </c>
      <c r="O4">
        <f>O68-N68</f>
        <v/>
      </c>
      <c r="P4">
        <f>P68-O68</f>
        <v/>
      </c>
      <c r="Q4">
        <f>Q68-P68</f>
        <v/>
      </c>
      <c r="R4">
        <f>R68-Q68</f>
        <v/>
      </c>
      <c r="S4">
        <f>S68-R68</f>
        <v/>
      </c>
      <c r="T4">
        <f>T68-S68</f>
        <v/>
      </c>
      <c r="U4">
        <f>U68-T68</f>
        <v/>
      </c>
      <c r="V4">
        <f>V68-U68</f>
        <v/>
      </c>
      <c r="AH4" s="13" t="inlineStr">
        <is>
          <t xml:space="preserve">Normal </t>
        </is>
      </c>
      <c r="AI4" s="36" t="n">
        <v>632.9</v>
      </c>
      <c r="AJ4" s="37" t="n"/>
      <c r="AK4" s="36" t="n">
        <v>210.4</v>
      </c>
      <c r="AL4" s="37" t="n"/>
      <c r="AM4" s="36" t="n">
        <v>94.90000000000001</v>
      </c>
      <c r="AN4" s="37" t="n"/>
      <c r="AO4" s="14" t="inlineStr">
        <is>
          <t>Now</t>
        </is>
      </c>
      <c r="AP4" s="15" t="n">
        <v>230.26</v>
      </c>
    </row>
    <row r="5" ht="15" customHeight="1">
      <c r="A5" t="inlineStr">
        <is>
          <t>Additional</t>
        </is>
      </c>
      <c r="D5">
        <f>SUM(D7:D67)</f>
        <v/>
      </c>
      <c r="E5">
        <f>SUM(E7:E67)</f>
        <v/>
      </c>
      <c r="F5">
        <f>SUM(F7:F67)</f>
        <v/>
      </c>
      <c r="G5">
        <f>SUM(G7:G67)</f>
        <v/>
      </c>
      <c r="H5">
        <f>SUM(H7:H67)</f>
        <v/>
      </c>
      <c r="I5">
        <f>SUM(I7:I67)</f>
        <v/>
      </c>
      <c r="J5">
        <f>SUM(J7:J67)</f>
        <v/>
      </c>
      <c r="K5">
        <f>SUM(K7:K67)</f>
        <v/>
      </c>
      <c r="L5">
        <f>SUM(L7:L67)</f>
        <v/>
      </c>
      <c r="M5">
        <f>SUM(M7:M67)</f>
        <v/>
      </c>
      <c r="N5">
        <f>SUM(N7:N67)</f>
        <v/>
      </c>
      <c r="O5">
        <f>SUM(O7:O67)</f>
        <v/>
      </c>
      <c r="P5">
        <f>SUM(P7:P67)</f>
        <v/>
      </c>
      <c r="Q5">
        <f>SUM(Q7:Q67)</f>
        <v/>
      </c>
      <c r="R5">
        <f>SUM(R7:R67)</f>
        <v/>
      </c>
      <c r="S5">
        <f>SUM(S7:S67)</f>
        <v/>
      </c>
      <c r="T5">
        <f>SUM(T7:T67)</f>
        <v/>
      </c>
      <c r="U5">
        <f>SUM(U7:U67)</f>
        <v/>
      </c>
      <c r="V5">
        <f>SUM(V7:V67)</f>
        <v/>
      </c>
      <c r="AH5" s="13" t="inlineStr">
        <is>
          <t>Kering</t>
        </is>
      </c>
      <c r="AI5" s="36" t="n">
        <v>627.3</v>
      </c>
      <c r="AJ5" s="37" t="n"/>
      <c r="AK5" s="36" t="n">
        <v>207</v>
      </c>
      <c r="AL5" s="37" t="n"/>
      <c r="AM5" s="36" t="n">
        <v>90.3</v>
      </c>
      <c r="AN5" s="37" t="n"/>
      <c r="AO5" s="14" t="inlineStr">
        <is>
          <t>Inflow</t>
        </is>
      </c>
      <c r="AP5" s="15" t="n">
        <v>82</v>
      </c>
    </row>
    <row r="6" ht="15.6" customHeight="1" thickBot="1">
      <c r="X6" t="inlineStr">
        <is>
          <t>real</t>
        </is>
      </c>
      <c r="Y6" t="inlineStr">
        <is>
          <t>roh</t>
        </is>
      </c>
      <c r="Z6" t="inlineStr">
        <is>
          <t>int</t>
        </is>
      </c>
      <c r="AA6" t="inlineStr">
        <is>
          <t>PR</t>
        </is>
      </c>
      <c r="AH6" s="16" t="inlineStr">
        <is>
          <t>Stop Unit</t>
        </is>
      </c>
      <c r="AI6" s="40" t="n">
        <v>625</v>
      </c>
      <c r="AJ6" s="41" t="n"/>
      <c r="AK6" s="40" t="n">
        <v>206</v>
      </c>
      <c r="AL6" s="41" t="n"/>
      <c r="AM6" s="40" t="n">
        <v>87.5</v>
      </c>
      <c r="AN6" s="41" t="n"/>
      <c r="AO6" s="17" t="n"/>
      <c r="AP6" s="18" t="n"/>
    </row>
    <row r="7" ht="16.2" customHeight="1" thickBot="1">
      <c r="A7" s="27" t="inlineStr">
        <is>
          <t>PLTU ADPLA #1</t>
        </is>
      </c>
      <c r="B7" s="28" t="b">
        <v>0</v>
      </c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9">
        <f>(IFERROR(AVERAGEIF(INDEX(RT!$D$1:$AY$812,MATCH("PLTU ADIPALA #1",RT!$A$1:$A$812,0),0),"&lt;&gt;0"),0))/615</f>
        <v/>
      </c>
      <c r="Y7" s="29">
        <f t="array" ref="Y7">SUMPRODUCT(VALUE(INDEX(ROH!$C$1:$AX$300,MATCH("PLTU ADIPALA #1",ROH!$A$1:$A$300,0),0)))/48/615</f>
        <v/>
      </c>
      <c r="Z7" s="32">
        <f t="array" ref="Z7">(SUMPRODUCT(VALUE(INDEX(INT!$C$1:$AX$300,MATCH("PLTU ADIPALA #1",INT!$A$1:$A$300,0),0)))/48)/615</f>
        <v/>
      </c>
      <c r="AH7" s="9" t="inlineStr">
        <is>
          <t>MIN</t>
        </is>
      </c>
      <c r="AI7" s="38" t="n">
        <v>623</v>
      </c>
      <c r="AJ7" s="39" t="n"/>
      <c r="AK7" s="45" t="n">
        <v>206.07</v>
      </c>
      <c r="AL7" s="39" t="n"/>
      <c r="AM7" s="38" t="n">
        <v>75</v>
      </c>
      <c r="AN7" s="39" t="n"/>
      <c r="AO7" s="44" t="n">
        <v>226</v>
      </c>
      <c r="AP7" s="35" t="n"/>
    </row>
    <row r="8">
      <c r="A8" s="1" t="inlineStr">
        <is>
          <t>PLTU CLCAP #4</t>
        </is>
      </c>
      <c r="B8" s="1" t="b">
        <v>0</v>
      </c>
      <c r="X8" s="5">
        <f>(IFERROR(AVERAGEIF(INDEX(RT!$D$1:$AY$812,MATCH("PLTU CLCAP #4",RT!$A$1:$A$812,0),0),"&lt;&gt;0"),0))/945</f>
        <v/>
      </c>
      <c r="Y8" s="5">
        <f t="array" ref="Y8">(SUMPRODUCT(VALUE(INDEX(ROH!$C$1:$AX$300,MATCH("PLTU CLCAP #4",ROH!$A$1:$A$300,0),0)))/48)/945</f>
        <v/>
      </c>
      <c r="Z8" s="31">
        <f t="array" ref="Z8">(SUMPRODUCT(VALUE(INDEX(INT!$C$1:$AX$300,MATCH("PLTU CLCAP #4",INT!$A$1:$A$300,0),0)))/48)/945</f>
        <v/>
      </c>
      <c r="AB8" t="inlineStr">
        <is>
          <t>RR</t>
        </is>
      </c>
      <c r="AC8" t="inlineStr">
        <is>
          <t>menit</t>
        </is>
      </c>
    </row>
    <row r="9">
      <c r="A9" s="28" t="inlineStr">
        <is>
          <t>PLTU TJATI #3</t>
        </is>
      </c>
      <c r="B9" s="28" t="b">
        <v>1</v>
      </c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9">
        <f>(IFERROR(AVERAGEIF(INDEX(RT!$D$1:$AY$812,MATCH("PLTU TJATI #3",RT!$A$1:$A$812,0),0),"&lt;&gt;0"),0)+IFERROR(AVERAGEIF(INDEX(RT!$D$1:$AY$812,MATCH("PLTU TJATI #4",RT!$A$1:$A$812,0),0),"&lt;&gt;0"),0))/(660.8*2)</f>
        <v/>
      </c>
      <c r="Y9" s="29">
        <f t="array" ref="Y9">(SUMPRODUCT(VALUE(INDEX(ROH!$C$1:$AX$300,MATCH("PLTU TJATI #3",ROH!$A$1:$A$300,0),0)))/48+SUMPRODUCT(VALUE(INDEX(ROH!$C$1:$AX$300,MATCH("PLTU TJATI #4",ROH!$A$1:$A$300,0),0)))/48)/(660.8*2)</f>
        <v/>
      </c>
      <c r="Z9" s="32">
        <f t="array" ref="Z9">(SUMPRODUCT(VALUE(INDEX(INT!$C$1:$AX$300,MATCH("PLTU TJATI #3",INT!$A$1:$A$300,0),0)))/48+SUMPRODUCT(VALUE(INDEX(INT!$C$1:$AX$300,MATCH("PLTU TJATI #4",INT!$A$1:$A$300,0),0)))/48)/(660.8*2)</f>
        <v/>
      </c>
      <c r="AB9" t="n">
        <v>10</v>
      </c>
      <c r="AC9" t="n">
        <v>30</v>
      </c>
      <c r="AD9">
        <f>AB9*AC9</f>
        <v/>
      </c>
      <c r="AF9" t="inlineStr">
        <is>
          <t>MT</t>
        </is>
      </c>
      <c r="AG9" s="24" t="n">
        <v>1.1</v>
      </c>
    </row>
    <row r="10">
      <c r="A10" s="1" t="inlineStr">
        <is>
          <t>PLTU TJATI #4</t>
        </is>
      </c>
      <c r="B10" s="1" t="b">
        <v>1</v>
      </c>
      <c r="AG10" s="24" t="n">
        <v>1.2</v>
      </c>
    </row>
    <row r="11">
      <c r="A11" s="28" t="inlineStr">
        <is>
          <t>PLTU LBE #1</t>
        </is>
      </c>
      <c r="B11" s="28" t="b">
        <v>1</v>
      </c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>
        <f>(IFERROR(AVERAGEIF(INDEX(RT!$D$1:$AY$812,MATCH("PLTU LBE #1",RT!$A$1:$A$812,0),0),"&lt;&gt;0"),0))/625</f>
        <v/>
      </c>
      <c r="Y11" s="29">
        <f t="array" ref="Y11">(SUMPRODUCT(VALUE(INDEX(ROH!$C$1:$AX$300,MATCH("PLTU LBE #1",ROH!$A$1:$A$300,0),0)))/48)/625</f>
        <v/>
      </c>
      <c r="Z11" s="32">
        <f t="array" ref="Z11">(SUMPRODUCT(VALUE(INDEX(INT!$C$1:$AX$300,MATCH("PLTU LBE #1",INT!$A$1:$A$300,0),0)))/48)/625</f>
        <v/>
      </c>
      <c r="AG11" s="24" t="n">
        <v>1.3</v>
      </c>
    </row>
    <row r="12">
      <c r="A12" s="1" t="inlineStr">
        <is>
          <t>PLTU TJATIBJP #5</t>
        </is>
      </c>
      <c r="B12" s="1" t="b">
        <v>0</v>
      </c>
      <c r="X12" s="5">
        <f>(IFERROR(AVERAGEIF(INDEX(RT!$D$1:$AY$812,MATCH("PLTU TJATIBJP #5",RT!$A$1:$A$812,0),0),"&lt;&gt;0"),0)+IFERROR(AVERAGEIF(INDEX(RT!$D$1:$AY$812,MATCH("PLTU TJATIBJP #6",RT!$A$1:$A$812,0),0),"&lt;&gt;0"),0))/(1000*2)</f>
        <v/>
      </c>
      <c r="Y12" s="5">
        <f t="array" ref="Y12">(SUMPRODUCT(VALUE(INDEX(ROH!$C$1:$AX$300,MATCH("PLTU TJATIBJP #5",ROH!$A$1:$A$300,0),0)))/48+SUMPRODUCT(VALUE(INDEX(ROH!$C$1:$AX$300,MATCH("PLTU TJATIBJP #6",ROH!$A$1:$A$300,0),0)))/48)/(1000*2)</f>
        <v/>
      </c>
      <c r="Z12" s="31">
        <f t="array" ref="Z12">(SUMPRODUCT(VALUE(INDEX(INT!$C$1:$AX$300,MATCH("PLTU TJATIBJP #5",INT!$A$1:$A$300,0),0)))/48+SUMPRODUCT(VALUE(INDEX(INT!$C$1:$AX$300,MATCH("PLTU TJATIBJP #6",INT!$A$1:$A$300,0),0)))/48)/(1000*2)</f>
        <v/>
      </c>
      <c r="AG12" s="25" t="inlineStr">
        <is>
          <t>1.0</t>
        </is>
      </c>
    </row>
    <row r="13">
      <c r="A13" s="28" t="inlineStr">
        <is>
          <t>PLTU TJATIBJP #6</t>
        </is>
      </c>
      <c r="B13" s="28" t="b">
        <v>0</v>
      </c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G13" s="24" t="n">
        <v>2.1</v>
      </c>
      <c r="AH13" t="inlineStr">
        <is>
          <t>operasi</t>
        </is>
      </c>
      <c r="AI13" t="inlineStr">
        <is>
          <t>combine</t>
        </is>
      </c>
      <c r="AJ13" t="n">
        <v>135</v>
      </c>
      <c r="AK13" t="inlineStr">
        <is>
          <t>STOP</t>
        </is>
      </c>
      <c r="AL13" s="22" t="n"/>
    </row>
    <row r="14">
      <c r="A14" s="1" t="inlineStr">
        <is>
          <t>PLTU BATANG #1</t>
        </is>
      </c>
      <c r="B14" s="1" t="b">
        <v>0</v>
      </c>
      <c r="X14" s="31">
        <f>(IFERROR(AVERAGEIF(INDEX(RT!$D$1:$AY$812,MATCH("PLTU BATANG #1",RT!$A$1:$A$812,0),0),"&lt;&gt;0"),0)+IFERROR(AVERAGEIF(INDEX(RT!$D$1:$AY$812,MATCH("PLTU BATANG #2",RT!$A$1:$A$812,0),0),"&lt;&gt;0"),0))/(950*2)</f>
        <v/>
      </c>
      <c r="Y14" s="5">
        <f t="array" ref="Y14">(SUMPRODUCT(VALUE(INDEX(ROH!$C$1:$AX$300,MATCH("PLTU BATANG #1",ROH!$A$1:$A$300,0),0)))/48+SUMPRODUCT(VALUE(INDEX(ROH!$C$1:$AX$300,MATCH("PLTU BATANG #2",ROH!$A$1:$A$300,0),0)))/48)/(950*2)</f>
        <v/>
      </c>
      <c r="Z14" s="31">
        <f t="array" ref="Z14">(SUMPRODUCT(VALUE(INDEX(INT!$C$1:$AX$300,MATCH("PLTU BATANG #1",INT!$A$1:$A$300,0),0)))/48+SUMPRODUCT(VALUE(INDEX(INT!$C$1:$AX$300,MATCH("PLTU BATANG #2",INT!$A$1:$A$300,0),0)))/48)/(950*2)</f>
        <v/>
      </c>
      <c r="AG14" s="24" t="n">
        <v>2.2</v>
      </c>
      <c r="AH14" t="inlineStr">
        <is>
          <t>operasi</t>
        </is>
      </c>
      <c r="AI14" t="inlineStr">
        <is>
          <t>combine</t>
        </is>
      </c>
      <c r="AJ14" t="n">
        <v>135</v>
      </c>
    </row>
    <row r="15">
      <c r="A15" s="28" t="inlineStr">
        <is>
          <t>PLTU BATANG #2</t>
        </is>
      </c>
      <c r="B15" s="28" t="b">
        <v>0</v>
      </c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C15" t="n">
        <v>14.1</v>
      </c>
      <c r="AD15" t="n">
        <v>4.34</v>
      </c>
      <c r="AE15" t="n">
        <v>440</v>
      </c>
      <c r="AG15" s="25" t="inlineStr">
        <is>
          <t>2.0</t>
        </is>
      </c>
    </row>
    <row r="16">
      <c r="A16" t="inlineStr">
        <is>
          <t>PLTU JAWA #09</t>
        </is>
      </c>
      <c r="B16" t="b">
        <v>0</v>
      </c>
      <c r="G16" t="n">
        <v>100</v>
      </c>
      <c r="X16" s="31">
        <f>(IFERROR(AVERAGEIF(INDEX(RT!$D$1:$AY$812,MATCH("PLTU JAWA #09",RT!$A$1:$A$812,0),0),"&lt;&gt;0"),0)+IFERROR(AVERAGEIF(INDEX(RT!$D$1:$AY$812,MATCH("PLTU JAWA #10",RT!$A$1:$A$812,0),0),"&lt;&gt;0"),0))/(1000*2)</f>
        <v/>
      </c>
      <c r="Y16" s="5">
        <f t="array" ref="Y16">(SUMPRODUCT(VALUE(INDEX(ROH!$C$1:$AX$300,MATCH("PLTU JAWA #09",ROH!$A$1:$A$300,0),0)))/48+SUMPRODUCT(VALUE(INDEX(ROH!$C$1:$AX$300,MATCH("PLTU JAWA #10",ROH!$A$1:$A$300,0),0)))/48)/(1000*2)</f>
        <v/>
      </c>
      <c r="Z16" s="31">
        <f t="array" ref="Z16">(SUMPRODUCT(VALUE(INDEX(INT!$C$1:$AX$300,MATCH("PLTU JAWA #09",INT!$A$1:$A$300,0),0)))/48+SUMPRODUCT(VALUE(INDEX(INT!$C$1:$AX$300,MATCH("PLTU JAWA #10",INT!$A$1:$A$300,0),0)))/48)/(1000*2)</f>
        <v/>
      </c>
      <c r="AC16" t="inlineStr">
        <is>
          <t>gas</t>
        </is>
      </c>
      <c r="AD16" t="inlineStr">
        <is>
          <t>sikron gas</t>
        </is>
      </c>
      <c r="AE16" t="inlineStr">
        <is>
          <t>co hsd</t>
        </is>
      </c>
      <c r="AG16" s="24" t="n">
        <v>3.1</v>
      </c>
    </row>
    <row r="17">
      <c r="A17" s="27" t="inlineStr">
        <is>
          <t>PLTU JAWA #10</t>
        </is>
      </c>
      <c r="B17" s="27" t="b">
        <v>0</v>
      </c>
      <c r="C17" s="27" t="n"/>
      <c r="D17" s="27" t="n"/>
      <c r="E17" s="27" t="n"/>
      <c r="F17" s="27" t="n"/>
      <c r="G17" s="27" t="n">
        <v>100</v>
      </c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t="n">
        <v>30</v>
      </c>
      <c r="AB17" t="inlineStr">
        <is>
          <t>3 jam</t>
        </is>
      </c>
      <c r="AG17" s="24" t="n">
        <v>3.2</v>
      </c>
    </row>
    <row r="18">
      <c r="A18" t="inlineStr">
        <is>
          <t>PLTU TJ AWAR2 #1</t>
        </is>
      </c>
      <c r="B18" s="1" t="b">
        <v>0</v>
      </c>
      <c r="X18" s="31">
        <f>(IFERROR(AVERAGEIF(INDEX(RT!$D$1:$AY$812,MATCH("PLTU TJ AWAR2 #1",RT!$A$1:$A$812,0),0),"&lt;&gt;0"),0)+IFERROR(AVERAGEIF(INDEX(RT!$D$1:$AY$812,MATCH("PLTU TJ AWAR2 #2",RT!$A$1:$A$812,0),0),"&lt;&gt;0"),0))/(323*2)</f>
        <v/>
      </c>
      <c r="Y18" s="5">
        <f t="array" ref="Y18">(SUMPRODUCT(VALUE(INDEX(ROH!$C$1:$AX$300,MATCH("PLTU TJ AWAR2 #1",ROH!$A$1:$A$300,0),0)))/48+SUMPRODUCT(VALUE(INDEX(ROH!$C$1:$AX$300,MATCH("PLTU TJ AWAR2 #2",ROH!$A$1:$A$300,0),0)))/48)/(323*2)</f>
        <v/>
      </c>
      <c r="Z18" s="31">
        <f t="array" ref="Z18">(SUMPRODUCT(VALUE(INDEX(INT!$C$1:$AX$300,MATCH("PLTU TJ AWAR2 #1",INT!$A$1:$A$300,0),0)))/48+SUMPRODUCT(VALUE(INDEX(INT!$C$1:$AX$300,MATCH("PLTU TJ AWAR2 #2",INT!$A$1:$A$300,0),0)))/48)/(323*2)</f>
        <v/>
      </c>
      <c r="AA18" t="n">
        <v>30</v>
      </c>
      <c r="AB18" t="inlineStr">
        <is>
          <t>2jam</t>
        </is>
      </c>
      <c r="AG18" s="24" t="n">
        <v>3.3</v>
      </c>
      <c r="AH18" t="inlineStr">
        <is>
          <t>operasi</t>
        </is>
      </c>
      <c r="AI18" t="inlineStr">
        <is>
          <t>hsd</t>
        </is>
      </c>
      <c r="AJ18" t="n">
        <v>135</v>
      </c>
      <c r="AK18" t="inlineStr">
        <is>
          <t>STOP</t>
        </is>
      </c>
    </row>
    <row r="19">
      <c r="A19" s="27" t="inlineStr">
        <is>
          <t>PLTU TJ AWAR2 #2</t>
        </is>
      </c>
      <c r="B19" s="28" t="b">
        <v>0</v>
      </c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t="n">
        <v>30</v>
      </c>
      <c r="AG19" s="25" t="inlineStr">
        <is>
          <t>3.0</t>
        </is>
      </c>
    </row>
    <row r="20">
      <c r="A20" s="1" t="inlineStr">
        <is>
          <t>PLTU TJATI #1</t>
        </is>
      </c>
      <c r="B20" s="1" t="b">
        <v>0</v>
      </c>
      <c r="X20" s="31">
        <f>(IFERROR(AVERAGEIF(INDEX(RT!$D$1:$AY$812,MATCH("PLTU TJATI #1",RT!$A$1:$A$812,0),0),"&lt;&gt;0"),0)+IFERROR(AVERAGEIF(INDEX(RT!$D$1:$AY$812,MATCH("PLTU TJATI #2",RT!$A$1:$A$812,0),0),"&lt;&gt;0"),0))/(660.8*2)</f>
        <v/>
      </c>
      <c r="Y20" s="5">
        <f t="array" ref="Y20">(SUMPRODUCT(VALUE(INDEX(ROH!$C$1:$AX$300,MATCH("PLTU TJATI #1",ROH!$A$1:$A$300,0),0)))/48+SUMPRODUCT(VALUE(INDEX(ROH!$C$1:$AX$300,MATCH("PLTU TJATI #2",ROH!$A$1:$A$300,0),0)))/48)/(660.8*2)</f>
        <v/>
      </c>
      <c r="Z20" s="31">
        <f t="array" ref="Z20">(SUMPRODUCT(VALUE(INDEX(INT!$C$1:$AX$300,MATCH("PLTU TJATI #1",INT!$A$1:$A$300,0),0)))/48+SUMPRODUCT(VALUE(INDEX(INT!$C$1:$AX$300,MATCH("PLTU TJATI #2",INT!$A$1:$A$300,0),0)))/48)/(660.8*2)</f>
        <v/>
      </c>
      <c r="AG20" s="24" t="n">
        <v>4.1</v>
      </c>
      <c r="AH20" t="inlineStr">
        <is>
          <t>operasi</t>
        </is>
      </c>
      <c r="AI20" t="inlineStr">
        <is>
          <t>combine</t>
        </is>
      </c>
      <c r="AJ20" t="n">
        <v>100</v>
      </c>
      <c r="AK20" t="inlineStr">
        <is>
          <t>STOP</t>
        </is>
      </c>
    </row>
    <row r="21">
      <c r="A21" s="28" t="inlineStr">
        <is>
          <t>PLTU TJATI #2</t>
        </is>
      </c>
      <c r="B21" s="28" t="b">
        <v>0</v>
      </c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G21" s="24" t="n">
        <v>4.2</v>
      </c>
      <c r="AH21" t="inlineStr">
        <is>
          <t>operasi</t>
        </is>
      </c>
      <c r="AI21" t="inlineStr">
        <is>
          <t>combine</t>
        </is>
      </c>
      <c r="AJ21" t="n">
        <v>100</v>
      </c>
    </row>
    <row r="22">
      <c r="A22" s="1" t="inlineStr">
        <is>
          <t>PLTU PITON #1</t>
        </is>
      </c>
      <c r="B22" s="1" t="b">
        <v>0</v>
      </c>
      <c r="G22" t="n">
        <v>-300</v>
      </c>
      <c r="X22" s="31">
        <f>(IFERROR(AVERAGEIF(INDEX(RT!$D$1:$AY$812,MATCH("PLTU PITON #1",RT!$A$1:$A$812,0),0),"&lt;&gt;0"),0)+IFERROR(AVERAGEIF(INDEX(RT!$D$1:$AY$812,MATCH("PLTU PITON #2",RT!$A$1:$A$812,0),0),"&lt;&gt;0"),0))/(370*2)</f>
        <v/>
      </c>
      <c r="Y22" s="5">
        <f t="array" ref="Y22">(SUMPRODUCT(VALUE(INDEX(ROH!$C$1:$AX$300,MATCH("PLTU PITON #1",ROH!$A$1:$A$300,0),0)))/48+SUMPRODUCT(VALUE(INDEX(ROH!$C$1:$AX$300,MATCH("PLTU PITON #2",ROH!$A$1:$A$300,0),0)))/48)/(370*2)</f>
        <v/>
      </c>
      <c r="Z22" s="31">
        <f t="array" ref="Z22">(SUMPRODUCT(VALUE(INDEX(INT!$C$1:$AX$300,MATCH("PLTU PITON #1",INT!$A$1:$A$300,0),0)))/48+SUMPRODUCT(VALUE(INDEX(INT!$C$1:$AX$300,MATCH("PLTU PITON #2",INT!$A$1:$A$300,0),0)))/48)/(370*2)</f>
        <v/>
      </c>
      <c r="AG22" s="24" t="n">
        <v>4.3</v>
      </c>
      <c r="AH22" t="inlineStr">
        <is>
          <t>operasi</t>
        </is>
      </c>
      <c r="AI22" t="inlineStr">
        <is>
          <t>combine</t>
        </is>
      </c>
      <c r="AJ22" t="n">
        <v>100</v>
      </c>
      <c r="AM22" t="inlineStr">
        <is>
          <t>variasi musim</t>
        </is>
      </c>
      <c r="AN22" t="inlineStr">
        <is>
          <t>DMN-DMP-POMO-FODER-RS</t>
        </is>
      </c>
    </row>
    <row r="23">
      <c r="A23" s="28" t="inlineStr">
        <is>
          <t>PLTU PITON #2</t>
        </is>
      </c>
      <c r="B23" s="28" t="b">
        <v>0</v>
      </c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30" t="n"/>
      <c r="Z23" s="27" t="n"/>
      <c r="AG23" s="25" t="inlineStr">
        <is>
          <t>4.0</t>
        </is>
      </c>
    </row>
    <row r="24">
      <c r="A24" t="inlineStr">
        <is>
          <t>PLTU Jawa Power #5</t>
        </is>
      </c>
      <c r="B24" s="1" t="b">
        <v>1</v>
      </c>
      <c r="G24" t="n">
        <v>200</v>
      </c>
      <c r="X24" s="31">
        <f>(IFERROR(AVERAGEIF(INDEX(RT!$D$1:$AY$812,MATCH("PLTU Jawa Power #5",RT!$A$1:$A$812,0),0),"&lt;&gt;0"),0)+IFERROR(AVERAGEIF(INDEX(RT!$D$1:$AY$812,MATCH("PLTU Jawa Power #6",RT!$A$1:$A$812,0),0),"&lt;&gt;0"),0))/(610*2)</f>
        <v/>
      </c>
      <c r="Y24" s="5">
        <f t="array" ref="Y24">(SUMPRODUCT(VALUE(INDEX(ROH!$C$1:$AX$300,MATCH("PLTU Jawa Power #5",ROH!$A$1:$A$300,0),0)))/48+SUMPRODUCT(VALUE(INDEX(ROH!$C$1:$AX$300,MATCH("PLTU Jawa Power #6",ROH!$A$1:$A$300,0),0)))/48)/(610*2)</f>
        <v/>
      </c>
      <c r="Z24" s="31">
        <f t="array" ref="Z24">(SUMPRODUCT(VALUE(INDEX(INT!$C$1:$AX$300,MATCH("PLTU Jawa Power #5",INT!$A$1:$A$300,0),0)))/48+SUMPRODUCT(VALUE(INDEX(INT!$C$1:$AX$300,MATCH("PLTU Jawa Power #6",INT!$A$1:$A$300,0),0)))/48)/(610*2)</f>
        <v/>
      </c>
      <c r="AG24" s="24" t="n">
        <v>5.1</v>
      </c>
    </row>
    <row r="25">
      <c r="A25" s="27" t="inlineStr">
        <is>
          <t>PLTU Jawa Power #6</t>
        </is>
      </c>
      <c r="B25" s="28" t="b">
        <v>1</v>
      </c>
      <c r="C25" s="27" t="n"/>
      <c r="D25" s="27" t="n"/>
      <c r="E25" s="27" t="n"/>
      <c r="F25" s="27" t="n"/>
      <c r="G25" s="27" t="n">
        <v>200</v>
      </c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30" t="n"/>
      <c r="Z25" s="27" t="n"/>
      <c r="AG25" s="25" t="inlineStr">
        <is>
          <t>5.0</t>
        </is>
      </c>
    </row>
    <row r="26">
      <c r="A26" s="1" t="inlineStr">
        <is>
          <t>PLTU PEC #3</t>
        </is>
      </c>
      <c r="B26" s="1" t="b">
        <v>1</v>
      </c>
      <c r="X26" s="31">
        <f>(IFERROR(AVERAGEIF(INDEX(RT!$D$1:$AY$812,MATCH("PLTU PEC #3",RT!$A$1:$A$812,0),0),"&lt;&gt;0"),0))/811</f>
        <v/>
      </c>
      <c r="Y26" s="5">
        <f t="array" ref="Y26">(SUMPRODUCT(VALUE(INDEX(ROH!$C$1:$AX$300,MATCH("PLTU PEC #3",ROH!$A$1:$A$300,0),0)))/48)/811</f>
        <v/>
      </c>
      <c r="Z26" s="31">
        <f t="array" ref="Z26">(SUMPRODUCT(VALUE(INDEX(INT!$C$1:$AX$300,MATCH("PLTU PEC #3",INT!$A$1:$A$300,0),0)))/48)/811</f>
        <v/>
      </c>
      <c r="AF26" t="inlineStr">
        <is>
          <t>TL</t>
        </is>
      </c>
      <c r="AG26" s="24" t="n">
        <v>1.1</v>
      </c>
      <c r="AH26" t="inlineStr">
        <is>
          <t>operasi</t>
        </is>
      </c>
      <c r="AI26" t="inlineStr">
        <is>
          <t>BBM</t>
        </is>
      </c>
      <c r="AJ26" t="n">
        <v>80</v>
      </c>
    </row>
    <row r="27">
      <c r="A27" s="28" t="inlineStr">
        <is>
          <t>PLTU CLCAP #3</t>
        </is>
      </c>
      <c r="B27" s="28" t="b">
        <v>1</v>
      </c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30" t="n"/>
      <c r="Z27" s="27" t="n"/>
      <c r="AG27" s="24" t="n">
        <v>2.1</v>
      </c>
      <c r="AH27" t="inlineStr">
        <is>
          <t>operasi</t>
        </is>
      </c>
      <c r="AI27" t="inlineStr">
        <is>
          <t>BBM</t>
        </is>
      </c>
      <c r="AJ27" t="n">
        <v>80</v>
      </c>
    </row>
    <row r="28">
      <c r="A28" t="inlineStr">
        <is>
          <t>PLTU JAWA 7 #1</t>
        </is>
      </c>
      <c r="B28" t="b">
        <v>0</v>
      </c>
      <c r="X28" s="31">
        <f>(IFERROR(AVERAGEIF(INDEX(RT!$D$1:$AY$812,MATCH("PLTU JAWA 7 #1",RT!$A$1:$A$812,0),0),"&lt;&gt;0"),0)+IFERROR(AVERAGEIF(INDEX(RT!$D$1:$AY$812,MATCH("PLTU JAWA 7 #2",RT!$A$1:$A$812,0),0),"&lt;&gt;0"),0))/(991*2)</f>
        <v/>
      </c>
      <c r="Y28" s="5">
        <f t="array" ref="Y28">(SUMPRODUCT(VALUE(INDEX(ROH!$C$1:$AX$300,MATCH("PLTU JAWA 7 #1",ROH!$A$1:$A$300,0),0)))/48+SUMPRODUCT(VALUE(INDEX(ROH!$C$1:$AX$300,MATCH("PLTU JAWA 7 #2",ROH!$A$1:$A$300,0),0)))/48)/(991*2)</f>
        <v/>
      </c>
      <c r="Z28" s="31">
        <f t="array" ref="Z28">(SUMPRODUCT(VALUE(INDEX(INT!$C$1:$AX$300,MATCH("PLTU JAWA 7 #1",INT!$A$1:$A$300,0),0)))/48+SUMPRODUCT(VALUE(INDEX(INT!$C$1:$AX$300,MATCH("PLTU JAWA 7 #2",INT!$A$1:$A$300,0),0)))/48)/(991*2)</f>
        <v/>
      </c>
      <c r="AF28" t="inlineStr">
        <is>
          <t>GRS</t>
        </is>
      </c>
      <c r="AG28" s="24" t="n">
        <v>1.1</v>
      </c>
      <c r="AH28" t="inlineStr">
        <is>
          <t>operasi</t>
        </is>
      </c>
      <c r="AI28" t="inlineStr">
        <is>
          <t>BBM</t>
        </is>
      </c>
      <c r="AJ28" t="n">
        <v>80</v>
      </c>
    </row>
    <row r="29">
      <c r="A29" s="27" t="inlineStr">
        <is>
          <t>PLTU JAWA 7 #2</t>
        </is>
      </c>
      <c r="B29" s="27" t="b">
        <v>0</v>
      </c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30" t="n"/>
      <c r="Z29" s="27" t="n"/>
      <c r="AG29" s="24" t="n">
        <v>2.1</v>
      </c>
      <c r="AH29" t="inlineStr">
        <is>
          <t>operasi</t>
        </is>
      </c>
      <c r="AI29" t="inlineStr">
        <is>
          <t>BBM</t>
        </is>
      </c>
      <c r="AJ29" t="n">
        <v>80</v>
      </c>
    </row>
    <row r="30">
      <c r="A30" t="inlineStr">
        <is>
          <t>PLTU PAITON #9</t>
        </is>
      </c>
      <c r="B30" s="1" t="b">
        <v>1</v>
      </c>
      <c r="X30" s="31">
        <f>(IFERROR(AVERAGEIF(INDEX(RT!$D$1:$AY$812,MATCH("PLTU PAITON #9",RT!$A$1:$A$812,0),0),"&lt;&gt;0"),0))/615</f>
        <v/>
      </c>
      <c r="Y30" s="5">
        <f t="array" ref="Y30">(SUMPRODUCT(VALUE(INDEX(ROH!$C$1:$AX$300,MATCH("PLTU PAITON #9",ROH!$A$1:$A$300,0),0)))/48)/615</f>
        <v/>
      </c>
      <c r="Z30" s="31">
        <f t="array" ref="Z30">(SUMPRODUCT(VALUE(INDEX(INT!$C$1:$AX$300,MATCH("PLTU PAITON #9",INT!$A$1:$A$300,0),0)))/48)/615</f>
        <v/>
      </c>
      <c r="AF30" t="inlineStr">
        <is>
          <t>GRT</t>
        </is>
      </c>
      <c r="AG30" s="24" t="n">
        <v>1.2</v>
      </c>
    </row>
    <row r="31">
      <c r="A31" s="28" t="inlineStr">
        <is>
          <t>Suralaya 5-7</t>
        </is>
      </c>
      <c r="B31" s="28" t="b">
        <v>0</v>
      </c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30" t="n"/>
      <c r="Z31" s="27" t="n"/>
      <c r="AG31" s="24" t="n">
        <v>2.1</v>
      </c>
    </row>
    <row r="32">
      <c r="A32" t="inlineStr">
        <is>
          <t>PLTU PACITAN #1</t>
        </is>
      </c>
      <c r="B32" s="1" t="b">
        <v>0</v>
      </c>
      <c r="X32" s="31">
        <f>(IFERROR(AVERAGEIF(INDEX(RT!$D$1:$AY$812,MATCH("PLTU PACITAN #1",RT!$A$1:$A$812,0),0),"&lt;&gt;0"),0)+IFERROR(AVERAGEIF(INDEX(RT!$D$1:$AY$812,MATCH("PLTU PACITAN #2",RT!$A$1:$A$812,0),0),"&lt;&gt;0"),0))/(280*2)</f>
        <v/>
      </c>
      <c r="Y32" s="5">
        <f t="array" ref="Y32">(SUMPRODUCT(VALUE(INDEX(ROH!$C$1:$AX$300,MATCH("PLTU PACITAN #1",ROH!$A$1:$A$300,0),0)))/48+SUMPRODUCT(VALUE(INDEX(ROH!$C$1:$AX$300,MATCH("PLTU PACITAN #2",ROH!$A$1:$A$300,0),0)))/48)/(280*2)</f>
        <v/>
      </c>
      <c r="Z32" s="31">
        <f t="array" ref="Z32">(SUMPRODUCT(VALUE(INDEX(INT!$C$1:$AX$300,MATCH("PLTU PACITAN #1",INT!$A$1:$A$300,0),0)))/48+SUMPRODUCT(VALUE(INDEX(INT!$C$1:$AX$300,MATCH("PLTU PACITAN #2",INT!$A$1:$A$300,0),0)))/48)/(280*2)</f>
        <v/>
      </c>
      <c r="AG32" s="24" t="n">
        <v>2.2</v>
      </c>
    </row>
    <row r="33">
      <c r="A33" s="27" t="inlineStr">
        <is>
          <t>PLTU PACITAN #2</t>
        </is>
      </c>
      <c r="B33" s="28" t="b">
        <v>0</v>
      </c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</row>
    <row r="34">
      <c r="A34" t="inlineStr">
        <is>
          <t>PLTU CEPR #1</t>
        </is>
      </c>
      <c r="B34" t="b">
        <v>0</v>
      </c>
      <c r="X34" s="31">
        <f>(IFERROR(AVERAGEIF(INDEX(RT!$D$1:$AY$812,MATCH("PLTU CEPR #1",RT!$A$1:$A$812,0),0),"&lt;&gt;0"),0))/924</f>
        <v/>
      </c>
      <c r="Y34" s="5">
        <f t="array" ref="Y34">(SUMPRODUCT(VALUE(INDEX(ROH!$C$1:$AX$300,MATCH("PLTU CEPR #1",ROH!$A$1:$A$300,0),0)))/48)/924</f>
        <v/>
      </c>
      <c r="Z34" s="31">
        <f t="array" ref="Z34">(SUMPRODUCT(VALUE(INDEX(INT!$C$1:$AX$300,MATCH("PLTU CEPR #1",INT!$A$1:$A$300,0),0)))/48)/924</f>
        <v/>
      </c>
    </row>
    <row r="35">
      <c r="A35" s="27" t="inlineStr">
        <is>
          <t>PLTU IPP CIREBON #1</t>
        </is>
      </c>
      <c r="B35" s="28" t="b">
        <v>1</v>
      </c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32">
        <f>(IFERROR(AVERAGEIF(INDEX(RT!$D$1:$AY$812,MATCH("PLTU IPP CIREBON #1",RT!$A$1:$A$812,0),0),"&lt;&gt;0"),0))/660</f>
        <v/>
      </c>
      <c r="Y35" s="29">
        <f t="array" ref="Y35">(SUMPRODUCT(VALUE(INDEX(ROH!$C$1:$AX$300,MATCH("PLTU IPP CIREBON #1",ROH!$A$1:$A$300,0),0)))/48)/660</f>
        <v/>
      </c>
      <c r="Z35" s="32">
        <f t="array" ref="Z35">(SUMPRODUCT(VALUE(INDEX(INT!$C$1:$AX$300,MATCH("PLTU IPP CIREBON #1",INT!$A$1:$A$300,0),0)))/48)/660</f>
        <v/>
      </c>
    </row>
    <row r="36">
      <c r="A36" s="1" t="inlineStr">
        <is>
          <t>Celukan Bawang</t>
        </is>
      </c>
      <c r="B36" s="1" t="b">
        <v>0</v>
      </c>
      <c r="Y36" s="6" t="n"/>
    </row>
    <row r="37">
      <c r="A37" s="28" t="inlineStr">
        <is>
          <t>PLTU PEC #7</t>
        </is>
      </c>
      <c r="B37" s="28" t="b">
        <v>1</v>
      </c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32">
        <f>(IFERROR(AVERAGEIF(INDEX(RT!$D$1:$AY$812,MATCH("PLTU PEC #7",RT!$A$1:$A$812,0),0),"&lt;&gt;0"),0)+IFERROR(AVERAGEIF(INDEX(RT!$D$1:$AY$812,MATCH("PLTU PEC #8",RT!$A$1:$A$812,0),0),"&lt;&gt;0"),0))/(610*2)</f>
        <v/>
      </c>
      <c r="Y37" s="29">
        <f t="array" ref="Y37">(SUMPRODUCT(VALUE(INDEX(ROH!$C$1:$AX$300,MATCH("PLTU PEC #7",ROH!$A$1:$A$300,0),0)))/48+SUMPRODUCT(VALUE(INDEX(ROH!$C$1:$AX$300,MATCH("PLTU PEC #8",ROH!$A$1:$A$300,0),0)))/48)/(610*2)</f>
        <v/>
      </c>
      <c r="Z37" s="32">
        <f t="array" ref="Z37">(SUMPRODUCT(VALUE(INDEX(INT!$C$1:$AX$300,MATCH("PLTU PEC #7",INT!$A$1:$A$300,0),0)))/48+SUMPRODUCT(VALUE(INDEX(INT!$C$1:$AX$300,MATCH("PLTU PEC #8",INT!$A$1:$A$300,0),0)))/48)/(610*2)</f>
        <v/>
      </c>
    </row>
    <row r="38">
      <c r="A38" s="1" t="inlineStr">
        <is>
          <t>PLTU PEC #8</t>
        </is>
      </c>
      <c r="B38" s="1" t="b">
        <v>1</v>
      </c>
      <c r="Y38" s="6" t="n"/>
      <c r="AC38" t="inlineStr">
        <is>
          <t>mvar cirata jangan lebih 150 sekunder, batang kediri, suralaya sebisa mungkin dibawah 511</t>
        </is>
      </c>
    </row>
    <row r="39">
      <c r="A39" s="28" t="inlineStr">
        <is>
          <t>PLTU PRATU #1</t>
        </is>
      </c>
      <c r="B39" s="28" t="b">
        <v>0</v>
      </c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32">
        <f>(IFERROR(AVERAGEIF(INDEX(RT!$D$1:$AY$812,MATCH("PLTU PRATU #1",RT!$A$1:$A$812,0),0),"&lt;&gt;0"),0)+IFERROR(AVERAGEIF(INDEX(RT!$D$1:$AY$812,MATCH("PLTU PRATU #2",RT!$A$1:$A$812,0),0),"&lt;&gt;0"),0)+IFERROR(AVERAGEIF(INDEX(RT!$D$1:$AY$812,MATCH("PLTU PRATU #3",RT!$A$1:$A$812,0),0),"&lt;&gt;0"),0))/(323*3)</f>
        <v/>
      </c>
      <c r="Y39" s="32">
        <f t="array" ref="Y39">(SUMPRODUCT(VALUE(INDEX(ROH!$C$1:$AX$300,MATCH("PLTU PRATU #1",ROH!$A$1:$A$300,0),0)))/48+SUMPRODUCT(VALUE(INDEX(ROH!$C$1:$AX$300,MATCH("PLTU PRATU #2",ROH!$A$1:$A$300,0),0)))/48+SUMPRODUCT(VALUE(INDEX(ROH!$C$1:$AX$300,MATCH("PLTU PRATU #3",ROH!$A$1:$A$300,0),0)))/48)/(323*3)</f>
        <v/>
      </c>
      <c r="Z39" s="32">
        <f t="array" ref="Z39">(SUMPRODUCT(VALUE(INDEX(INT!$C$1:$AX$300,MATCH("PLTU PRATU #1",INT!$A$1:$A$300,0),0)))/48+SUMPRODUCT(VALUE(INDEX(INT!$C$1:$AX$300,MATCH("PLTU PRATU #2",INT!$A$1:$A$300,0),0)))/48+SUMPRODUCT(VALUE(INDEX(INT!$C$1:$AX$300,MATCH("PLTU PRATU #3",INT!$A$1:$A$300,0),0)))/48)/(323*3)</f>
        <v/>
      </c>
    </row>
    <row r="40">
      <c r="A40" s="1" t="inlineStr">
        <is>
          <t>PLTU PRATU #2</t>
        </is>
      </c>
      <c r="B40" s="1" t="b">
        <v>0</v>
      </c>
      <c r="Y40" s="6" t="n"/>
    </row>
    <row r="41">
      <c r="A41" s="28" t="inlineStr">
        <is>
          <t>PLTU PRATU #3</t>
        </is>
      </c>
      <c r="B41" s="28" t="b">
        <v>0</v>
      </c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30" t="n"/>
      <c r="Z41" s="27" t="n"/>
    </row>
    <row r="42">
      <c r="A42" t="inlineStr">
        <is>
          <t>PLTU SRLYA #8</t>
        </is>
      </c>
      <c r="B42" s="1" t="b">
        <v>0</v>
      </c>
      <c r="X42" s="31">
        <f>(IFERROR(AVERAGEIF(INDEX(RT!$D$1:$AY$812,MATCH("PLTU SRLYA #8",RT!$A$1:$A$812,0),0),"&lt;&gt;0"),0))/540</f>
        <v/>
      </c>
      <c r="Y42" s="31">
        <f t="array" ref="Y42">(SUMPRODUCT(VALUE(INDEX(ROH!$C$1:$AX$300,MATCH("PLTU SRLYA #8",ROH!$A$1:$A$300,0),0)))/48)/540</f>
        <v/>
      </c>
      <c r="Z42" s="31">
        <f t="array" ref="Z42">(SUMPRODUCT(VALUE(INDEX(INT!$C$1:$AX$300,MATCH("PLTU SRLYA #8",INT!$A$1:$A$300,0),0)))/48)/540</f>
        <v/>
      </c>
    </row>
    <row r="43">
      <c r="A43" s="28" t="inlineStr">
        <is>
          <t>Suralaya 1-4</t>
        </is>
      </c>
      <c r="B43" s="28" t="b">
        <v>0</v>
      </c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32">
        <f>(IFERROR(AVERAGEIF(INDEX(RT!$D$1:$AY$812,MATCH("PLTU SRLYA #1",RT!$A$1:$A$812,0),0),"&lt;&gt;0"),0)+IFERROR(AVERAGEIF(INDEX(RT!$D$1:$AY$812,MATCH("PLTU SRLYA #2",RT!$A$1:$A$812,0),0),"&lt;&gt;0"),0)+IFERROR(AVERAGEIF(INDEX(RT!$D$1:$AY$812,MATCH("PLTU SRLYA #3",RT!$A$1:$A$812,0),0),"&lt;&gt;0"),0)+IFERROR(AVERAGEIF(INDEX(RT!$D$1:$AY$812,MATCH("PLTU SRLYA #4",RT!$A$1:$A$812,0),0),"&lt;&gt;0"),0))/(371.5*4)</f>
        <v/>
      </c>
      <c r="Y43" s="32">
        <f t="array" ref="Y43">(SUMPRODUCT(VALUE(INDEX(ROH!$C$1:$AX$300,MATCH("PLTU SRLYA #1",ROH!$A$1:$A$300,0),0)))/48+SUMPRODUCT(VALUE(INDEX(ROH!$C$1:$AX$300,MATCH("PLTU SRLYA #2",ROH!$A$1:$A$300,0),0)))/48+SUMPRODUCT(VALUE(INDEX(ROH!$C$1:$AX$300,MATCH("PLTU SRLYA #3",ROH!$A$1:$A$300,0),0)))/48+SUMPRODUCT(VALUE(INDEX(ROH!$C$1:$AX$300,MATCH("PLTU SRLYA #4",ROH!$A$1:$A$300,0),0)))/48)/(371.5*4)</f>
        <v/>
      </c>
      <c r="Z43" s="32">
        <f t="array" ref="Z43">(SUMPRODUCT(VALUE(INDEX(INT!$C$1:$AX$300,MATCH("PLTU SRLYA #1",INT!$A$1:$A$300,0),0)))/48+SUMPRODUCT(VALUE(INDEX(INT!$C$1:$AX$300,MATCH("PLTU SRLYA #2",INT!$A$1:$A$300,0),0)))/48+SUMPRODUCT(VALUE(INDEX(INT!$C$1:$AX$300,MATCH("PLTU SRLYA #3",INT!$A$1:$A$300,0),0)))/48+SUMPRODUCT(VALUE(INDEX(INT!$C$1:$AX$300,MATCH("PLTU SRLYA #4",INT!$A$1:$A$300,0),0)))/48)/(371.5*4)</f>
        <v/>
      </c>
    </row>
    <row r="44">
      <c r="A44" t="inlineStr">
        <is>
          <t>PLTU REMBANG #10</t>
        </is>
      </c>
      <c r="B44" s="1" t="b">
        <v>0</v>
      </c>
      <c r="X44" s="31">
        <f>(IFERROR(AVERAGEIF(INDEX(RT!$D$1:$AY$812,MATCH("PLTU REMBANG #10",RT!$A$1:$A$812,0),0),"&lt;&gt;0"),0)+IFERROR(AVERAGEIF(INDEX(RT!$D$1:$AY$812,MATCH("PLTU REMBANG #20",RT!$A$1:$A$812,0),0),"&lt;&gt;0"),0))/(280*2)</f>
        <v/>
      </c>
      <c r="Y44" s="31">
        <f t="array" ref="Y44">(SUMPRODUCT(VALUE(INDEX(ROH!$C$1:$AX$300,MATCH("PLTU REMBANG #10",ROH!$A$1:$A$300,0),0)))/48+SUMPRODUCT(VALUE(INDEX(ROH!$C$1:$AX$300,MATCH("PLTU REMBANG #20",ROH!$A$1:$A$300,0),0)))/48)/(280*2)</f>
        <v/>
      </c>
      <c r="Z44" s="31">
        <f t="array" ref="Z44">(SUMPRODUCT(VALUE(INDEX(INT!$C$1:$AX$300,MATCH("PLTU REMBANG #10",INT!$A$1:$A$300,0),0)))/48+SUMPRODUCT(VALUE(INDEX(INT!$C$1:$AX$300,MATCH("PLTU REMBANG #20",INT!$A$1:$A$300,0),0)))/48)/(280*2)</f>
        <v/>
      </c>
    </row>
    <row r="45">
      <c r="A45" s="27" t="inlineStr">
        <is>
          <t>PLTU REMBANG #20</t>
        </is>
      </c>
      <c r="B45" s="28" t="b">
        <v>0</v>
      </c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30" t="n"/>
      <c r="Z45" s="27" t="n"/>
      <c r="AD45">
        <f>826-735</f>
        <v/>
      </c>
    </row>
    <row r="46">
      <c r="A46" s="1" t="inlineStr">
        <is>
          <t>PLTU CLCAP #1</t>
        </is>
      </c>
      <c r="B46" s="1" t="b">
        <v>0</v>
      </c>
      <c r="X46" s="31">
        <f>(IFERROR(AVERAGEIF(INDEX(RT!$D$1:$AY$812,MATCH("PLTU CLCAP #1",RT!$A$1:$A$812,0),0),"&lt;&gt;0"),0)+IFERROR(AVERAGEIF(INDEX(RT!$D$1:$AY$812,MATCH("PLTU CLCAP #2",RT!$A$1:$A$812,0),0),"&lt;&gt;0"),0))/(281*2)</f>
        <v/>
      </c>
      <c r="Y46" s="5">
        <f t="array" ref="Y46">(SUMPRODUCT(VALUE(INDEX(ROH!$C$1:$AX$300,MATCH("PLTU CLCAP #1",ROH!$A$1:$A$300,0),0)))/48+SUMPRODUCT(VALUE(INDEX(ROH!$C$1:$AX$300,MATCH("PLTU CLCAP #2",ROH!$A$1:$A$300,0),0)))/48)/(281*2)</f>
        <v/>
      </c>
      <c r="Z46" s="31">
        <f t="array" ref="Z46">(SUMPRODUCT(VALUE(INDEX(INT!$C$1:$AX$300,MATCH("PLTU CLCAP #1",INT!$A$1:$A$300,0),0)))/48+SUMPRODUCT(VALUE(INDEX(INT!$C$1:$AX$300,MATCH("PLTU CLCAP #2",INT!$A$1:$A$300,0),0)))/48)/(281*2)</f>
        <v/>
      </c>
    </row>
    <row r="47">
      <c r="A47" s="28" t="inlineStr">
        <is>
          <t>PLTU CLCAP #2</t>
        </is>
      </c>
      <c r="B47" s="28" t="b">
        <v>0</v>
      </c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33" t="n"/>
    </row>
    <row r="48">
      <c r="A48" t="inlineStr">
        <is>
          <t>PLTU INDRAMAYU #1</t>
        </is>
      </c>
      <c r="B48" s="1" t="b">
        <v>1</v>
      </c>
      <c r="X48" s="31">
        <f>(IFERROR(AVERAGEIF(INDEX(RT!$D$1:$AY$812,MATCH("PLTU INDRAMAYU #1",RT!$A$1:$A$812,0),0),"&lt;&gt;0"),0)+IFERROR(AVERAGEIF(INDEX(RT!$D$1:$AY$812,MATCH("PLTU INDRAMAYU #2",RT!$A$1:$A$812,0),0),"&lt;&gt;0"),0)+IFERROR(AVERAGEIF(INDEX(RT!$D$1:$AY$812,MATCH("PLTU INDRAMAYU #3",RT!$A$1:$A$812,0),0),"&lt;&gt;0"),0))/(290*3)</f>
        <v/>
      </c>
      <c r="Y48" s="31">
        <f t="array" ref="Y48">(SUMPRODUCT(VALUE(INDEX(ROH!$C$1:$AX$300,MATCH("PLTU INDRAMAYU #1",ROH!$A$1:$A$300,0),0)))/48+SUMPRODUCT(VALUE(INDEX(ROH!$C$1:$AX$300,MATCH("PLTU INDRAMAYU #2",ROH!$A$1:$A$300,0),0)))/48+SUMPRODUCT(VALUE(INDEX(ROH!$C$1:$AX$300,MATCH("PLTU INDRAMAYU #3",ROH!$A$1:$A$300,0),0)))/48)/(290*3)</f>
        <v/>
      </c>
      <c r="Z48" s="31">
        <f t="array" ref="Z48">(SUMPRODUCT(VALUE(INDEX(INT!$C$1:$AX$300,MATCH("PLTU INDRAMAYU #1",INT!$A$1:$A$300,0),0)))/48+SUMPRODUCT(VALUE(INDEX(INT!$C$1:$AX$300,MATCH("PLTU INDRAMAYU #2",INT!$A$1:$A$300,0),0)))/48+SUMPRODUCT(VALUE(INDEX(INT!$C$1:$AX$300,MATCH("PLTU INDRAMAYU #3",INT!$A$1:$A$300,0),0)))/48)/(290*3)</f>
        <v/>
      </c>
      <c r="AA48" s="23" t="n"/>
      <c r="AB48" s="6" t="n"/>
    </row>
    <row r="49">
      <c r="A49" s="27" t="inlineStr">
        <is>
          <t>PLTU INDRAMAYU #2</t>
        </is>
      </c>
      <c r="B49" s="28" t="b">
        <v>1</v>
      </c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</row>
    <row r="50">
      <c r="A50" t="inlineStr">
        <is>
          <t>PLTU INDRAMAYU #3</t>
        </is>
      </c>
      <c r="B50" s="1" t="b">
        <v>1</v>
      </c>
    </row>
    <row r="51">
      <c r="A51" s="1" t="inlineStr">
        <is>
          <t>Labuan</t>
        </is>
      </c>
      <c r="B51" s="1" t="b">
        <v>0</v>
      </c>
      <c r="X51" s="31">
        <f>(IFERROR(AVERAGEIF(INDEX(RT!$D$1:$AY$812,MATCH("PLTU LABUAN #1",RT!$A$1:$A$812,0),0),"&lt;&gt;0"),0)+IFERROR(AVERAGEIF(INDEX(RT!$D$1:$AY$812,MATCH("PLTU LABUAN #2",RT!$A$1:$A$812,0),0),"&lt;&gt;0"),0))/(280*2)</f>
        <v/>
      </c>
      <c r="Y51" s="31">
        <f t="array" ref="Y51">(SUMPRODUCT(VALUE(INDEX(ROH!$C$1:$AX$300,MATCH("PLTU LABUAN #1",ROH!$A$1:$A$300,0),0)))/48+SUMPRODUCT(VALUE(INDEX(ROH!$C$1:$AX$300,MATCH("PLTU LABUAN #2",ROH!$A$1:$A$300,0),0)))/48)/(280*2)</f>
        <v/>
      </c>
      <c r="Z51" s="31">
        <f t="array" ref="Z51">(SUMPRODUCT(VALUE(INDEX(INT!$C$1:$AX$300,MATCH("PLTU LABUAN #1",INT!$A$1:$A$300,0),0)))/48+SUMPRODUCT(VALUE(INDEX(INT!$C$1:$AX$300,MATCH("PLTU LABUAN #2",INT!$A$1:$A$300,0),0)))/48)/(280*2)</f>
        <v/>
      </c>
    </row>
    <row r="52">
      <c r="A52" s="1" t="inlineStr">
        <is>
          <t>Lontar</t>
        </is>
      </c>
      <c r="B52" s="1" t="b">
        <v>0</v>
      </c>
      <c r="X52" s="31">
        <f>(IFERROR(AVERAGEIF(INDEX(RT!$D$1:$AY$812,MATCH("PLTU LONTAR #1",RT!$A$1:$A$812,0),0),"&lt;&gt;0"),0)+IFERROR(AVERAGEIF(INDEX(RT!$D$1:$AY$812,MATCH("PLTU LONTAR #2",RT!$A$1:$A$812,0),0),"&lt;&gt;0"),0)+IFERROR(AVERAGEIF(INDEX(RT!$D$1:$AY$812,MATCH("PLTU LONTAR #3",RT!$A$1:$A$812,0),0),"&lt;&gt;0"),0)+IFERROR(AVERAGEIF(INDEX(RT!$D$1:$AY$812,MATCH("PLTU LONTAR #4",RT!$A$1:$A$812,0),0),"&lt;&gt;0"),0))/(280+280+280+293)</f>
        <v/>
      </c>
      <c r="Y52" s="31">
        <f t="array" ref="Y52">(SUMPRODUCT(VALUE(INDEX(ROH!$C$1:$AX$300,MATCH("PLTU LONTAR #1",ROH!$A$1:$A$300,0),0)))/48+SUMPRODUCT(VALUE(INDEX(ROH!$C$1:$AX$300,MATCH("PLTU LONTAR #2",ROH!$A$1:$A$300,0),0)))/48+SUMPRODUCT(VALUE(INDEX(ROH!$C$1:$AX$300,MATCH("PLTU LONTAR #3",ROH!$A$1:$A$300,0),0)))/48+SUMPRODUCT(VALUE(INDEX(ROH!$C$1:$AX$300,MATCH("PLTU LONTAR #4",ROH!$A$1:$A$300,0),0)))/48)/(280+280+280+293)</f>
        <v/>
      </c>
      <c r="Z52" s="31">
        <f t="array" ref="Z52">(SUMPRODUCT(VALUE(INDEX(INT!$C$1:$AX$300,MATCH("PLTU LONTAR #1",INT!$A$1:$A$300,0),0)))/48+SUMPRODUCT(VALUE(INDEX(INT!$C$1:$AX$300,MATCH("PLTU LONTAR #2",INT!$A$1:$A$300,0),0)))/48+SUMPRODUCT(VALUE(INDEX(INT!$C$1:$AX$300,MATCH("PLTU LONTAR #3",INT!$A$1:$A$300,0),0)))/48+SUMPRODUCT(VALUE(INDEX(INT!$C$1:$AX$300,MATCH("PLTU LONTAR #4",INT!$A$1:$A$300,0),0)))/48)/(280+280+280+293)</f>
        <v/>
      </c>
    </row>
    <row r="53">
      <c r="A53" s="1" t="n"/>
      <c r="B53" s="1" t="n"/>
      <c r="AF53" t="n">
        <v>100</v>
      </c>
    </row>
    <row r="54">
      <c r="A54" s="1" t="inlineStr">
        <is>
          <t>PLTA</t>
        </is>
      </c>
      <c r="B54" s="1" t="n"/>
      <c r="G54">
        <f>175*4+120*4</f>
        <v/>
      </c>
      <c r="AF54" t="n">
        <v>100</v>
      </c>
    </row>
    <row r="55">
      <c r="A55" s="1" t="inlineStr">
        <is>
          <t>grati</t>
        </is>
      </c>
      <c r="B55" s="1" t="n"/>
      <c r="AA55" t="inlineStr">
        <is>
          <t>pemakaian sekarang</t>
        </is>
      </c>
      <c r="AF55" t="n">
        <v>120</v>
      </c>
    </row>
    <row r="56">
      <c r="A56" s="1" t="inlineStr">
        <is>
          <t>mkrang1</t>
        </is>
      </c>
      <c r="B56" s="1" t="n"/>
      <c r="AA56" t="inlineStr">
        <is>
          <t>flow</t>
        </is>
      </c>
      <c r="AB56" t="inlineStr">
        <is>
          <t>cng</t>
        </is>
      </c>
      <c r="AF56" t="n">
        <v>80</v>
      </c>
    </row>
    <row r="57">
      <c r="A57" s="1" t="inlineStr">
        <is>
          <t>mkrang2</t>
        </is>
      </c>
      <c r="B57" s="1" t="n"/>
      <c r="Y57" t="inlineStr">
        <is>
          <t>tbrok</t>
        </is>
      </c>
      <c r="Z57" t="inlineStr">
        <is>
          <t>operasi 3</t>
        </is>
      </c>
      <c r="AA57" t="n">
        <v>54.5</v>
      </c>
      <c r="AB57" t="n">
        <v>21</v>
      </c>
      <c r="AC57">
        <f>SUM(AA57:AB57)</f>
        <v/>
      </c>
      <c r="AD57">
        <f>AC57/3</f>
        <v/>
      </c>
      <c r="AF57" t="n">
        <v>60</v>
      </c>
    </row>
    <row r="58">
      <c r="A58" s="1" t="inlineStr">
        <is>
          <t>mkrang3</t>
        </is>
      </c>
      <c r="B58" s="1" t="n"/>
      <c r="AF58" t="n">
        <v>25</v>
      </c>
    </row>
    <row r="59">
      <c r="A59" s="1" t="inlineStr">
        <is>
          <t>mtwar</t>
        </is>
      </c>
      <c r="B59" s="1" t="n"/>
      <c r="W59" t="inlineStr">
        <is>
          <t>prioritas gas sesuai nominasi</t>
        </is>
      </c>
      <c r="AF59" t="n">
        <v>120</v>
      </c>
    </row>
    <row r="60">
      <c r="A60" s="1" t="inlineStr">
        <is>
          <t>clgon</t>
        </is>
      </c>
      <c r="B60" s="1" t="n"/>
      <c r="AF60" t="n">
        <v>150</v>
      </c>
    </row>
    <row r="61">
      <c r="A61" s="1" t="inlineStr">
        <is>
          <t>tbrok1</t>
        </is>
      </c>
      <c r="B61" s="1" t="n"/>
      <c r="W61" t="inlineStr">
        <is>
          <t>prioritas gas menjaga CNG</t>
        </is>
      </c>
      <c r="AF61">
        <f>SUM(AF53:AF60)</f>
        <v/>
      </c>
      <c r="AG61">
        <f>AF61-390</f>
        <v/>
      </c>
    </row>
    <row r="62">
      <c r="A62" s="1" t="inlineStr">
        <is>
          <t>tbrok2</t>
        </is>
      </c>
      <c r="B62" s="1" t="n"/>
      <c r="AF62">
        <f>951-415</f>
        <v/>
      </c>
    </row>
    <row r="63">
      <c r="A63" s="1" t="inlineStr">
        <is>
          <t>priok1/2</t>
        </is>
      </c>
      <c r="B63" s="1" t="n"/>
    </row>
    <row r="64">
      <c r="A64" s="1" t="inlineStr">
        <is>
          <t>priok3</t>
        </is>
      </c>
      <c r="B64" s="1" t="n"/>
    </row>
    <row r="65">
      <c r="A65" s="1" t="inlineStr">
        <is>
          <t>priok4</t>
        </is>
      </c>
      <c r="B65" s="1" t="n"/>
    </row>
    <row r="66">
      <c r="A66" s="1" t="inlineStr">
        <is>
          <t>CLMYA</t>
        </is>
      </c>
      <c r="B66" s="1" t="n"/>
    </row>
    <row r="67">
      <c r="A67" s="1" t="inlineStr">
        <is>
          <t>Grsik</t>
        </is>
      </c>
      <c r="B67" s="1" t="n"/>
      <c r="W67" t="inlineStr">
        <is>
          <t>prioritas bbm gresi1</t>
        </is>
      </c>
    </row>
    <row r="68">
      <c r="A68" t="inlineStr">
        <is>
          <t>TOTAL SCH</t>
        </is>
      </c>
      <c r="C68">
        <f t="array" ref="C68">SUMPRODUCT(IFERROR(($B$71:$B$127=1)*VALUE(C71:C127),0))</f>
        <v/>
      </c>
      <c r="D68">
        <f t="array" ref="D68">SUMPRODUCT(IFERROR(($B$71:$B$127=1)*VALUE(D71:D127),0))</f>
        <v/>
      </c>
      <c r="E68">
        <f t="array" ref="E68">SUMPRODUCT(IFERROR(($B$71:$B$127=1)*VALUE(E71:E127),0))</f>
        <v/>
      </c>
      <c r="F68">
        <f t="array" ref="F68">SUMPRODUCT(IFERROR(($B$71:$B$127=1)*VALUE(F71:F127),0))</f>
        <v/>
      </c>
      <c r="G68">
        <f t="array" ref="G68">SUMPRODUCT(IFERROR(($B$71:$B$127=1)*VALUE(G71:G127),0))</f>
        <v/>
      </c>
      <c r="H68">
        <f t="array" ref="H68">SUMPRODUCT(IFERROR(($B$71:$B$127=1)*VALUE(H71:H127),0))</f>
        <v/>
      </c>
      <c r="I68">
        <f t="array" ref="I68">SUMPRODUCT(IFERROR(($B$71:$B$127=1)*VALUE(I71:I127),0))</f>
        <v/>
      </c>
      <c r="J68">
        <f t="array" ref="J68">SUMPRODUCT(IFERROR(($B$71:$B$127=1)*VALUE(J71:J127),0))</f>
        <v/>
      </c>
      <c r="K68">
        <f t="array" ref="K68">SUMPRODUCT(IFERROR(($B$71:$B$127=1)*VALUE(K71:K127),0))</f>
        <v/>
      </c>
      <c r="L68">
        <f t="array" ref="L68">SUMPRODUCT(IFERROR(($B$71:$B$127=1)*VALUE(L71:L127),0))</f>
        <v/>
      </c>
      <c r="M68">
        <f t="array" ref="M68">SUMPRODUCT(IFERROR(($B$71:$B$127=1)*VALUE(M71:M127),0))</f>
        <v/>
      </c>
      <c r="N68">
        <f t="array" ref="N68">SUMPRODUCT(IFERROR(($B$71:$B$127=1)*VALUE(N71:N127),0))</f>
        <v/>
      </c>
      <c r="O68">
        <f t="array" ref="O68">SUMPRODUCT(IFERROR(($B$71:$B$127=1)*VALUE(O71:O127),0))</f>
        <v/>
      </c>
      <c r="P68">
        <f t="array" ref="P68">SUMPRODUCT(IFERROR(($B$71:$B$127=1)*VALUE(P71:P127),0))</f>
        <v/>
      </c>
      <c r="Q68">
        <f t="array" ref="Q68">SUMPRODUCT(IFERROR(($B$71:$B$127=1)*VALUE(Q71:Q127),0))</f>
        <v/>
      </c>
      <c r="R68">
        <f t="array" ref="R68">SUMPRODUCT(IFERROR(($B$71:$B$127=1)*VALUE(R71:R127),0))</f>
        <v/>
      </c>
      <c r="S68">
        <f t="array" ref="S68">SUMPRODUCT(IFERROR(($B$71:$B$127=1)*VALUE(S71:S127),0))</f>
        <v/>
      </c>
      <c r="T68">
        <f t="array" ref="T68">SUMPRODUCT(IFERROR(($B$71:$B$127=1)*VALUE(T71:T127),0))</f>
        <v/>
      </c>
      <c r="U68">
        <f t="array" ref="U68">SUMPRODUCT(IFERROR(($B$71:$B$127=1)*VALUE(U71:U127),0))</f>
        <v/>
      </c>
      <c r="V68">
        <f t="array" ref="V68">SUMPRODUCT(IFERROR(($B$71:$B$127=1)*VALUE(V71:V127),0))</f>
        <v/>
      </c>
      <c r="AB68" t="inlineStr">
        <is>
          <t>TJATI4</t>
        </is>
      </c>
      <c r="AC68" t="n">
        <v>650</v>
      </c>
    </row>
    <row r="69">
      <c r="AB69" t="inlineStr">
        <is>
          <t>krian ibt 6</t>
        </is>
      </c>
      <c r="AC69" t="n">
        <v>1300</v>
      </c>
    </row>
    <row r="70">
      <c r="C70">
        <f t="array" ref="C70:V70">OFFSET(INDIRECT($A$137&amp;"!$C$1:$AX$1"),0,$X$1,1,20)</f>
        <v/>
      </c>
      <c r="D70">
        <f/>
        <v/>
      </c>
      <c r="E70">
        <f/>
        <v/>
      </c>
      <c r="F70">
        <f/>
        <v/>
      </c>
      <c r="G70">
        <f/>
        <v/>
      </c>
      <c r="H70">
        <f/>
        <v/>
      </c>
      <c r="I70">
        <f/>
        <v/>
      </c>
      <c r="J70">
        <f/>
        <v/>
      </c>
      <c r="K70">
        <f/>
        <v/>
      </c>
      <c r="L70">
        <f/>
        <v/>
      </c>
      <c r="M70">
        <f/>
        <v/>
      </c>
      <c r="N70">
        <f/>
        <v/>
      </c>
      <c r="O70">
        <f/>
        <v/>
      </c>
      <c r="P70">
        <f/>
        <v/>
      </c>
      <c r="Q70">
        <f/>
        <v/>
      </c>
      <c r="R70">
        <f/>
        <v/>
      </c>
      <c r="S70">
        <f/>
        <v/>
      </c>
      <c r="T70">
        <f/>
        <v/>
      </c>
      <c r="U70">
        <f/>
        <v/>
      </c>
      <c r="V70">
        <f/>
        <v/>
      </c>
      <c r="AA70" t="n">
        <v>1200</v>
      </c>
      <c r="AB70" t="inlineStr">
        <is>
          <t>krian124gresik12</t>
        </is>
      </c>
      <c r="AC70" t="inlineStr">
        <is>
          <t>ibt-2=320 selain ini 275, ols tahap 1 350</t>
        </is>
      </c>
    </row>
    <row r="71">
      <c r="A71" s="1" t="inlineStr">
        <is>
          <t>PLTU TJATI #3</t>
        </is>
      </c>
      <c r="B71" s="3">
        <f>IF(VLOOKUP(A71,$A$7:$B$52,2,FALSE),1,0)</f>
        <v/>
      </c>
      <c r="C71">
        <f t="array" ref="C71:V71">OFFSET(INDIRECT($A$137&amp;"!$C$7:$AX$8"),MATCH(A71,INDIRECT($A$137&amp;"!$A$8:$A$306"),0),$X$1,1,20)</f>
        <v/>
      </c>
      <c r="D71">
        <f/>
        <v/>
      </c>
      <c r="E71">
        <f/>
        <v/>
      </c>
      <c r="F71">
        <f/>
        <v/>
      </c>
      <c r="G71">
        <f/>
        <v/>
      </c>
      <c r="H71">
        <f/>
        <v/>
      </c>
      <c r="I71">
        <f/>
        <v/>
      </c>
      <c r="J71">
        <f/>
        <v/>
      </c>
      <c r="K71">
        <f/>
        <v/>
      </c>
      <c r="L71">
        <f/>
        <v/>
      </c>
      <c r="M71">
        <f/>
        <v/>
      </c>
      <c r="N71">
        <f/>
        <v/>
      </c>
      <c r="O71">
        <f/>
        <v/>
      </c>
      <c r="P71">
        <f/>
        <v/>
      </c>
      <c r="Q71">
        <f/>
        <v/>
      </c>
      <c r="R71">
        <f/>
        <v/>
      </c>
      <c r="S71">
        <f/>
        <v/>
      </c>
      <c r="T71">
        <f/>
        <v/>
      </c>
      <c r="U71">
        <f/>
        <v/>
      </c>
      <c r="V71">
        <f/>
        <v/>
      </c>
      <c r="AB71" t="inlineStr">
        <is>
          <t>cilegon</t>
        </is>
      </c>
      <c r="AC71" t="n">
        <v>800</v>
      </c>
      <c r="AE71" t="inlineStr">
        <is>
          <t>ols-1875</t>
        </is>
      </c>
      <c r="AF71" t="inlineStr">
        <is>
          <t>n-1 1200</t>
        </is>
      </c>
    </row>
    <row r="72">
      <c r="A72" s="1" t="inlineStr">
        <is>
          <t>PLTU TJATI #4</t>
        </is>
      </c>
      <c r="B72" s="3">
        <f>IF(VLOOKUP(A72,$A$7:$B$52,2,FALSE),1,0)</f>
        <v/>
      </c>
      <c r="C72">
        <f t="array" ref="C72:V72">OFFSET(INDIRECT($A$137&amp;"!$C$7:$AX$8"),MATCH(A72,INDIRECT($A$137&amp;"!$A$8:$A$306"),0),$X$1,1,20)</f>
        <v/>
      </c>
      <c r="D72">
        <f/>
        <v/>
      </c>
      <c r="E72">
        <f/>
        <v/>
      </c>
      <c r="F72">
        <f/>
        <v/>
      </c>
      <c r="G72">
        <f/>
        <v/>
      </c>
      <c r="H72">
        <f/>
        <v/>
      </c>
      <c r="I72">
        <f/>
        <v/>
      </c>
      <c r="J72">
        <f/>
        <v/>
      </c>
      <c r="K72">
        <f/>
        <v/>
      </c>
      <c r="L72">
        <f/>
        <v/>
      </c>
      <c r="M72">
        <f/>
        <v/>
      </c>
      <c r="N72">
        <f/>
        <v/>
      </c>
      <c r="O72">
        <f/>
        <v/>
      </c>
      <c r="P72">
        <f/>
        <v/>
      </c>
      <c r="Q72">
        <f/>
        <v/>
      </c>
      <c r="R72">
        <f/>
        <v/>
      </c>
      <c r="S72">
        <f/>
        <v/>
      </c>
      <c r="T72">
        <f/>
        <v/>
      </c>
      <c r="U72">
        <f/>
        <v/>
      </c>
      <c r="V72">
        <f/>
        <v/>
      </c>
      <c r="AB72" t="inlineStr">
        <is>
          <t>grati</t>
        </is>
      </c>
      <c r="AC72" t="n">
        <v>750</v>
      </c>
    </row>
    <row r="73">
      <c r="A73" s="1" t="inlineStr">
        <is>
          <t>PLTU TJATIBJP #5</t>
        </is>
      </c>
      <c r="B73" s="3">
        <f>IF(VLOOKUP(A73,$A$7:$B$52,2,FALSE),1,0)</f>
        <v/>
      </c>
      <c r="C73">
        <f t="array" ref="C73:V73">OFFSET(INDIRECT($A$137&amp;"!$C$7:$AX$8"),MATCH(A73,INDIRECT($A$137&amp;"!$A$8:$A$306"),0),$X$1,1,20)</f>
        <v/>
      </c>
      <c r="D73">
        <f/>
        <v/>
      </c>
      <c r="E73">
        <f/>
        <v/>
      </c>
      <c r="F73">
        <f/>
        <v/>
      </c>
      <c r="G73">
        <f/>
        <v/>
      </c>
      <c r="H73">
        <f/>
        <v/>
      </c>
      <c r="I73">
        <f/>
        <v/>
      </c>
      <c r="J73">
        <f/>
        <v/>
      </c>
      <c r="K73">
        <f/>
        <v/>
      </c>
      <c r="L73">
        <f/>
        <v/>
      </c>
      <c r="M73">
        <f/>
        <v/>
      </c>
      <c r="N73">
        <f/>
        <v/>
      </c>
      <c r="O73">
        <f/>
        <v/>
      </c>
      <c r="P73">
        <f/>
        <v/>
      </c>
      <c r="Q73">
        <f/>
        <v/>
      </c>
      <c r="R73">
        <f/>
        <v/>
      </c>
      <c r="S73">
        <f/>
        <v/>
      </c>
      <c r="T73">
        <f/>
        <v/>
      </c>
      <c r="U73">
        <f/>
        <v/>
      </c>
      <c r="V73">
        <f/>
        <v/>
      </c>
      <c r="AB73" t="inlineStr">
        <is>
          <t>kesugihan</t>
        </is>
      </c>
      <c r="AC73" t="n">
        <v>400</v>
      </c>
    </row>
    <row r="74">
      <c r="A74" s="1" t="inlineStr">
        <is>
          <t>PLTU TJATIBJP #6</t>
        </is>
      </c>
      <c r="B74" s="3">
        <f>IF(VLOOKUP(A74,$A$7:$B$52,2,FALSE),1,0)</f>
        <v/>
      </c>
      <c r="C74">
        <f t="array" ref="C74:V74">OFFSET(INDIRECT($A$137&amp;"!$C$7:$AX$8"),MATCH(A74,INDIRECT($A$137&amp;"!$A$8:$A$306"),0),$X$1,1,20)</f>
        <v/>
      </c>
      <c r="D74">
        <f/>
        <v/>
      </c>
      <c r="E74">
        <f/>
        <v/>
      </c>
      <c r="F74">
        <f/>
        <v/>
      </c>
      <c r="G74">
        <f/>
        <v/>
      </c>
      <c r="H74">
        <f/>
        <v/>
      </c>
      <c r="I74">
        <f/>
        <v/>
      </c>
      <c r="J74">
        <f/>
        <v/>
      </c>
      <c r="K74">
        <f/>
        <v/>
      </c>
      <c r="L74">
        <f/>
        <v/>
      </c>
      <c r="M74">
        <f/>
        <v/>
      </c>
      <c r="N74">
        <f/>
        <v/>
      </c>
      <c r="O74">
        <f/>
        <v/>
      </c>
      <c r="P74">
        <f/>
        <v/>
      </c>
      <c r="Q74">
        <f/>
        <v/>
      </c>
      <c r="R74">
        <f/>
        <v/>
      </c>
      <c r="S74">
        <f/>
        <v/>
      </c>
      <c r="T74">
        <f/>
        <v/>
      </c>
      <c r="U74">
        <f/>
        <v/>
      </c>
      <c r="V74">
        <f/>
        <v/>
      </c>
      <c r="AB74" t="inlineStr">
        <is>
          <t>start up GU GT 30 menit grati CC 50 menit</t>
        </is>
      </c>
    </row>
    <row r="75">
      <c r="A75" s="1" t="inlineStr">
        <is>
          <t>PLTU LBE #1</t>
        </is>
      </c>
      <c r="B75" s="3">
        <f>IF(VLOOKUP(A75,$A$7:$B$52,2,FALSE),1,0)</f>
        <v/>
      </c>
      <c r="C75">
        <f t="array" ref="C75:V75">OFFSET(INDIRECT($A$137&amp;"!$C$7:$AX$8"),MATCH(A75,INDIRECT($A$137&amp;"!$A$8:$A$306"),0),$X$1,1,20)</f>
        <v/>
      </c>
      <c r="D75">
        <f/>
        <v/>
      </c>
      <c r="E75">
        <f/>
        <v/>
      </c>
      <c r="F75">
        <f/>
        <v/>
      </c>
      <c r="G75">
        <f/>
        <v/>
      </c>
      <c r="H75">
        <f/>
        <v/>
      </c>
      <c r="I75">
        <f/>
        <v/>
      </c>
      <c r="J75">
        <f/>
        <v/>
      </c>
      <c r="K75">
        <f/>
        <v/>
      </c>
      <c r="L75">
        <f/>
        <v/>
      </c>
      <c r="M75">
        <f/>
        <v/>
      </c>
      <c r="N75">
        <f/>
        <v/>
      </c>
      <c r="O75">
        <f/>
        <v/>
      </c>
      <c r="P75">
        <f/>
        <v/>
      </c>
      <c r="Q75">
        <f/>
        <v/>
      </c>
      <c r="R75">
        <f/>
        <v/>
      </c>
      <c r="S75">
        <f/>
        <v/>
      </c>
      <c r="T75">
        <f/>
        <v/>
      </c>
      <c r="U75">
        <f/>
        <v/>
      </c>
      <c r="V75">
        <f/>
        <v/>
      </c>
      <c r="AB75" t="inlineStr">
        <is>
          <t>jawa7</t>
        </is>
      </c>
      <c r="AC75" t="inlineStr">
        <is>
          <t xml:space="preserve">titik buta </t>
        </is>
      </c>
      <c r="AD75" t="n">
        <v>800</v>
      </c>
    </row>
    <row r="76">
      <c r="A76" s="1" t="inlineStr">
        <is>
          <t>PLTU TJATI #1</t>
        </is>
      </c>
      <c r="B76" s="3">
        <f>IF(VLOOKUP(A76,$A$7:$B$52,2,FALSE),1,0)</f>
        <v/>
      </c>
      <c r="C76">
        <f t="array" ref="C76:V76">OFFSET(INDIRECT($A$137&amp;"!$C$7:$AX$8"),MATCH(A76,INDIRECT($A$137&amp;"!$A$8:$A$306"),0),$X$1,1,20)</f>
        <v/>
      </c>
      <c r="D76">
        <f/>
        <v/>
      </c>
      <c r="E76">
        <f/>
        <v/>
      </c>
      <c r="F76">
        <f/>
        <v/>
      </c>
      <c r="G76">
        <f/>
        <v/>
      </c>
      <c r="H76">
        <f/>
        <v/>
      </c>
      <c r="I76">
        <f/>
        <v/>
      </c>
      <c r="J76">
        <f/>
        <v/>
      </c>
      <c r="K76">
        <f/>
        <v/>
      </c>
      <c r="L76">
        <f/>
        <v/>
      </c>
      <c r="M76">
        <f/>
        <v/>
      </c>
      <c r="N76">
        <f/>
        <v/>
      </c>
      <c r="O76">
        <f/>
        <v/>
      </c>
      <c r="P76">
        <f/>
        <v/>
      </c>
      <c r="Q76">
        <f/>
        <v/>
      </c>
      <c r="R76">
        <f/>
        <v/>
      </c>
      <c r="S76">
        <f/>
        <v/>
      </c>
      <c r="T76">
        <f/>
        <v/>
      </c>
      <c r="U76">
        <f/>
        <v/>
      </c>
      <c r="V76">
        <f/>
        <v/>
      </c>
    </row>
    <row r="77">
      <c r="A77" s="1" t="inlineStr">
        <is>
          <t>PLTU TJATI #2</t>
        </is>
      </c>
      <c r="B77" s="3">
        <f>IF(VLOOKUP(A77,$A$7:$B$52,2,FALSE),1,0)</f>
        <v/>
      </c>
      <c r="C77">
        <f t="array" ref="C77:V77">OFFSET(INDIRECT($A$137&amp;"!$C$7:$AX$8"),MATCH(A77,INDIRECT($A$137&amp;"!$A$8:$A$306"),0),$X$1,1,20)</f>
        <v/>
      </c>
      <c r="D77">
        <f/>
        <v/>
      </c>
      <c r="E77">
        <f/>
        <v/>
      </c>
      <c r="F77">
        <f/>
        <v/>
      </c>
      <c r="G77">
        <f/>
        <v/>
      </c>
      <c r="H77">
        <f/>
        <v/>
      </c>
      <c r="I77">
        <f/>
        <v/>
      </c>
      <c r="J77">
        <f/>
        <v/>
      </c>
      <c r="K77">
        <f/>
        <v/>
      </c>
      <c r="L77">
        <f/>
        <v/>
      </c>
      <c r="M77">
        <f/>
        <v/>
      </c>
      <c r="N77">
        <f/>
        <v/>
      </c>
      <c r="O77">
        <f/>
        <v/>
      </c>
      <c r="P77">
        <f/>
        <v/>
      </c>
      <c r="Q77">
        <f/>
        <v/>
      </c>
      <c r="R77">
        <f/>
        <v/>
      </c>
      <c r="S77">
        <f/>
        <v/>
      </c>
      <c r="T77">
        <f/>
        <v/>
      </c>
      <c r="U77">
        <f/>
        <v/>
      </c>
      <c r="V77">
        <f/>
        <v/>
      </c>
    </row>
    <row r="78">
      <c r="A78" s="1" t="inlineStr">
        <is>
          <t>PLTU CLCAP #4</t>
        </is>
      </c>
      <c r="B78" s="3">
        <f>IF(VLOOKUP(A78,$A$7:$B$52,2,FALSE),1,0)</f>
        <v/>
      </c>
      <c r="C78">
        <f t="array" ref="C78:V78">OFFSET(INDIRECT($A$137&amp;"!$C$7:$AX$8"),MATCH(A78,INDIRECT($A$137&amp;"!$A$8:$A$306"),0),$X$1,1,20)</f>
        <v/>
      </c>
      <c r="D78">
        <f/>
        <v/>
      </c>
      <c r="E78">
        <f/>
        <v/>
      </c>
      <c r="F78">
        <f/>
        <v/>
      </c>
      <c r="G78">
        <f/>
        <v/>
      </c>
      <c r="H78">
        <f/>
        <v/>
      </c>
      <c r="I78">
        <f/>
        <v/>
      </c>
      <c r="J78">
        <f/>
        <v/>
      </c>
      <c r="K78">
        <f/>
        <v/>
      </c>
      <c r="L78">
        <f/>
        <v/>
      </c>
      <c r="M78">
        <f/>
        <v/>
      </c>
      <c r="N78">
        <f/>
        <v/>
      </c>
      <c r="O78">
        <f/>
        <v/>
      </c>
      <c r="P78">
        <f/>
        <v/>
      </c>
      <c r="Q78">
        <f/>
        <v/>
      </c>
      <c r="R78">
        <f/>
        <v/>
      </c>
      <c r="S78">
        <f/>
        <v/>
      </c>
      <c r="T78">
        <f/>
        <v/>
      </c>
      <c r="U78">
        <f/>
        <v/>
      </c>
      <c r="V78">
        <f/>
        <v/>
      </c>
      <c r="AE78" t="n">
        <v>270</v>
      </c>
      <c r="AF78" t="n">
        <v>20</v>
      </c>
    </row>
    <row r="79">
      <c r="A79" s="1" t="inlineStr">
        <is>
          <t>PLTU BATANG #1</t>
        </is>
      </c>
      <c r="B79" s="3">
        <f>IF(VLOOKUP(A79,$A$7:$B$52,2,FALSE),1,0)</f>
        <v/>
      </c>
      <c r="C79">
        <f t="array" ref="C79:V79">OFFSET(INDIRECT($A$137&amp;"!$C$7:$AX$8"),MATCH(A79,INDIRECT($A$137&amp;"!$A$8:$A$306"),0),$X$1,1,20)</f>
        <v/>
      </c>
      <c r="D79">
        <f/>
        <v/>
      </c>
      <c r="E79">
        <f/>
        <v/>
      </c>
      <c r="F79">
        <f/>
        <v/>
      </c>
      <c r="G79">
        <f/>
        <v/>
      </c>
      <c r="H79">
        <f/>
        <v/>
      </c>
      <c r="I79">
        <f/>
        <v/>
      </c>
      <c r="J79">
        <f/>
        <v/>
      </c>
      <c r="K79">
        <f/>
        <v/>
      </c>
      <c r="L79">
        <f/>
        <v/>
      </c>
      <c r="M79">
        <f/>
        <v/>
      </c>
      <c r="N79">
        <f/>
        <v/>
      </c>
      <c r="O79">
        <f/>
        <v/>
      </c>
      <c r="P79">
        <f/>
        <v/>
      </c>
      <c r="Q79">
        <f/>
        <v/>
      </c>
      <c r="R79">
        <f/>
        <v/>
      </c>
      <c r="S79">
        <f/>
        <v/>
      </c>
      <c r="T79">
        <f/>
        <v/>
      </c>
      <c r="U79">
        <f/>
        <v/>
      </c>
      <c r="V79">
        <f/>
        <v/>
      </c>
    </row>
    <row r="80">
      <c r="A80" s="1" t="inlineStr">
        <is>
          <t>PLTU BATANG #2</t>
        </is>
      </c>
      <c r="B80" s="3">
        <f>IF(VLOOKUP(A80,$A$7:$B$52,2,FALSE),1,0)</f>
        <v/>
      </c>
      <c r="C80">
        <f t="array" ref="C80:V80">OFFSET(INDIRECT($A$137&amp;"!$C$7:$AX$8"),MATCH(A80,INDIRECT($A$137&amp;"!$A$8:$A$306"),0),$X$1,1,20)</f>
        <v/>
      </c>
      <c r="D80">
        <f/>
        <v/>
      </c>
      <c r="E80">
        <f/>
        <v/>
      </c>
      <c r="F80">
        <f/>
        <v/>
      </c>
      <c r="G80">
        <f/>
        <v/>
      </c>
      <c r="H80">
        <f/>
        <v/>
      </c>
      <c r="I80">
        <f/>
        <v/>
      </c>
      <c r="J80">
        <f/>
        <v/>
      </c>
      <c r="K80">
        <f/>
        <v/>
      </c>
      <c r="L80">
        <f/>
        <v/>
      </c>
      <c r="M80">
        <f/>
        <v/>
      </c>
      <c r="N80">
        <f/>
        <v/>
      </c>
      <c r="O80">
        <f/>
        <v/>
      </c>
      <c r="P80">
        <f/>
        <v/>
      </c>
      <c r="Q80">
        <f/>
        <v/>
      </c>
      <c r="R80">
        <f/>
        <v/>
      </c>
      <c r="S80">
        <f/>
        <v/>
      </c>
      <c r="T80">
        <f/>
        <v/>
      </c>
      <c r="U80">
        <f/>
        <v/>
      </c>
      <c r="V80">
        <f/>
        <v/>
      </c>
      <c r="AB80" t="inlineStr">
        <is>
          <t>sinkron</t>
        </is>
      </c>
      <c r="AC80" t="inlineStr">
        <is>
          <t>combine</t>
        </is>
      </c>
      <c r="AD80" t="n">
        <v>2</v>
      </c>
      <c r="AE80" t="inlineStr">
        <is>
          <t>st</t>
        </is>
      </c>
      <c r="AF80" t="inlineStr">
        <is>
          <t>total</t>
        </is>
      </c>
      <c r="AH80" t="inlineStr">
        <is>
          <t>DMN</t>
        </is>
      </c>
      <c r="AI80" t="inlineStr">
        <is>
          <t>TML</t>
        </is>
      </c>
    </row>
    <row r="81">
      <c r="A81" s="1" t="inlineStr">
        <is>
          <t>PLTU JAWA #09</t>
        </is>
      </c>
      <c r="B81" s="3">
        <f>IF(VLOOKUP(A81,$A$7:$B$52,2,FALSE),1,0)</f>
        <v/>
      </c>
      <c r="C81">
        <f t="array" ref="C81:V81">OFFSET(INDIRECT($A$137&amp;"!$C$7:$AX$8"),MATCH(A81,INDIRECT($A$137&amp;"!$A$8:$A$306"),0),$X$1,1,20)</f>
        <v/>
      </c>
      <c r="D81">
        <f/>
        <v/>
      </c>
      <c r="E81">
        <f/>
        <v/>
      </c>
      <c r="F81">
        <f/>
        <v/>
      </c>
      <c r="G81">
        <f/>
        <v/>
      </c>
      <c r="H81">
        <f/>
        <v/>
      </c>
      <c r="I81">
        <f/>
        <v/>
      </c>
      <c r="J81">
        <f/>
        <v/>
      </c>
      <c r="K81">
        <f/>
        <v/>
      </c>
      <c r="L81">
        <f/>
        <v/>
      </c>
      <c r="M81">
        <f/>
        <v/>
      </c>
      <c r="N81">
        <f/>
        <v/>
      </c>
      <c r="O81">
        <f/>
        <v/>
      </c>
      <c r="P81">
        <f/>
        <v/>
      </c>
      <c r="Q81">
        <f/>
        <v/>
      </c>
      <c r="R81">
        <f/>
        <v/>
      </c>
      <c r="S81">
        <f/>
        <v/>
      </c>
      <c r="T81">
        <f/>
        <v/>
      </c>
      <c r="U81">
        <f/>
        <v/>
      </c>
      <c r="V81">
        <f/>
        <v/>
      </c>
      <c r="Y81" s="19" t="inlineStr">
        <is>
          <t>grati123</t>
        </is>
      </c>
      <c r="Z81" s="19" t="inlineStr">
        <is>
          <t>750 MW</t>
        </is>
      </c>
      <c r="AA81" t="inlineStr">
        <is>
          <t>grati</t>
        </is>
      </c>
      <c r="AB81" t="inlineStr">
        <is>
          <t>30 menit</t>
        </is>
      </c>
      <c r="AC81" t="inlineStr">
        <is>
          <t>50 menit</t>
        </is>
      </c>
      <c r="AD81" s="2">
        <f>70*AD80+35*AD80</f>
        <v/>
      </c>
      <c r="AE81" t="n">
        <v>470</v>
      </c>
      <c r="AH81" t="n">
        <v>98</v>
      </c>
      <c r="AI81" t="n">
        <v>30</v>
      </c>
    </row>
    <row r="82">
      <c r="A82" s="1" t="inlineStr">
        <is>
          <t>PLTU JAWA #10</t>
        </is>
      </c>
      <c r="B82" s="3">
        <f>IF(VLOOKUP(A82,$A$7:$B$52,2,FALSE),1,0)</f>
        <v/>
      </c>
      <c r="C82">
        <f t="array" ref="C82:V82">OFFSET(INDIRECT($A$137&amp;"!$C$7:$AX$8"),MATCH(A82,INDIRECT($A$137&amp;"!$A$8:$A$306"),0),$X$1,1,20)</f>
        <v/>
      </c>
      <c r="D82">
        <f/>
        <v/>
      </c>
      <c r="E82">
        <f/>
        <v/>
      </c>
      <c r="F82">
        <f/>
        <v/>
      </c>
      <c r="G82">
        <f/>
        <v/>
      </c>
      <c r="H82">
        <f/>
        <v/>
      </c>
      <c r="I82">
        <f/>
        <v/>
      </c>
      <c r="J82">
        <f/>
        <v/>
      </c>
      <c r="K82">
        <f/>
        <v/>
      </c>
      <c r="L82">
        <f/>
        <v/>
      </c>
      <c r="M82">
        <f/>
        <v/>
      </c>
      <c r="N82">
        <f/>
        <v/>
      </c>
      <c r="O82">
        <f/>
        <v/>
      </c>
      <c r="P82">
        <f/>
        <v/>
      </c>
      <c r="Q82">
        <f/>
        <v/>
      </c>
      <c r="R82">
        <f/>
        <v/>
      </c>
      <c r="S82">
        <f/>
        <v/>
      </c>
      <c r="T82">
        <f/>
        <v/>
      </c>
      <c r="U82">
        <f/>
        <v/>
      </c>
      <c r="V82">
        <f/>
        <v/>
      </c>
      <c r="Y82" s="19" t="inlineStr">
        <is>
          <t>ungran12</t>
        </is>
      </c>
      <c r="Z82" s="19" t="inlineStr">
        <is>
          <t>200/&lt;900 A</t>
        </is>
      </c>
      <c r="AA82" t="inlineStr">
        <is>
          <t>tbrok</t>
        </is>
      </c>
      <c r="AB82" t="inlineStr">
        <is>
          <t>45 menit</t>
        </is>
      </c>
      <c r="AC82" t="inlineStr">
        <is>
          <t>45 menit</t>
        </is>
      </c>
      <c r="AD82" t="n">
        <v>30</v>
      </c>
      <c r="AE82" t="n">
        <v>80</v>
      </c>
      <c r="AH82" t="n">
        <v>93</v>
      </c>
      <c r="AI82" t="n">
        <v>35</v>
      </c>
      <c r="AJ82" t="inlineStr">
        <is>
          <t>tahap 1 di 1900</t>
        </is>
      </c>
    </row>
    <row r="83">
      <c r="A83" t="inlineStr">
        <is>
          <t>PLTU JAWA 7 #1</t>
        </is>
      </c>
      <c r="B83" s="3">
        <f>IF(VLOOKUP(A83,$A$7:$B$52,2,FALSE),1,0)</f>
        <v/>
      </c>
      <c r="C83">
        <f t="array" ref="C83:V83">OFFSET(INDIRECT($A$137&amp;"!$C$7:$AX$8"),MATCH(A83,INDIRECT($A$137&amp;"!$A$8:$A$306"),0),$X$1,1,20)</f>
        <v/>
      </c>
      <c r="D83">
        <f/>
        <v/>
      </c>
      <c r="E83">
        <f/>
        <v/>
      </c>
      <c r="F83">
        <f/>
        <v/>
      </c>
      <c r="G83">
        <f/>
        <v/>
      </c>
      <c r="H83">
        <f/>
        <v/>
      </c>
      <c r="I83">
        <f/>
        <v/>
      </c>
      <c r="J83">
        <f/>
        <v/>
      </c>
      <c r="K83">
        <f/>
        <v/>
      </c>
      <c r="L83">
        <f/>
        <v/>
      </c>
      <c r="M83">
        <f/>
        <v/>
      </c>
      <c r="N83">
        <f/>
        <v/>
      </c>
      <c r="O83">
        <f/>
        <v/>
      </c>
      <c r="P83">
        <f/>
        <v/>
      </c>
      <c r="Q83">
        <f/>
        <v/>
      </c>
      <c r="R83">
        <f/>
        <v/>
      </c>
      <c r="S83">
        <f/>
        <v/>
      </c>
      <c r="T83">
        <f/>
        <v/>
      </c>
      <c r="U83">
        <f/>
        <v/>
      </c>
      <c r="V83">
        <f/>
        <v/>
      </c>
      <c r="Y83" t="inlineStr">
        <is>
          <t>tjati12</t>
        </is>
      </c>
      <c r="Z83" t="inlineStr">
        <is>
          <t>1200 A</t>
        </is>
      </c>
      <c r="AA83" t="inlineStr">
        <is>
          <t>tbrok2</t>
        </is>
      </c>
      <c r="AB83" t="inlineStr">
        <is>
          <t>45 menit</t>
        </is>
      </c>
      <c r="AC83" t="inlineStr">
        <is>
          <t>45 menit</t>
        </is>
      </c>
      <c r="AH83" t="n">
        <v>93</v>
      </c>
      <c r="AI83" t="n">
        <v>35</v>
      </c>
    </row>
    <row r="84">
      <c r="A84" t="inlineStr">
        <is>
          <t>PLTU JAWA 7 #2</t>
        </is>
      </c>
      <c r="B84" s="3">
        <f>IF(VLOOKUP(A84,$A$7:$B$52,2,FALSE),1,0)</f>
        <v/>
      </c>
      <c r="C84">
        <f t="array" ref="C84:V84">OFFSET(INDIRECT($A$137&amp;"!$C$7:$AX$8"),MATCH(A84,INDIRECT($A$137&amp;"!$A$8:$A$306"),0),$X$1,1,20)</f>
        <v/>
      </c>
      <c r="D84">
        <f/>
        <v/>
      </c>
      <c r="E84">
        <f/>
        <v/>
      </c>
      <c r="F84">
        <f/>
        <v/>
      </c>
      <c r="G84">
        <f/>
        <v/>
      </c>
      <c r="H84">
        <f/>
        <v/>
      </c>
      <c r="I84">
        <f/>
        <v/>
      </c>
      <c r="J84">
        <f/>
        <v/>
      </c>
      <c r="K84">
        <f/>
        <v/>
      </c>
      <c r="L84">
        <f/>
        <v/>
      </c>
      <c r="M84">
        <f/>
        <v/>
      </c>
      <c r="N84">
        <f/>
        <v/>
      </c>
      <c r="O84">
        <f/>
        <v/>
      </c>
      <c r="P84">
        <f/>
        <v/>
      </c>
      <c r="Q84">
        <f/>
        <v/>
      </c>
      <c r="R84">
        <f/>
        <v/>
      </c>
      <c r="S84">
        <f/>
        <v/>
      </c>
      <c r="T84">
        <f/>
        <v/>
      </c>
      <c r="U84">
        <f/>
        <v/>
      </c>
      <c r="V84">
        <f/>
        <v/>
      </c>
      <c r="AA84" t="inlineStr">
        <is>
          <t>mtwar12</t>
        </is>
      </c>
      <c r="AB84" t="inlineStr">
        <is>
          <t>45 menit</t>
        </is>
      </c>
      <c r="AC84" t="inlineStr">
        <is>
          <t>45 menit</t>
        </is>
      </c>
      <c r="AH84" t="n">
        <v>137</v>
      </c>
      <c r="AI84" t="n">
        <v>90</v>
      </c>
    </row>
    <row r="85">
      <c r="A85" t="inlineStr">
        <is>
          <t>PLTU JP #5</t>
        </is>
      </c>
      <c r="B85" s="3">
        <f>IF(VLOOKUP("PLTU Jawa Power #5",$A$7:$B$52,2,FALSE),1,0)</f>
        <v/>
      </c>
      <c r="C85">
        <f t="array" ref="C85:V85">OFFSET(INDIRECT($A$137&amp;"!$C$7:$AX$8"),MATCH("PLTU Jawa Power #5",INDIRECT($A$137&amp;"!A8:A306"),0),$X$1,1,20)</f>
        <v/>
      </c>
      <c r="D85">
        <f/>
        <v/>
      </c>
      <c r="E85">
        <f/>
        <v/>
      </c>
      <c r="F85">
        <f/>
        <v/>
      </c>
      <c r="G85">
        <f/>
        <v/>
      </c>
      <c r="H85">
        <f/>
        <v/>
      </c>
      <c r="I85">
        <f/>
        <v/>
      </c>
      <c r="J85">
        <f/>
        <v/>
      </c>
      <c r="K85">
        <f/>
        <v/>
      </c>
      <c r="L85">
        <f/>
        <v/>
      </c>
      <c r="M85">
        <f/>
        <v/>
      </c>
      <c r="N85">
        <f/>
        <v/>
      </c>
      <c r="O85">
        <f/>
        <v/>
      </c>
      <c r="P85">
        <f/>
        <v/>
      </c>
      <c r="Q85">
        <f/>
        <v/>
      </c>
      <c r="R85">
        <f/>
        <v/>
      </c>
      <c r="S85">
        <f/>
        <v/>
      </c>
      <c r="T85">
        <f/>
        <v/>
      </c>
      <c r="U85">
        <f/>
        <v/>
      </c>
      <c r="V85">
        <f/>
        <v/>
      </c>
      <c r="Y85" s="19" t="n"/>
      <c r="Z85" s="19" t="n"/>
      <c r="AA85" t="inlineStr">
        <is>
          <t>mtwar34</t>
        </is>
      </c>
      <c r="AB85" t="inlineStr">
        <is>
          <t>45 menit</t>
        </is>
      </c>
      <c r="AC85" t="inlineStr">
        <is>
          <t>1 jam</t>
        </is>
      </c>
      <c r="AD85" t="inlineStr">
        <is>
          <t xml:space="preserve">  </t>
        </is>
      </c>
      <c r="AE85" t="n">
        <v>125</v>
      </c>
      <c r="AH85" t="n">
        <v>140</v>
      </c>
      <c r="AI85" t="n">
        <v>80</v>
      </c>
      <c r="AJ85" t="inlineStr">
        <is>
          <t>kalau combine min 100 MW max 125 terkait proteksi temperature exhause HRSG</t>
        </is>
      </c>
    </row>
    <row r="86">
      <c r="A86" t="inlineStr">
        <is>
          <t>PLTU JP #6</t>
        </is>
      </c>
      <c r="B86" s="3">
        <f>IF(VLOOKUP("PLTU Jawa Power #6",$A$7:$B$52,2,FALSE),1,0)</f>
        <v/>
      </c>
      <c r="C86">
        <f t="array" ref="C86:V86">OFFSET(INDIRECT($A$137&amp;"!$C$7:$AX$8"),MATCH("PLTU Jawa Power #6",INDIRECT($A$137&amp;"!A8:A306"),0),$X$1,1,20)</f>
        <v/>
      </c>
      <c r="D86">
        <f/>
        <v/>
      </c>
      <c r="E86">
        <f/>
        <v/>
      </c>
      <c r="F86">
        <f/>
        <v/>
      </c>
      <c r="G86">
        <f/>
        <v/>
      </c>
      <c r="H86">
        <f/>
        <v/>
      </c>
      <c r="I86">
        <f/>
        <v/>
      </c>
      <c r="J86">
        <f/>
        <v/>
      </c>
      <c r="K86">
        <f/>
        <v/>
      </c>
      <c r="L86">
        <f/>
        <v/>
      </c>
      <c r="M86">
        <f/>
        <v/>
      </c>
      <c r="N86">
        <f/>
        <v/>
      </c>
      <c r="O86">
        <f/>
        <v/>
      </c>
      <c r="P86">
        <f/>
        <v/>
      </c>
      <c r="Q86">
        <f/>
        <v/>
      </c>
      <c r="R86">
        <f/>
        <v/>
      </c>
      <c r="S86">
        <f/>
        <v/>
      </c>
      <c r="T86">
        <f/>
        <v/>
      </c>
      <c r="U86">
        <f/>
        <v/>
      </c>
      <c r="V86">
        <f/>
        <v/>
      </c>
      <c r="Y86" s="19" t="inlineStr">
        <is>
          <t>mkrang12durkos1</t>
        </is>
      </c>
      <c r="Z86" s="19" t="n"/>
      <c r="AA86" t="inlineStr">
        <is>
          <t>mkrang1</t>
        </is>
      </c>
      <c r="AB86" t="inlineStr">
        <is>
          <t>30 menit</t>
        </is>
      </c>
      <c r="AH86" t="n">
        <v>90</v>
      </c>
      <c r="AI86" t="n">
        <v>80</v>
      </c>
      <c r="AJ86" t="inlineStr">
        <is>
          <t>khusus GT1.3 dmn 100</t>
        </is>
      </c>
    </row>
    <row r="87">
      <c r="A87" s="1" t="inlineStr">
        <is>
          <t>PLTU PEC #3</t>
        </is>
      </c>
      <c r="B87" s="3">
        <f>IF(VLOOKUP(A87,$A$7:$B$52,2,FALSE),1,0)</f>
        <v/>
      </c>
      <c r="C87">
        <f t="array" ref="C87:V87">OFFSET(INDIRECT($A$137&amp;"!$C$7:$AX$8"),MATCH(A87,INDIRECT($A$137&amp;"!A8:A306"),0),$X$1,1,20)</f>
        <v/>
      </c>
      <c r="D87">
        <f/>
        <v/>
      </c>
      <c r="E87">
        <f/>
        <v/>
      </c>
      <c r="F87">
        <f/>
        <v/>
      </c>
      <c r="G87">
        <f/>
        <v/>
      </c>
      <c r="H87">
        <f/>
        <v/>
      </c>
      <c r="I87">
        <f/>
        <v/>
      </c>
      <c r="J87">
        <f/>
        <v/>
      </c>
      <c r="K87">
        <f/>
        <v/>
      </c>
      <c r="L87">
        <f/>
        <v/>
      </c>
      <c r="M87">
        <f/>
        <v/>
      </c>
      <c r="N87">
        <f/>
        <v/>
      </c>
      <c r="O87">
        <f/>
        <v/>
      </c>
      <c r="P87">
        <f/>
        <v/>
      </c>
      <c r="Q87">
        <f/>
        <v/>
      </c>
      <c r="R87">
        <f/>
        <v/>
      </c>
      <c r="S87">
        <f/>
        <v/>
      </c>
      <c r="T87">
        <f/>
        <v/>
      </c>
      <c r="U87">
        <f/>
        <v/>
      </c>
      <c r="V87">
        <f/>
        <v/>
      </c>
      <c r="AA87" t="inlineStr">
        <is>
          <t>mkrang2</t>
        </is>
      </c>
      <c r="AH87" t="n">
        <v>235</v>
      </c>
      <c r="AI87" t="n">
        <v>127</v>
      </c>
      <c r="AJ87" t="inlineStr">
        <is>
          <t>ST 70-40;220 20</t>
        </is>
      </c>
    </row>
    <row r="88">
      <c r="A88" s="1" t="inlineStr">
        <is>
          <t>PLTU CLCAP #3</t>
        </is>
      </c>
      <c r="B88" s="3">
        <f>IF(VLOOKUP(A88,$A$7:$B$52,2,FALSE),1,0)</f>
        <v/>
      </c>
      <c r="C88">
        <f t="array" ref="C88:V88">OFFSET(INDIRECT($A$137&amp;"!$C$7:$AX$8"),MATCH(A88,INDIRECT($A$137&amp;"!A8:A306"),0),$X$1,1,20)</f>
        <v/>
      </c>
      <c r="D88">
        <f/>
        <v/>
      </c>
      <c r="E88">
        <f/>
        <v/>
      </c>
      <c r="F88">
        <f/>
        <v/>
      </c>
      <c r="G88">
        <f/>
        <v/>
      </c>
      <c r="H88">
        <f/>
        <v/>
      </c>
      <c r="I88">
        <f/>
        <v/>
      </c>
      <c r="J88">
        <f/>
        <v/>
      </c>
      <c r="K88">
        <f/>
        <v/>
      </c>
      <c r="L88">
        <f/>
        <v/>
      </c>
      <c r="M88">
        <f/>
        <v/>
      </c>
      <c r="N88">
        <f/>
        <v/>
      </c>
      <c r="O88">
        <f/>
        <v/>
      </c>
      <c r="P88">
        <f/>
        <v/>
      </c>
      <c r="Q88">
        <f/>
        <v/>
      </c>
      <c r="R88">
        <f/>
        <v/>
      </c>
      <c r="S88">
        <f/>
        <v/>
      </c>
      <c r="T88">
        <f/>
        <v/>
      </c>
      <c r="U88">
        <f/>
        <v/>
      </c>
      <c r="V88">
        <f/>
        <v/>
      </c>
      <c r="AA88" t="inlineStr">
        <is>
          <t>mkrang3</t>
        </is>
      </c>
      <c r="AH88" t="n">
        <v>330</v>
      </c>
      <c r="AI88" t="n">
        <v>150</v>
      </c>
    </row>
    <row r="89">
      <c r="A89" t="inlineStr">
        <is>
          <t>PLTU SLAYA #5</t>
        </is>
      </c>
      <c r="B89" s="3">
        <f>IF(VLOOKUP(A89,$A$7:$B$52,2,FALSE),1,0)</f>
        <v/>
      </c>
      <c r="C89">
        <f t="array" ref="C89:V89">OFFSET(INDIRECT($A$137&amp;"!$C$7:$AX$8"),MATCH("PLTU SRLYA #5",INDIRECT($A$137&amp;"!A8:A306"),0),$X$1,1,20)</f>
        <v/>
      </c>
      <c r="D89">
        <f/>
        <v/>
      </c>
      <c r="E89">
        <f/>
        <v/>
      </c>
      <c r="F89">
        <f/>
        <v/>
      </c>
      <c r="G89">
        <f/>
        <v/>
      </c>
      <c r="H89">
        <f/>
        <v/>
      </c>
      <c r="I89">
        <f/>
        <v/>
      </c>
      <c r="J89">
        <f/>
        <v/>
      </c>
      <c r="K89">
        <f/>
        <v/>
      </c>
      <c r="L89">
        <f/>
        <v/>
      </c>
      <c r="M89">
        <f/>
        <v/>
      </c>
      <c r="N89">
        <f/>
        <v/>
      </c>
      <c r="O89">
        <f/>
        <v/>
      </c>
      <c r="P89">
        <f/>
        <v/>
      </c>
      <c r="Q89">
        <f/>
        <v/>
      </c>
      <c r="R89">
        <f/>
        <v/>
      </c>
      <c r="S89">
        <f/>
        <v/>
      </c>
      <c r="T89">
        <f/>
        <v/>
      </c>
      <c r="U89">
        <f/>
        <v/>
      </c>
      <c r="V89">
        <f/>
        <v/>
      </c>
      <c r="Y89" s="19" t="inlineStr">
        <is>
          <t>bkasi24cwang1</t>
        </is>
      </c>
      <c r="Z89" s="19" t="n"/>
      <c r="AA89" t="inlineStr">
        <is>
          <t>priok12</t>
        </is>
      </c>
      <c r="AH89" t="n">
        <v>125</v>
      </c>
      <c r="AI89" t="n">
        <v>80</v>
      </c>
      <c r="AJ89" t="inlineStr">
        <is>
          <t>min 320 max 520 jika AGC om</t>
        </is>
      </c>
    </row>
    <row r="90">
      <c r="A90" t="inlineStr">
        <is>
          <t>PLTU SLAYA #6</t>
        </is>
      </c>
      <c r="B90" s="3">
        <f>IF(VLOOKUP(A90,$A$7:$B$52,2,FALSE),1,0)</f>
        <v/>
      </c>
      <c r="C90">
        <f t="array" ref="C90:V90">OFFSET(INDIRECT($A$137&amp;"!$C$7:$AX$8"),MATCH("PLTU SRLYA #6",INDIRECT($A$137&amp;"!A8:A306"),0),$X$1,1,20)</f>
        <v/>
      </c>
      <c r="D90">
        <f/>
        <v/>
      </c>
      <c r="E90">
        <f/>
        <v/>
      </c>
      <c r="F90">
        <f/>
        <v/>
      </c>
      <c r="G90">
        <f/>
        <v/>
      </c>
      <c r="H90">
        <f/>
        <v/>
      </c>
      <c r="I90">
        <f/>
        <v/>
      </c>
      <c r="J90">
        <f/>
        <v/>
      </c>
      <c r="K90">
        <f/>
        <v/>
      </c>
      <c r="L90">
        <f/>
        <v/>
      </c>
      <c r="M90">
        <f/>
        <v/>
      </c>
      <c r="N90">
        <f/>
        <v/>
      </c>
      <c r="O90">
        <f/>
        <v/>
      </c>
      <c r="P90">
        <f/>
        <v/>
      </c>
      <c r="Q90">
        <f/>
        <v/>
      </c>
      <c r="R90">
        <f/>
        <v/>
      </c>
      <c r="S90">
        <f/>
        <v/>
      </c>
      <c r="T90">
        <f/>
        <v/>
      </c>
      <c r="U90">
        <f/>
        <v/>
      </c>
      <c r="V90">
        <f/>
        <v/>
      </c>
      <c r="AA90" t="inlineStr">
        <is>
          <t>priok3</t>
        </is>
      </c>
      <c r="AD90">
        <f>AD80*AG90</f>
        <v/>
      </c>
      <c r="AE90">
        <f>AG90/2</f>
        <v/>
      </c>
      <c r="AF90">
        <f>SUM(AD90:AE90)</f>
        <v/>
      </c>
      <c r="AG90" t="n">
        <v>180</v>
      </c>
      <c r="AH90" t="n">
        <v>235</v>
      </c>
      <c r="AI90" t="n">
        <v>110</v>
      </c>
    </row>
    <row r="91">
      <c r="A91" t="inlineStr">
        <is>
          <t>PLTU SLAYA #7</t>
        </is>
      </c>
      <c r="B91" s="3">
        <f>IF(VLOOKUP(A91,$A$7:$B$52,2,FALSE),1,0)</f>
        <v/>
      </c>
      <c r="C91">
        <f t="array" ref="C91:V91">OFFSET(INDIRECT($A$137&amp;"!$C$7:$AX$8"),MATCH("PLTU SRLYA #7",INDIRECT($A$137&amp;"!A8:A306"),0),$X$1,1,20)</f>
        <v/>
      </c>
      <c r="D91">
        <f/>
        <v/>
      </c>
      <c r="E91">
        <f/>
        <v/>
      </c>
      <c r="F91">
        <f/>
        <v/>
      </c>
      <c r="G91">
        <f/>
        <v/>
      </c>
      <c r="H91">
        <f/>
        <v/>
      </c>
      <c r="I91">
        <f/>
        <v/>
      </c>
      <c r="J91">
        <f/>
        <v/>
      </c>
      <c r="K91">
        <f/>
        <v/>
      </c>
      <c r="L91">
        <f/>
        <v/>
      </c>
      <c r="M91">
        <f/>
        <v/>
      </c>
      <c r="N91">
        <f/>
        <v/>
      </c>
      <c r="O91">
        <f/>
        <v/>
      </c>
      <c r="P91">
        <f/>
        <v/>
      </c>
      <c r="Q91">
        <f/>
        <v/>
      </c>
      <c r="R91">
        <f/>
        <v/>
      </c>
      <c r="S91">
        <f/>
        <v/>
      </c>
      <c r="T91">
        <f/>
        <v/>
      </c>
      <c r="U91">
        <f/>
        <v/>
      </c>
      <c r="V91">
        <f/>
        <v/>
      </c>
      <c r="AA91" t="inlineStr">
        <is>
          <t>priok4</t>
        </is>
      </c>
      <c r="AD91" s="2">
        <f>AD80*AG91</f>
        <v/>
      </c>
      <c r="AE91" s="2">
        <f>AD91/2</f>
        <v/>
      </c>
      <c r="AF91" s="2">
        <f>SUM(AD91:AE91)</f>
        <v/>
      </c>
      <c r="AG91" t="n">
        <v>250</v>
      </c>
      <c r="AH91" t="n">
        <v>283</v>
      </c>
      <c r="AI91" t="n">
        <v>150</v>
      </c>
      <c r="AJ91" t="n">
        <v>520</v>
      </c>
      <c r="AK91" t="n">
        <v>850</v>
      </c>
      <c r="AM91" t="inlineStr">
        <is>
          <t>bbm</t>
        </is>
      </c>
      <c r="AN91" t="inlineStr">
        <is>
          <t>gas</t>
        </is>
      </c>
    </row>
    <row r="92">
      <c r="A92" t="inlineStr">
        <is>
          <t>PLTU PCTAN #1</t>
        </is>
      </c>
      <c r="B92" s="3">
        <f>IF(VLOOKUP("PLTU PACITAN #1",$A$7:$B$52,2,FALSE),1,0)</f>
        <v/>
      </c>
      <c r="C92">
        <f t="array" ref="C92:V92">OFFSET(INDIRECT($A$137&amp;"!$C$7:$AX$8"),MATCH("PLTU PACITAN #1",INDIRECT($A$137&amp;"!A8:A306"),0),$X$1,1,20)</f>
        <v/>
      </c>
      <c r="D92">
        <f/>
        <v/>
      </c>
      <c r="E92">
        <f/>
        <v/>
      </c>
      <c r="F92">
        <f/>
        <v/>
      </c>
      <c r="G92">
        <f/>
        <v/>
      </c>
      <c r="H92">
        <f/>
        <v/>
      </c>
      <c r="I92">
        <f/>
        <v/>
      </c>
      <c r="J92">
        <f/>
        <v/>
      </c>
      <c r="K92">
        <f/>
        <v/>
      </c>
      <c r="L92">
        <f/>
        <v/>
      </c>
      <c r="M92">
        <f/>
        <v/>
      </c>
      <c r="N92">
        <f/>
        <v/>
      </c>
      <c r="O92">
        <f/>
        <v/>
      </c>
      <c r="P92">
        <f/>
        <v/>
      </c>
      <c r="Q92">
        <f/>
        <v/>
      </c>
      <c r="R92">
        <f/>
        <v/>
      </c>
      <c r="S92">
        <f/>
        <v/>
      </c>
      <c r="T92">
        <f/>
        <v/>
      </c>
      <c r="U92">
        <f/>
        <v/>
      </c>
      <c r="V92">
        <f/>
        <v/>
      </c>
      <c r="AA92" t="inlineStr">
        <is>
          <t>grsikAll</t>
        </is>
      </c>
      <c r="AD92" s="2">
        <f>AG92*AD80+20</f>
        <v/>
      </c>
      <c r="AE92" s="2">
        <f>AD92/2</f>
        <v/>
      </c>
      <c r="AF92" s="2">
        <f>SUM(AD92:AE92)</f>
        <v/>
      </c>
      <c r="AG92" t="n">
        <v>100</v>
      </c>
      <c r="AH92" t="n">
        <v>100</v>
      </c>
      <c r="AI92" t="n">
        <v>50</v>
      </c>
      <c r="AM92" t="n">
        <v>90</v>
      </c>
      <c r="AN92" t="n">
        <v>100</v>
      </c>
      <c r="AO92" t="n">
        <v>100</v>
      </c>
    </row>
    <row r="93">
      <c r="A93" t="inlineStr">
        <is>
          <t>PLTU PCTAN #2</t>
        </is>
      </c>
      <c r="B93" s="3">
        <f>IF(VLOOKUP("PLTU PACITAN #2",$A$7:$B$52,2,FALSE),1,0)</f>
        <v/>
      </c>
      <c r="C93">
        <f t="array" ref="C93:V93">OFFSET(INDIRECT($A$137&amp;"!$C$7:$AX$8"),MATCH("PLTU PACITAN #2",INDIRECT($A$137&amp;"!A8:A306"),0),$X$1,1,20)</f>
        <v/>
      </c>
      <c r="D93">
        <f/>
        <v/>
      </c>
      <c r="E93">
        <f/>
        <v/>
      </c>
      <c r="F93">
        <f/>
        <v/>
      </c>
      <c r="G93">
        <f/>
        <v/>
      </c>
      <c r="H93">
        <f/>
        <v/>
      </c>
      <c r="I93">
        <f/>
        <v/>
      </c>
      <c r="J93">
        <f/>
        <v/>
      </c>
      <c r="K93">
        <f/>
        <v/>
      </c>
      <c r="L93">
        <f/>
        <v/>
      </c>
      <c r="M93">
        <f/>
        <v/>
      </c>
      <c r="N93">
        <f/>
        <v/>
      </c>
      <c r="O93">
        <f/>
        <v/>
      </c>
      <c r="P93">
        <f/>
        <v/>
      </c>
      <c r="Q93">
        <f/>
        <v/>
      </c>
      <c r="R93">
        <f/>
        <v/>
      </c>
      <c r="S93">
        <f/>
        <v/>
      </c>
      <c r="T93">
        <f/>
        <v/>
      </c>
      <c r="U93">
        <f/>
        <v/>
      </c>
      <c r="V93">
        <f/>
        <v/>
      </c>
      <c r="AA93" t="inlineStr">
        <is>
          <t>gresik TU</t>
        </is>
      </c>
      <c r="AN93" t="n">
        <v>30</v>
      </c>
      <c r="AO93" t="n">
        <v>23</v>
      </c>
    </row>
    <row r="94">
      <c r="A94" t="inlineStr">
        <is>
          <t>PLTU CRBON #2</t>
        </is>
      </c>
      <c r="B94" s="3">
        <f>IF(VLOOKUP("PLTU CEPR #1",$A$7:$B$52,2,FALSE),1,0)</f>
        <v/>
      </c>
      <c r="C94">
        <f t="array" ref="C94:V94">OFFSET(INDIRECT($A$137&amp;"!$C$7:$AX$8"),MATCH("PLTU CEPR #1",INDIRECT($A$137&amp;"!A8:A306"),0),1,1,20)</f>
        <v/>
      </c>
      <c r="D94">
        <f/>
        <v/>
      </c>
      <c r="E94">
        <f/>
        <v/>
      </c>
      <c r="F94">
        <f/>
        <v/>
      </c>
      <c r="G94">
        <f/>
        <v/>
      </c>
      <c r="H94">
        <f/>
        <v/>
      </c>
      <c r="I94">
        <f/>
        <v/>
      </c>
      <c r="J94">
        <f/>
        <v/>
      </c>
      <c r="K94">
        <f/>
        <v/>
      </c>
      <c r="L94">
        <f/>
        <v/>
      </c>
      <c r="M94">
        <f/>
        <v/>
      </c>
      <c r="N94">
        <f/>
        <v/>
      </c>
      <c r="O94">
        <f/>
        <v/>
      </c>
      <c r="P94">
        <f/>
        <v/>
      </c>
      <c r="Q94">
        <f/>
        <v/>
      </c>
      <c r="R94">
        <f/>
        <v/>
      </c>
      <c r="S94">
        <f/>
        <v/>
      </c>
      <c r="T94">
        <f/>
        <v/>
      </c>
      <c r="U94">
        <f/>
        <v/>
      </c>
      <c r="V94">
        <f/>
        <v/>
      </c>
      <c r="Y94" t="inlineStr">
        <is>
          <t>mkarang1</t>
        </is>
      </c>
      <c r="AB94" t="inlineStr">
        <is>
          <t>2cc 270 -20</t>
        </is>
      </c>
      <c r="AL94" t="inlineStr">
        <is>
          <t xml:space="preserve">pola 90 130 160  terkait pressure nya aman </t>
        </is>
      </c>
    </row>
    <row r="95">
      <c r="A95" s="1" t="inlineStr">
        <is>
          <t>PLTU PITON #1</t>
        </is>
      </c>
      <c r="B95" s="3">
        <f>IF(VLOOKUP(A95,$A$7:$B$52,2,FALSE),1,0)</f>
        <v/>
      </c>
      <c r="C95">
        <f t="array" ref="C95:V95">OFFSET(INDIRECT($A$137&amp;"!$C$7:$AX$8"),MATCH(A95,INDIRECT($A$137&amp;"!A8:A306"),0),1,1,20)</f>
        <v/>
      </c>
      <c r="D95">
        <f/>
        <v/>
      </c>
      <c r="E95">
        <f/>
        <v/>
      </c>
      <c r="F95">
        <f/>
        <v/>
      </c>
      <c r="G95">
        <f/>
        <v/>
      </c>
      <c r="H95">
        <f/>
        <v/>
      </c>
      <c r="I95">
        <f/>
        <v/>
      </c>
      <c r="J95">
        <f/>
        <v/>
      </c>
      <c r="K95">
        <f/>
        <v/>
      </c>
      <c r="L95">
        <f/>
        <v/>
      </c>
      <c r="M95">
        <f/>
        <v/>
      </c>
      <c r="N95">
        <f/>
        <v/>
      </c>
      <c r="O95">
        <f/>
        <v/>
      </c>
      <c r="P95">
        <f/>
        <v/>
      </c>
      <c r="Q95">
        <f/>
        <v/>
      </c>
      <c r="R95">
        <f/>
        <v/>
      </c>
      <c r="S95">
        <f/>
        <v/>
      </c>
      <c r="T95">
        <f/>
        <v/>
      </c>
      <c r="U95">
        <f/>
        <v/>
      </c>
      <c r="V95">
        <f/>
        <v/>
      </c>
      <c r="Y95" s="26" t="inlineStr">
        <is>
          <t>NR MK+TP+MTW+PGN MAX 480 MMSCFD</t>
        </is>
      </c>
      <c r="AN95">
        <f>AN92/AN93</f>
        <v/>
      </c>
    </row>
    <row r="96">
      <c r="A96" s="1" t="inlineStr">
        <is>
          <t>PLTU PITON #2</t>
        </is>
      </c>
      <c r="B96" s="3">
        <f>IF(VLOOKUP(A96,$A$7:$B$52,2,FALSE),1,0)</f>
        <v/>
      </c>
      <c r="C96">
        <f t="array" ref="C96:V96">OFFSET(INDIRECT($A$137&amp;"!$C$7:$AX$8"),MATCH(A96,INDIRECT($A$137&amp;"!A8:A306"),0),1,1,20)</f>
        <v/>
      </c>
      <c r="D96">
        <f/>
        <v/>
      </c>
      <c r="E96">
        <f/>
        <v/>
      </c>
      <c r="F96">
        <f/>
        <v/>
      </c>
      <c r="G96">
        <f/>
        <v/>
      </c>
      <c r="H96">
        <f/>
        <v/>
      </c>
      <c r="I96">
        <f/>
        <v/>
      </c>
      <c r="J96">
        <f/>
        <v/>
      </c>
      <c r="K96">
        <f/>
        <v/>
      </c>
      <c r="L96">
        <f/>
        <v/>
      </c>
      <c r="M96">
        <f/>
        <v/>
      </c>
      <c r="N96">
        <f/>
        <v/>
      </c>
      <c r="O96">
        <f/>
        <v/>
      </c>
      <c r="P96">
        <f/>
        <v/>
      </c>
      <c r="Q96">
        <f/>
        <v/>
      </c>
      <c r="R96">
        <f/>
        <v/>
      </c>
      <c r="S96">
        <f/>
        <v/>
      </c>
      <c r="T96">
        <f/>
        <v/>
      </c>
      <c r="U96">
        <f/>
        <v/>
      </c>
      <c r="V96">
        <f/>
        <v/>
      </c>
      <c r="Y96" t="inlineStr">
        <is>
          <t>PATH INDRA</t>
        </is>
      </c>
      <c r="Z96" t="inlineStr">
        <is>
          <t>MANDI-BANDUNG</t>
        </is>
      </c>
    </row>
    <row r="97">
      <c r="A97" t="inlineStr">
        <is>
          <t>PLTU CLBWG #1</t>
        </is>
      </c>
      <c r="B97" s="3">
        <f>IF(VLOOKUP(A97,$A$7:$B$52,2,FALSE),1,0)</f>
        <v/>
      </c>
      <c r="C97">
        <f t="array" ref="C97:V97">OFFSET(INDIRECT($A$137&amp;"!$C$7:$AX$8"),MATCH("PLTU CELUKAN BAWANG #1",INDIRECT($A$137&amp;"!A8:A306"),0),$X$1,1,20)</f>
        <v/>
      </c>
      <c r="D97">
        <f/>
        <v/>
      </c>
      <c r="E97">
        <f/>
        <v/>
      </c>
      <c r="F97">
        <f/>
        <v/>
      </c>
      <c r="G97">
        <f/>
        <v/>
      </c>
      <c r="H97">
        <f/>
        <v/>
      </c>
      <c r="I97">
        <f/>
        <v/>
      </c>
      <c r="J97">
        <f/>
        <v/>
      </c>
      <c r="K97">
        <f/>
        <v/>
      </c>
      <c r="L97">
        <f/>
        <v/>
      </c>
      <c r="M97">
        <f/>
        <v/>
      </c>
      <c r="N97">
        <f/>
        <v/>
      </c>
      <c r="O97">
        <f/>
        <v/>
      </c>
      <c r="P97">
        <f/>
        <v/>
      </c>
      <c r="Q97">
        <f/>
        <v/>
      </c>
      <c r="R97">
        <f/>
        <v/>
      </c>
      <c r="S97">
        <f/>
        <v/>
      </c>
      <c r="T97">
        <f/>
        <v/>
      </c>
      <c r="U97">
        <f/>
        <v/>
      </c>
      <c r="V97">
        <f/>
        <v/>
      </c>
      <c r="Z97" t="inlineStr">
        <is>
          <t>MANDI-UJUNG</t>
        </is>
      </c>
    </row>
    <row r="98">
      <c r="A98" t="inlineStr">
        <is>
          <t>PLTU CLBWG #2</t>
        </is>
      </c>
      <c r="B98" s="3">
        <f>IF(VLOOKUP(A98,$A$7:$B$52,2,FALSE),1,0)</f>
        <v/>
      </c>
      <c r="C98">
        <f t="array" ref="C98:V98">OFFSET(INDIRECT($A$137&amp;"!$C$7:$AX$8"),MATCH("PLTU CELUKAN BAWANG #2",INDIRECT($A$137&amp;"!A8:A306"),0),$X$1,1,20)</f>
        <v/>
      </c>
      <c r="D98">
        <f/>
        <v/>
      </c>
      <c r="E98">
        <f/>
        <v/>
      </c>
      <c r="F98">
        <f/>
        <v/>
      </c>
      <c r="G98">
        <f/>
        <v/>
      </c>
      <c r="H98">
        <f/>
        <v/>
      </c>
      <c r="I98">
        <f/>
        <v/>
      </c>
      <c r="J98">
        <f/>
        <v/>
      </c>
      <c r="K98">
        <f/>
        <v/>
      </c>
      <c r="L98">
        <f/>
        <v/>
      </c>
      <c r="M98">
        <f/>
        <v/>
      </c>
      <c r="N98">
        <f/>
        <v/>
      </c>
      <c r="O98">
        <f/>
        <v/>
      </c>
      <c r="P98">
        <f/>
        <v/>
      </c>
      <c r="Q98">
        <f/>
        <v/>
      </c>
      <c r="R98">
        <f/>
        <v/>
      </c>
      <c r="S98">
        <f/>
        <v/>
      </c>
      <c r="T98">
        <f/>
        <v/>
      </c>
      <c r="U98">
        <f/>
        <v/>
      </c>
      <c r="V98">
        <f/>
        <v/>
      </c>
      <c r="Z98" t="inlineStr">
        <is>
          <t>MANDI-INDRA 1</t>
        </is>
      </c>
    </row>
    <row r="99">
      <c r="A99" t="inlineStr">
        <is>
          <t>PLTU CLBWG #3</t>
        </is>
      </c>
      <c r="B99" s="3">
        <f>IF(VLOOKUP(A99,$A$7:$B$52,2,FALSE),1,0)</f>
        <v/>
      </c>
      <c r="C99">
        <f t="array" ref="C99:V99">OFFSET(INDIRECT($A$137&amp;"!$C$7:$AX$8"),MATCH("PLTU CELUKAN BAWANG #3",INDIRECT($A$137&amp;"!A8:A306"),0),$X$1,1,20)</f>
        <v/>
      </c>
      <c r="D99">
        <f/>
        <v/>
      </c>
      <c r="E99">
        <f/>
        <v/>
      </c>
      <c r="F99">
        <f/>
        <v/>
      </c>
      <c r="G99">
        <f/>
        <v/>
      </c>
      <c r="H99">
        <f/>
        <v/>
      </c>
      <c r="I99">
        <f/>
        <v/>
      </c>
      <c r="J99">
        <f/>
        <v/>
      </c>
      <c r="K99">
        <f/>
        <v/>
      </c>
      <c r="L99">
        <f/>
        <v/>
      </c>
      <c r="M99">
        <f/>
        <v/>
      </c>
      <c r="N99">
        <f/>
        <v/>
      </c>
      <c r="O99">
        <f/>
        <v/>
      </c>
      <c r="P99">
        <f/>
        <v/>
      </c>
      <c r="Q99">
        <f/>
        <v/>
      </c>
      <c r="R99">
        <f/>
        <v/>
      </c>
      <c r="S99">
        <f/>
        <v/>
      </c>
      <c r="T99">
        <f/>
        <v/>
      </c>
      <c r="U99">
        <f/>
        <v/>
      </c>
      <c r="V99">
        <f/>
        <v/>
      </c>
      <c r="Z99" t="inlineStr">
        <is>
          <t>MANDI-INDRA 2</t>
        </is>
      </c>
    </row>
    <row r="100">
      <c r="A100" s="1" t="inlineStr">
        <is>
          <t>PLTU PEC #7</t>
        </is>
      </c>
      <c r="B100" s="3">
        <f>IF(VLOOKUP(A100,$A$7:$B$52,2,FALSE),1,0)</f>
        <v/>
      </c>
      <c r="C100">
        <f t="array" ref="C100:V100">OFFSET(INDIRECT($A$137&amp;"!$C$7:$AX$8"),MATCH(A100,INDIRECT($A$137&amp;"!A8:A306"),0),$X$1,1,20)</f>
        <v/>
      </c>
      <c r="D100">
        <f/>
        <v/>
      </c>
      <c r="E100">
        <f/>
        <v/>
      </c>
      <c r="F100">
        <f/>
        <v/>
      </c>
      <c r="G100">
        <f/>
        <v/>
      </c>
      <c r="H100">
        <f/>
        <v/>
      </c>
      <c r="I100">
        <f/>
        <v/>
      </c>
      <c r="J100">
        <f/>
        <v/>
      </c>
      <c r="K100">
        <f/>
        <v/>
      </c>
      <c r="L100">
        <f/>
        <v/>
      </c>
      <c r="M100">
        <f/>
        <v/>
      </c>
      <c r="N100">
        <f/>
        <v/>
      </c>
      <c r="O100">
        <f/>
        <v/>
      </c>
      <c r="P100">
        <f/>
        <v/>
      </c>
      <c r="Q100">
        <f/>
        <v/>
      </c>
      <c r="R100">
        <f/>
        <v/>
      </c>
      <c r="S100">
        <f/>
        <v/>
      </c>
      <c r="T100">
        <f/>
        <v/>
      </c>
      <c r="U100">
        <f/>
        <v/>
      </c>
      <c r="V100">
        <f/>
        <v/>
      </c>
    </row>
    <row r="101">
      <c r="A101" s="1" t="inlineStr">
        <is>
          <t>PLTU PEC #8</t>
        </is>
      </c>
      <c r="B101" s="3">
        <f>IF(VLOOKUP(A101,$A$7:$B$52,2,FALSE),1,0)</f>
        <v/>
      </c>
      <c r="C101">
        <f t="array" ref="C101:V101">OFFSET(INDIRECT($A$137&amp;"!$C$7:$AX$8"),MATCH(A101,INDIRECT($A$137&amp;"!A8:A306"),0),$X$1,1,20)</f>
        <v/>
      </c>
      <c r="D101">
        <f/>
        <v/>
      </c>
      <c r="E101">
        <f/>
        <v/>
      </c>
      <c r="F101">
        <f/>
        <v/>
      </c>
      <c r="G101">
        <f/>
        <v/>
      </c>
      <c r="H101">
        <f/>
        <v/>
      </c>
      <c r="I101">
        <f/>
        <v/>
      </c>
      <c r="J101">
        <f/>
        <v/>
      </c>
      <c r="K101">
        <f/>
        <v/>
      </c>
      <c r="L101">
        <f/>
        <v/>
      </c>
      <c r="M101">
        <f/>
        <v/>
      </c>
      <c r="N101">
        <f/>
        <v/>
      </c>
      <c r="O101">
        <f/>
        <v/>
      </c>
      <c r="P101">
        <f/>
        <v/>
      </c>
      <c r="Q101">
        <f/>
        <v/>
      </c>
      <c r="R101">
        <f/>
        <v/>
      </c>
      <c r="S101">
        <f/>
        <v/>
      </c>
      <c r="T101">
        <f/>
        <v/>
      </c>
      <c r="U101">
        <f/>
        <v/>
      </c>
      <c r="V101">
        <f/>
        <v/>
      </c>
    </row>
    <row r="102">
      <c r="A102" t="inlineStr">
        <is>
          <t>PLTU RMBNG #1</t>
        </is>
      </c>
      <c r="B102" s="3">
        <f>IF(VLOOKUP("PLTU REMBANG #10",$A$7:$B$52,2,FALSE),1,0)</f>
        <v/>
      </c>
      <c r="C102">
        <f t="array" ref="C102:V102">OFFSET(INDIRECT($A$137&amp;"!$C$7:$AX$8"),MATCH("PLTU REMBANG #20",INDIRECT($A$137&amp;"!A8:A306"),0),$X$1,1,20)</f>
        <v/>
      </c>
      <c r="D102">
        <f/>
        <v/>
      </c>
      <c r="E102">
        <f/>
        <v/>
      </c>
      <c r="F102">
        <f/>
        <v/>
      </c>
      <c r="G102">
        <f/>
        <v/>
      </c>
      <c r="H102">
        <f/>
        <v/>
      </c>
      <c r="I102">
        <f/>
        <v/>
      </c>
      <c r="J102">
        <f/>
        <v/>
      </c>
      <c r="K102">
        <f/>
        <v/>
      </c>
      <c r="L102">
        <f/>
        <v/>
      </c>
      <c r="M102">
        <f/>
        <v/>
      </c>
      <c r="N102">
        <f/>
        <v/>
      </c>
      <c r="O102">
        <f/>
        <v/>
      </c>
      <c r="P102">
        <f/>
        <v/>
      </c>
      <c r="Q102">
        <f/>
        <v/>
      </c>
      <c r="R102">
        <f/>
        <v/>
      </c>
      <c r="S102">
        <f/>
        <v/>
      </c>
      <c r="T102">
        <f/>
        <v/>
      </c>
      <c r="U102">
        <f/>
        <v/>
      </c>
      <c r="V102">
        <f/>
        <v/>
      </c>
    </row>
    <row r="103">
      <c r="A103" t="inlineStr">
        <is>
          <t>PLTU RMBNG #2</t>
        </is>
      </c>
      <c r="B103" s="3">
        <f>IF(VLOOKUP("PLTU REMBANG #20",$A$7:$B$52,2,FALSE),1,0)</f>
        <v/>
      </c>
      <c r="C103">
        <f t="array" ref="C103:V103">OFFSET(INDIRECT($A$137&amp;"!$C$7:$AX$8"),MATCH("PLTU REMBANG #10",INDIRECT($A$137&amp;"!A8:A306"),0),$X$1,1,20)</f>
        <v/>
      </c>
      <c r="D103">
        <f/>
        <v/>
      </c>
      <c r="E103">
        <f/>
        <v/>
      </c>
      <c r="F103">
        <f/>
        <v/>
      </c>
      <c r="G103">
        <f/>
        <v/>
      </c>
      <c r="H103">
        <f/>
        <v/>
      </c>
      <c r="I103">
        <f/>
        <v/>
      </c>
      <c r="J103">
        <f/>
        <v/>
      </c>
      <c r="K103">
        <f/>
        <v/>
      </c>
      <c r="L103">
        <f/>
        <v/>
      </c>
      <c r="M103">
        <f/>
        <v/>
      </c>
      <c r="N103">
        <f/>
        <v/>
      </c>
      <c r="O103">
        <f/>
        <v/>
      </c>
      <c r="P103">
        <f/>
        <v/>
      </c>
      <c r="Q103">
        <f/>
        <v/>
      </c>
      <c r="R103">
        <f/>
        <v/>
      </c>
      <c r="S103">
        <f/>
        <v/>
      </c>
      <c r="T103">
        <f/>
        <v/>
      </c>
      <c r="U103">
        <f/>
        <v/>
      </c>
      <c r="V103">
        <f/>
        <v/>
      </c>
    </row>
    <row r="104">
      <c r="A104" t="inlineStr">
        <is>
          <t>PLTU CRBON #1</t>
        </is>
      </c>
      <c r="B104" s="3">
        <f>IF(VLOOKUP("PLTU IPP CIREBON #1",$A$7:$B$52,2,FALSE),1,0)</f>
        <v/>
      </c>
      <c r="C104">
        <f t="array" ref="C104:V104">OFFSET(INDIRECT($A$137&amp;"!$C$7:$AX$8"),MATCH("PLTU IPP CIREBON #1",INDIRECT($A$137&amp;"!A8:A306"),0),$X$1,1,20)</f>
        <v/>
      </c>
      <c r="D104">
        <f/>
        <v/>
      </c>
      <c r="E104">
        <f/>
        <v/>
      </c>
      <c r="F104">
        <f/>
        <v/>
      </c>
      <c r="G104">
        <f/>
        <v/>
      </c>
      <c r="H104">
        <f/>
        <v/>
      </c>
      <c r="I104">
        <f/>
        <v/>
      </c>
      <c r="J104">
        <f/>
        <v/>
      </c>
      <c r="K104">
        <f/>
        <v/>
      </c>
      <c r="L104">
        <f/>
        <v/>
      </c>
      <c r="M104">
        <f/>
        <v/>
      </c>
      <c r="N104">
        <f/>
        <v/>
      </c>
      <c r="O104">
        <f/>
        <v/>
      </c>
      <c r="P104">
        <f/>
        <v/>
      </c>
      <c r="Q104">
        <f/>
        <v/>
      </c>
      <c r="R104">
        <f/>
        <v/>
      </c>
      <c r="S104">
        <f/>
        <v/>
      </c>
      <c r="T104">
        <f/>
        <v/>
      </c>
      <c r="U104">
        <f/>
        <v/>
      </c>
      <c r="V104">
        <f/>
        <v/>
      </c>
    </row>
    <row r="105">
      <c r="A105" t="inlineStr">
        <is>
          <t>PLTU IDMYU #1</t>
        </is>
      </c>
      <c r="B105" s="3">
        <f>IF(VLOOKUP("PLTU INDRAMAYU #1",$A$7:$B$52,2,FALSE),1,0)</f>
        <v/>
      </c>
      <c r="C105">
        <f t="array" ref="C105:V105">OFFSET(INDIRECT($A$137&amp;"!$C$7:$AX$8"),MATCH("PLTU INDRAMAYU #1",INDIRECT($A$137&amp;"!A8:A306"),0),$X$1,1,20)</f>
        <v/>
      </c>
      <c r="D105">
        <f/>
        <v/>
      </c>
      <c r="E105">
        <f/>
        <v/>
      </c>
      <c r="F105">
        <f/>
        <v/>
      </c>
      <c r="G105">
        <f/>
        <v/>
      </c>
      <c r="H105">
        <f/>
        <v/>
      </c>
      <c r="I105">
        <f/>
        <v/>
      </c>
      <c r="J105">
        <f/>
        <v/>
      </c>
      <c r="K105">
        <f/>
        <v/>
      </c>
      <c r="L105">
        <f/>
        <v/>
      </c>
      <c r="M105">
        <f/>
        <v/>
      </c>
      <c r="N105">
        <f/>
        <v/>
      </c>
      <c r="O105">
        <f/>
        <v/>
      </c>
      <c r="P105">
        <f/>
        <v/>
      </c>
      <c r="Q105">
        <f/>
        <v/>
      </c>
      <c r="R105">
        <f/>
        <v/>
      </c>
      <c r="S105">
        <f/>
        <v/>
      </c>
      <c r="T105">
        <f/>
        <v/>
      </c>
      <c r="U105">
        <f/>
        <v/>
      </c>
      <c r="V105">
        <f/>
        <v/>
      </c>
    </row>
    <row r="106">
      <c r="A106" t="inlineStr">
        <is>
          <t>PLTU IDMYU #2</t>
        </is>
      </c>
      <c r="B106" s="3">
        <f>IF(VLOOKUP("PLTU INDRAMAYU #2",$A$7:$B$52,2,FALSE),1,0)</f>
        <v/>
      </c>
      <c r="C106">
        <f t="array" ref="C106:V106">OFFSET(INDIRECT($A$137&amp;"!$C$7:$AX$8"),MATCH("PLTU INDRAMAYU #2",INDIRECT($A$137&amp;"!A8:A306"),0),$X$1,1,20)</f>
        <v/>
      </c>
      <c r="D106">
        <f/>
        <v/>
      </c>
      <c r="E106">
        <f/>
        <v/>
      </c>
      <c r="F106">
        <f/>
        <v/>
      </c>
      <c r="G106">
        <f/>
        <v/>
      </c>
      <c r="H106">
        <f/>
        <v/>
      </c>
      <c r="I106">
        <f/>
        <v/>
      </c>
      <c r="J106">
        <f/>
        <v/>
      </c>
      <c r="K106">
        <f/>
        <v/>
      </c>
      <c r="L106">
        <f/>
        <v/>
      </c>
      <c r="M106">
        <f/>
        <v/>
      </c>
      <c r="N106">
        <f/>
        <v/>
      </c>
      <c r="O106">
        <f/>
        <v/>
      </c>
      <c r="P106">
        <f/>
        <v/>
      </c>
      <c r="Q106">
        <f/>
        <v/>
      </c>
      <c r="R106">
        <f/>
        <v/>
      </c>
      <c r="S106">
        <f/>
        <v/>
      </c>
      <c r="T106">
        <f/>
        <v/>
      </c>
      <c r="U106">
        <f/>
        <v/>
      </c>
      <c r="V106">
        <f/>
        <v/>
      </c>
    </row>
    <row r="107">
      <c r="A107" t="inlineStr">
        <is>
          <t>PLTU IDMYU #3</t>
        </is>
      </c>
      <c r="B107" s="3">
        <f>IF(VLOOKUP("PLTU INDRAMAYU #3",$A$7:$B$52,2,FALSE),1,0)</f>
        <v/>
      </c>
      <c r="C107">
        <f t="array" ref="C107:V107">OFFSET(INDIRECT($A$137&amp;"!$C$7:$AX$8"),MATCH("PLTU INDRAMAYU #3",INDIRECT($A$137&amp;"!A8:A306"),0),$X$1,1,20)</f>
        <v/>
      </c>
      <c r="D107">
        <f/>
        <v/>
      </c>
      <c r="E107">
        <f/>
        <v/>
      </c>
      <c r="F107">
        <f/>
        <v/>
      </c>
      <c r="G107">
        <f/>
        <v/>
      </c>
      <c r="H107">
        <f/>
        <v/>
      </c>
      <c r="I107">
        <f/>
        <v/>
      </c>
      <c r="J107">
        <f/>
        <v/>
      </c>
      <c r="K107">
        <f/>
        <v/>
      </c>
      <c r="L107">
        <f/>
        <v/>
      </c>
      <c r="M107">
        <f/>
        <v/>
      </c>
      <c r="N107">
        <f/>
        <v/>
      </c>
      <c r="O107">
        <f/>
        <v/>
      </c>
      <c r="P107">
        <f/>
        <v/>
      </c>
      <c r="Q107">
        <f/>
        <v/>
      </c>
      <c r="R107">
        <f/>
        <v/>
      </c>
      <c r="S107">
        <f/>
        <v/>
      </c>
      <c r="T107">
        <f/>
        <v/>
      </c>
      <c r="U107">
        <f/>
        <v/>
      </c>
      <c r="V107">
        <f/>
        <v/>
      </c>
    </row>
    <row r="108">
      <c r="A108" t="inlineStr">
        <is>
          <t>PLTU SLAYA #1</t>
        </is>
      </c>
      <c r="B108" s="3">
        <f>IF(VLOOKUP(A108,$A$7:$B$52,2,FALSE),1,0)</f>
        <v/>
      </c>
      <c r="C108">
        <f t="array" ref="C108:V108">OFFSET(INDIRECT($A$137&amp;"!$C$7:$AX$8"),MATCH("PLTU SRLYA #1",INDIRECT($A$137&amp;"!A8:A306"),0),$X$1,1,20)</f>
        <v/>
      </c>
      <c r="D108">
        <f/>
        <v/>
      </c>
      <c r="E108">
        <f/>
        <v/>
      </c>
      <c r="F108">
        <f/>
        <v/>
      </c>
      <c r="G108">
        <f/>
        <v/>
      </c>
      <c r="H108">
        <f/>
        <v/>
      </c>
      <c r="I108">
        <f/>
        <v/>
      </c>
      <c r="J108">
        <f/>
        <v/>
      </c>
      <c r="K108">
        <f/>
        <v/>
      </c>
      <c r="L108">
        <f/>
        <v/>
      </c>
      <c r="M108">
        <f/>
        <v/>
      </c>
      <c r="N108">
        <f/>
        <v/>
      </c>
      <c r="O108">
        <f/>
        <v/>
      </c>
      <c r="P108">
        <f/>
        <v/>
      </c>
      <c r="Q108">
        <f/>
        <v/>
      </c>
      <c r="R108">
        <f/>
        <v/>
      </c>
      <c r="S108">
        <f/>
        <v/>
      </c>
      <c r="T108">
        <f/>
        <v/>
      </c>
      <c r="U108">
        <f/>
        <v/>
      </c>
      <c r="V108">
        <f/>
        <v/>
      </c>
    </row>
    <row r="109">
      <c r="A109" t="inlineStr">
        <is>
          <t>PLTU SLAYA #2</t>
        </is>
      </c>
      <c r="B109" s="3">
        <f>IF(VLOOKUP(A109,$A$7:$B$52,2,FALSE),1,0)</f>
        <v/>
      </c>
      <c r="C109">
        <f t="array" ref="C109:V109">OFFSET(INDIRECT($A$137&amp;"!$C$7:$AX$8"),MATCH("PLTU SRLYA #2",INDIRECT($A$137&amp;"!A8:A306"),0),$X$1,1,20)</f>
        <v/>
      </c>
      <c r="D109">
        <f/>
        <v/>
      </c>
      <c r="E109">
        <f/>
        <v/>
      </c>
      <c r="F109">
        <f/>
        <v/>
      </c>
      <c r="G109">
        <f/>
        <v/>
      </c>
      <c r="H109">
        <f/>
        <v/>
      </c>
      <c r="I109">
        <f/>
        <v/>
      </c>
      <c r="J109">
        <f/>
        <v/>
      </c>
      <c r="K109">
        <f/>
        <v/>
      </c>
      <c r="L109">
        <f/>
        <v/>
      </c>
      <c r="M109">
        <f/>
        <v/>
      </c>
      <c r="N109">
        <f/>
        <v/>
      </c>
      <c r="O109">
        <f/>
        <v/>
      </c>
      <c r="P109">
        <f/>
        <v/>
      </c>
      <c r="Q109">
        <f/>
        <v/>
      </c>
      <c r="R109">
        <f/>
        <v/>
      </c>
      <c r="S109">
        <f/>
        <v/>
      </c>
      <c r="T109">
        <f/>
        <v/>
      </c>
      <c r="U109">
        <f/>
        <v/>
      </c>
      <c r="V109">
        <f/>
        <v/>
      </c>
    </row>
    <row r="110">
      <c r="A110" t="inlineStr">
        <is>
          <t>PLTU SLAYA #3</t>
        </is>
      </c>
      <c r="B110" s="3">
        <f>IF(VLOOKUP(A110,$A$7:$B$52,2,FALSE),1,0)</f>
        <v/>
      </c>
      <c r="C110">
        <f t="array" ref="C110:V110">OFFSET(INDIRECT($A$137&amp;"!$C$7:$AX$8"),MATCH("PLTU SRLYA #3",INDIRECT($A$137&amp;"!A8:A306"),0),$X$1,1,20)</f>
        <v/>
      </c>
      <c r="D110">
        <f/>
        <v/>
      </c>
      <c r="E110">
        <f/>
        <v/>
      </c>
      <c r="F110">
        <f/>
        <v/>
      </c>
      <c r="G110">
        <f/>
        <v/>
      </c>
      <c r="H110">
        <f/>
        <v/>
      </c>
      <c r="I110">
        <f/>
        <v/>
      </c>
      <c r="J110">
        <f/>
        <v/>
      </c>
      <c r="K110">
        <f/>
        <v/>
      </c>
      <c r="L110">
        <f/>
        <v/>
      </c>
      <c r="M110">
        <f/>
        <v/>
      </c>
      <c r="N110">
        <f/>
        <v/>
      </c>
      <c r="O110">
        <f/>
        <v/>
      </c>
      <c r="P110">
        <f/>
        <v/>
      </c>
      <c r="Q110">
        <f/>
        <v/>
      </c>
      <c r="R110">
        <f/>
        <v/>
      </c>
      <c r="S110">
        <f/>
        <v/>
      </c>
      <c r="T110">
        <f/>
        <v/>
      </c>
      <c r="U110">
        <f/>
        <v/>
      </c>
      <c r="V110">
        <f/>
        <v/>
      </c>
    </row>
    <row r="111">
      <c r="A111" t="inlineStr">
        <is>
          <t>PLTU SLAYA #4</t>
        </is>
      </c>
      <c r="B111" s="3">
        <f>IF(VLOOKUP(A111,$A$7:$B$52,2,FALSE),1,0)</f>
        <v/>
      </c>
      <c r="C111">
        <f t="array" ref="C111:V111">OFFSET(INDIRECT($A$137&amp;"!$C$7:$AX$8"),MATCH("PLTU SRLYA #4",INDIRECT($A$137&amp;"!A8:A306"),0),$X$1,1,20)</f>
        <v/>
      </c>
      <c r="D111">
        <f/>
        <v/>
      </c>
      <c r="E111">
        <f/>
        <v/>
      </c>
      <c r="F111">
        <f/>
        <v/>
      </c>
      <c r="G111">
        <f/>
        <v/>
      </c>
      <c r="H111">
        <f/>
        <v/>
      </c>
      <c r="I111">
        <f/>
        <v/>
      </c>
      <c r="J111">
        <f/>
        <v/>
      </c>
      <c r="K111">
        <f/>
        <v/>
      </c>
      <c r="L111">
        <f/>
        <v/>
      </c>
      <c r="M111">
        <f/>
        <v/>
      </c>
      <c r="N111">
        <f/>
        <v/>
      </c>
      <c r="O111">
        <f/>
        <v/>
      </c>
      <c r="P111">
        <f/>
        <v/>
      </c>
      <c r="Q111">
        <f/>
        <v/>
      </c>
      <c r="R111">
        <f/>
        <v/>
      </c>
      <c r="S111">
        <f/>
        <v/>
      </c>
      <c r="T111">
        <f/>
        <v/>
      </c>
      <c r="U111">
        <f/>
        <v/>
      </c>
      <c r="V111">
        <f/>
        <v/>
      </c>
    </row>
    <row r="112">
      <c r="A112" t="inlineStr">
        <is>
          <t>PLTU TAWAR #1</t>
        </is>
      </c>
      <c r="B112" s="3">
        <f>IF(VLOOKUP("PLTU TJ AWAR2 #1",$A$7:$B$52,2,FALSE),1,0)</f>
        <v/>
      </c>
      <c r="C112">
        <f t="array" ref="C112:V112">OFFSET(INDIRECT($A$137&amp;"!$C$7:$AX$8"),MATCH("PLTU TJ AWAR2 #1",INDIRECT($A$137&amp;"!A8:A306"),0),$X$1,1,20)</f>
        <v/>
      </c>
      <c r="D112">
        <f/>
        <v/>
      </c>
      <c r="E112">
        <f/>
        <v/>
      </c>
      <c r="F112">
        <f/>
        <v/>
      </c>
      <c r="G112">
        <f/>
        <v/>
      </c>
      <c r="H112">
        <f/>
        <v/>
      </c>
      <c r="I112">
        <f/>
        <v/>
      </c>
      <c r="J112">
        <f/>
        <v/>
      </c>
      <c r="K112">
        <f/>
        <v/>
      </c>
      <c r="L112">
        <f/>
        <v/>
      </c>
      <c r="M112">
        <f/>
        <v/>
      </c>
      <c r="N112">
        <f/>
        <v/>
      </c>
      <c r="O112">
        <f/>
        <v/>
      </c>
      <c r="P112">
        <f/>
        <v/>
      </c>
      <c r="Q112">
        <f/>
        <v/>
      </c>
      <c r="R112">
        <f/>
        <v/>
      </c>
      <c r="S112">
        <f/>
        <v/>
      </c>
      <c r="T112">
        <f/>
        <v/>
      </c>
      <c r="U112">
        <f/>
        <v/>
      </c>
      <c r="V112">
        <f/>
        <v/>
      </c>
    </row>
    <row r="113">
      <c r="A113" t="inlineStr">
        <is>
          <t>PLTU TAWAR #2</t>
        </is>
      </c>
      <c r="B113" s="3">
        <f>IF(VLOOKUP("PLTU TJ AWAR2 #2",$A$7:$B$52,2,FALSE),1,0)</f>
        <v/>
      </c>
      <c r="C113">
        <f t="array" ref="C113:V113">OFFSET(INDIRECT($A$137&amp;"!$C$7:$AX$8"),MATCH("PLTU TJ AWAR2 #2",INDIRECT($A$137&amp;"!A8:A306"),0),$X$1,1,20)</f>
        <v/>
      </c>
      <c r="D113">
        <f/>
        <v/>
      </c>
      <c r="E113">
        <f/>
        <v/>
      </c>
      <c r="F113">
        <f/>
        <v/>
      </c>
      <c r="G113">
        <f/>
        <v/>
      </c>
      <c r="H113">
        <f/>
        <v/>
      </c>
      <c r="I113">
        <f/>
        <v/>
      </c>
      <c r="J113">
        <f/>
        <v/>
      </c>
      <c r="K113">
        <f/>
        <v/>
      </c>
      <c r="L113">
        <f/>
        <v/>
      </c>
      <c r="M113">
        <f/>
        <v/>
      </c>
      <c r="N113">
        <f/>
        <v/>
      </c>
      <c r="O113">
        <f/>
        <v/>
      </c>
      <c r="P113">
        <f/>
        <v/>
      </c>
      <c r="Q113">
        <f/>
        <v/>
      </c>
      <c r="R113">
        <f/>
        <v/>
      </c>
      <c r="S113">
        <f/>
        <v/>
      </c>
      <c r="T113">
        <f/>
        <v/>
      </c>
      <c r="U113">
        <f/>
        <v/>
      </c>
      <c r="V113">
        <f/>
        <v/>
      </c>
    </row>
    <row r="114">
      <c r="A114" s="1" t="inlineStr">
        <is>
          <t>PLTU PRATU #1</t>
        </is>
      </c>
      <c r="B114" s="3">
        <f>IF(VLOOKUP(A114,$A$7:$B$52,2,FALSE),1,0)</f>
        <v/>
      </c>
      <c r="C114">
        <f t="array" ref="C114:V114">OFFSET(INDIRECT($A$137&amp;"!$C$7:$AX$8"),MATCH(A114,INDIRECT($A$137&amp;"!A8:A306"),0),$X$1,1,20)</f>
        <v/>
      </c>
      <c r="D114">
        <f/>
        <v/>
      </c>
      <c r="E114">
        <f/>
        <v/>
      </c>
      <c r="F114">
        <f/>
        <v/>
      </c>
      <c r="G114">
        <f/>
        <v/>
      </c>
      <c r="H114">
        <f/>
        <v/>
      </c>
      <c r="I114">
        <f/>
        <v/>
      </c>
      <c r="J114">
        <f/>
        <v/>
      </c>
      <c r="K114">
        <f/>
        <v/>
      </c>
      <c r="L114">
        <f/>
        <v/>
      </c>
      <c r="M114">
        <f/>
        <v/>
      </c>
      <c r="N114">
        <f/>
        <v/>
      </c>
      <c r="O114">
        <f/>
        <v/>
      </c>
      <c r="P114">
        <f/>
        <v/>
      </c>
      <c r="Q114">
        <f/>
        <v/>
      </c>
      <c r="R114">
        <f/>
        <v/>
      </c>
      <c r="S114">
        <f/>
        <v/>
      </c>
      <c r="T114">
        <f/>
        <v/>
      </c>
      <c r="U114">
        <f/>
        <v/>
      </c>
      <c r="V114">
        <f/>
        <v/>
      </c>
    </row>
    <row r="115">
      <c r="A115" s="1" t="inlineStr">
        <is>
          <t>PLTU PRATU #2</t>
        </is>
      </c>
      <c r="B115" s="3">
        <f>IF(VLOOKUP(A115,$A$7:$B$52,2,FALSE),1,0)</f>
        <v/>
      </c>
      <c r="C115">
        <f t="array" ref="C115:V115">OFFSET(INDIRECT($A$137&amp;"!$C$7:$AX$8"),MATCH(A115,INDIRECT($A$137&amp;"!A8:A306"),0),$X$1,1,20)</f>
        <v/>
      </c>
      <c r="D115">
        <f/>
        <v/>
      </c>
      <c r="E115">
        <f/>
        <v/>
      </c>
      <c r="F115">
        <f/>
        <v/>
      </c>
      <c r="G115">
        <f/>
        <v/>
      </c>
      <c r="H115">
        <f/>
        <v/>
      </c>
      <c r="I115">
        <f/>
        <v/>
      </c>
      <c r="J115">
        <f/>
        <v/>
      </c>
      <c r="K115">
        <f/>
        <v/>
      </c>
      <c r="L115">
        <f/>
        <v/>
      </c>
      <c r="M115">
        <f/>
        <v/>
      </c>
      <c r="N115">
        <f/>
        <v/>
      </c>
      <c r="O115">
        <f/>
        <v/>
      </c>
      <c r="P115">
        <f/>
        <v/>
      </c>
      <c r="Q115">
        <f/>
        <v/>
      </c>
      <c r="R115">
        <f/>
        <v/>
      </c>
      <c r="S115">
        <f/>
        <v/>
      </c>
      <c r="T115">
        <f/>
        <v/>
      </c>
      <c r="U115">
        <f/>
        <v/>
      </c>
      <c r="V115">
        <f/>
        <v/>
      </c>
    </row>
    <row r="116">
      <c r="A116" s="1" t="inlineStr">
        <is>
          <t>PLTU PRATU #3</t>
        </is>
      </c>
      <c r="B116" s="3">
        <f>IF(VLOOKUP(A116,$A$7:$B$52,2,FALSE),1,0)</f>
        <v/>
      </c>
      <c r="C116">
        <f t="array" ref="C116:V116">OFFSET(INDIRECT($A$137&amp;"!$C$7:$AX$8"),MATCH(A116,INDIRECT($A$137&amp;"!A8:A306"),0),$X$1,1,20)</f>
        <v/>
      </c>
      <c r="D116">
        <f/>
        <v/>
      </c>
      <c r="E116">
        <f/>
        <v/>
      </c>
      <c r="F116">
        <f/>
        <v/>
      </c>
      <c r="G116">
        <f/>
        <v/>
      </c>
      <c r="H116">
        <f/>
        <v/>
      </c>
      <c r="I116">
        <f/>
        <v/>
      </c>
      <c r="J116">
        <f/>
        <v/>
      </c>
      <c r="K116">
        <f/>
        <v/>
      </c>
      <c r="L116">
        <f/>
        <v/>
      </c>
      <c r="M116">
        <f/>
        <v/>
      </c>
      <c r="N116">
        <f/>
        <v/>
      </c>
      <c r="O116">
        <f/>
        <v/>
      </c>
      <c r="P116">
        <f/>
        <v/>
      </c>
      <c r="Q116">
        <f/>
        <v/>
      </c>
      <c r="R116">
        <f/>
        <v/>
      </c>
      <c r="S116">
        <f/>
        <v/>
      </c>
      <c r="T116">
        <f/>
        <v/>
      </c>
      <c r="U116">
        <f/>
        <v/>
      </c>
      <c r="V116">
        <f/>
        <v/>
      </c>
    </row>
    <row r="117">
      <c r="A117" t="inlineStr">
        <is>
          <t>PLTU PITON #9</t>
        </is>
      </c>
      <c r="B117" s="3">
        <f>IF(VLOOKUP("PLTU PAITON #9",$A$7:$B$52,2,FALSE),1,0)</f>
        <v/>
      </c>
      <c r="C117">
        <f t="array" ref="C117:V117">OFFSET(INDIRECT($A$137&amp;"!$C$7:$AX$8"),MATCH("PLTU PAITON #9",INDIRECT($A$137&amp;"!A8:A306"),0),$X$1,1,20)</f>
        <v/>
      </c>
      <c r="D117">
        <f/>
        <v/>
      </c>
      <c r="E117">
        <f/>
        <v/>
      </c>
      <c r="F117">
        <f/>
        <v/>
      </c>
      <c r="G117">
        <f/>
        <v/>
      </c>
      <c r="H117">
        <f/>
        <v/>
      </c>
      <c r="I117">
        <f/>
        <v/>
      </c>
      <c r="J117">
        <f/>
        <v/>
      </c>
      <c r="K117">
        <f/>
        <v/>
      </c>
      <c r="L117">
        <f/>
        <v/>
      </c>
      <c r="M117">
        <f/>
        <v/>
      </c>
      <c r="N117">
        <f/>
        <v/>
      </c>
      <c r="O117">
        <f/>
        <v/>
      </c>
      <c r="P117">
        <f/>
        <v/>
      </c>
      <c r="Q117">
        <f/>
        <v/>
      </c>
      <c r="R117">
        <f/>
        <v/>
      </c>
      <c r="S117">
        <f/>
        <v/>
      </c>
      <c r="T117">
        <f/>
        <v/>
      </c>
      <c r="U117">
        <f/>
        <v/>
      </c>
      <c r="V117">
        <f/>
        <v/>
      </c>
    </row>
    <row r="118">
      <c r="A118" s="1" t="inlineStr">
        <is>
          <t>PLTU CLCAP #1</t>
        </is>
      </c>
      <c r="B118" s="3">
        <f>IF(VLOOKUP(A118,$A$7:$B$52,2,FALSE),1,0)</f>
        <v/>
      </c>
      <c r="C118">
        <f t="array" ref="C118:V118">OFFSET(INDIRECT($A$137&amp;"!$C$7:$AX$8"),MATCH(A118,INDIRECT($A$137&amp;"!A8:A306"),0),$X$1,1,20)</f>
        <v/>
      </c>
      <c r="D118">
        <f/>
        <v/>
      </c>
      <c r="E118">
        <f/>
        <v/>
      </c>
      <c r="F118">
        <f/>
        <v/>
      </c>
      <c r="G118">
        <f/>
        <v/>
      </c>
      <c r="H118">
        <f/>
        <v/>
      </c>
      <c r="I118">
        <f/>
        <v/>
      </c>
      <c r="J118">
        <f/>
        <v/>
      </c>
      <c r="K118">
        <f/>
        <v/>
      </c>
      <c r="L118">
        <f/>
        <v/>
      </c>
      <c r="M118">
        <f/>
        <v/>
      </c>
      <c r="N118">
        <f/>
        <v/>
      </c>
      <c r="O118">
        <f/>
        <v/>
      </c>
      <c r="P118">
        <f/>
        <v/>
      </c>
      <c r="Q118">
        <f/>
        <v/>
      </c>
      <c r="R118">
        <f/>
        <v/>
      </c>
      <c r="S118">
        <f/>
        <v/>
      </c>
      <c r="T118">
        <f/>
        <v/>
      </c>
      <c r="U118">
        <f/>
        <v/>
      </c>
      <c r="V118">
        <f/>
        <v/>
      </c>
    </row>
    <row r="119">
      <c r="A119" s="1" t="inlineStr">
        <is>
          <t>PLTU CLCAP #2</t>
        </is>
      </c>
      <c r="B119" s="3">
        <f>IF(VLOOKUP(A119,$A$7:$B$52,2,FALSE),1,0)</f>
        <v/>
      </c>
      <c r="C119">
        <f t="array" ref="C119:V119">OFFSET(INDIRECT($A$137&amp;"!$C$7:$AX$8"),MATCH(A119,INDIRECT($A$137&amp;"!A8:A306"),0),$X$1,1,20)</f>
        <v/>
      </c>
      <c r="D119">
        <f/>
        <v/>
      </c>
      <c r="E119">
        <f/>
        <v/>
      </c>
      <c r="F119">
        <f/>
        <v/>
      </c>
      <c r="G119">
        <f/>
        <v/>
      </c>
      <c r="H119">
        <f/>
        <v/>
      </c>
      <c r="I119">
        <f/>
        <v/>
      </c>
      <c r="J119">
        <f/>
        <v/>
      </c>
      <c r="K119">
        <f/>
        <v/>
      </c>
      <c r="L119">
        <f/>
        <v/>
      </c>
      <c r="M119">
        <f/>
        <v/>
      </c>
      <c r="N119">
        <f/>
        <v/>
      </c>
      <c r="O119">
        <f/>
        <v/>
      </c>
      <c r="P119">
        <f/>
        <v/>
      </c>
      <c r="Q119">
        <f/>
        <v/>
      </c>
      <c r="R119">
        <f/>
        <v/>
      </c>
      <c r="S119">
        <f/>
        <v/>
      </c>
      <c r="T119">
        <f/>
        <v/>
      </c>
      <c r="U119">
        <f/>
        <v/>
      </c>
      <c r="V119">
        <f/>
        <v/>
      </c>
    </row>
    <row r="120">
      <c r="A120" t="inlineStr">
        <is>
          <t>PLTU ADPLA #1</t>
        </is>
      </c>
      <c r="B120" s="3">
        <f>IF(VLOOKUP(A120,$A$7:$B$52,2,FALSE),1,0)</f>
        <v/>
      </c>
      <c r="C120">
        <f t="array" ref="C120:V120">OFFSET(INDIRECT($A$137&amp;"!$C$7:$AX$8"),MATCH("PLTU ADIPALA #1",INDIRECT($A$137&amp;"!A8:A306"),0),$X$1,1,20)</f>
        <v/>
      </c>
      <c r="D120">
        <f/>
        <v/>
      </c>
      <c r="E120">
        <f/>
        <v/>
      </c>
      <c r="F120">
        <f/>
        <v/>
      </c>
      <c r="G120">
        <f/>
        <v/>
      </c>
      <c r="H120">
        <f/>
        <v/>
      </c>
      <c r="I120">
        <f/>
        <v/>
      </c>
      <c r="J120">
        <f/>
        <v/>
      </c>
      <c r="K120">
        <f/>
        <v/>
      </c>
      <c r="L120">
        <f/>
        <v/>
      </c>
      <c r="M120">
        <f/>
        <v/>
      </c>
      <c r="N120">
        <f/>
        <v/>
      </c>
      <c r="O120">
        <f/>
        <v/>
      </c>
      <c r="P120">
        <f/>
        <v/>
      </c>
      <c r="Q120">
        <f/>
        <v/>
      </c>
      <c r="R120">
        <f/>
        <v/>
      </c>
      <c r="S120">
        <f/>
        <v/>
      </c>
      <c r="T120">
        <f/>
        <v/>
      </c>
      <c r="U120">
        <f/>
        <v/>
      </c>
      <c r="V120">
        <f/>
        <v/>
      </c>
    </row>
    <row r="121">
      <c r="A121" t="inlineStr">
        <is>
          <t>PLTU LBUAN #1</t>
        </is>
      </c>
      <c r="B121" s="3">
        <f>IF(VLOOKUP(A121,$A$7:$B$52,2,FALSE),1,0)</f>
        <v/>
      </c>
      <c r="C121">
        <f t="array" ref="C121:V121">OFFSET(INDIRECT($A$137&amp;"!$C$7:$AX$8"),MATCH("PLTU LABUAN #1",INDIRECT($A$137&amp;"!A8:A306"),0),$X$1,1,20)</f>
        <v/>
      </c>
      <c r="D121">
        <f/>
        <v/>
      </c>
      <c r="E121">
        <f/>
        <v/>
      </c>
      <c r="F121">
        <f/>
        <v/>
      </c>
      <c r="G121">
        <f/>
        <v/>
      </c>
      <c r="H121">
        <f/>
        <v/>
      </c>
      <c r="I121">
        <f/>
        <v/>
      </c>
      <c r="J121">
        <f/>
        <v/>
      </c>
      <c r="K121">
        <f/>
        <v/>
      </c>
      <c r="L121">
        <f/>
        <v/>
      </c>
      <c r="M121">
        <f/>
        <v/>
      </c>
      <c r="N121">
        <f/>
        <v/>
      </c>
      <c r="O121">
        <f/>
        <v/>
      </c>
      <c r="P121">
        <f/>
        <v/>
      </c>
      <c r="Q121">
        <f/>
        <v/>
      </c>
      <c r="R121">
        <f/>
        <v/>
      </c>
      <c r="S121">
        <f/>
        <v/>
      </c>
      <c r="T121">
        <f/>
        <v/>
      </c>
      <c r="U121">
        <f/>
        <v/>
      </c>
      <c r="V121">
        <f/>
        <v/>
      </c>
    </row>
    <row r="122">
      <c r="A122" t="inlineStr">
        <is>
          <t>PLTU LBUAN #2</t>
        </is>
      </c>
      <c r="B122" s="3">
        <f>IF(VLOOKUP(A122,$A$7:$B$52,2,FALSE),1,0)</f>
        <v/>
      </c>
      <c r="C122">
        <f t="array" ref="C122:V122">OFFSET(INDIRECT($A$137&amp;"!$C$7:$AX$8"),MATCH("PLTU LABUAN #2",INDIRECT($A$137&amp;"!A8:A306"),0),$X$1,1,20)</f>
        <v/>
      </c>
      <c r="D122">
        <f/>
        <v/>
      </c>
      <c r="E122">
        <f/>
        <v/>
      </c>
      <c r="F122">
        <f/>
        <v/>
      </c>
      <c r="G122">
        <f/>
        <v/>
      </c>
      <c r="H122">
        <f/>
        <v/>
      </c>
      <c r="I122">
        <f/>
        <v/>
      </c>
      <c r="J122">
        <f/>
        <v/>
      </c>
      <c r="K122">
        <f/>
        <v/>
      </c>
      <c r="L122">
        <f/>
        <v/>
      </c>
      <c r="M122">
        <f/>
        <v/>
      </c>
      <c r="N122">
        <f/>
        <v/>
      </c>
      <c r="O122">
        <f/>
        <v/>
      </c>
      <c r="P122">
        <f/>
        <v/>
      </c>
      <c r="Q122">
        <f/>
        <v/>
      </c>
      <c r="R122">
        <f/>
        <v/>
      </c>
      <c r="S122">
        <f/>
        <v/>
      </c>
      <c r="T122">
        <f/>
        <v/>
      </c>
      <c r="U122">
        <f/>
        <v/>
      </c>
      <c r="V122">
        <f/>
        <v/>
      </c>
    </row>
    <row r="123">
      <c r="A123" t="inlineStr">
        <is>
          <t>PLTU LNTAR #1</t>
        </is>
      </c>
      <c r="B123" s="3">
        <f>IF(VLOOKUP(A123,$A$7:$B$52,2,FALSE),1,0)</f>
        <v/>
      </c>
      <c r="C123">
        <f t="array" ref="C123:V123">OFFSET(INDIRECT($A$137&amp;"!$C$7:$AX$8"),MATCH("PLTU LONTAR #1",INDIRECT($A$137&amp;"!A8:A306"),0),$X$1,1,20)</f>
        <v/>
      </c>
      <c r="D123">
        <f/>
        <v/>
      </c>
      <c r="E123">
        <f/>
        <v/>
      </c>
      <c r="F123">
        <f/>
        <v/>
      </c>
      <c r="G123">
        <f/>
        <v/>
      </c>
      <c r="H123">
        <f/>
        <v/>
      </c>
      <c r="I123">
        <f/>
        <v/>
      </c>
      <c r="J123">
        <f/>
        <v/>
      </c>
      <c r="K123">
        <f/>
        <v/>
      </c>
      <c r="L123">
        <f/>
        <v/>
      </c>
      <c r="M123">
        <f/>
        <v/>
      </c>
      <c r="N123">
        <f/>
        <v/>
      </c>
      <c r="O123">
        <f/>
        <v/>
      </c>
      <c r="P123">
        <f/>
        <v/>
      </c>
      <c r="Q123">
        <f/>
        <v/>
      </c>
      <c r="R123">
        <f/>
        <v/>
      </c>
      <c r="S123">
        <f/>
        <v/>
      </c>
      <c r="T123">
        <f/>
        <v/>
      </c>
      <c r="U123">
        <f/>
        <v/>
      </c>
      <c r="V123">
        <f/>
        <v/>
      </c>
    </row>
    <row r="124">
      <c r="A124" t="inlineStr">
        <is>
          <t>PLTU LNTAR #2</t>
        </is>
      </c>
      <c r="B124" s="3">
        <f>IF(VLOOKUP(A124,$A$7:$B$52,2,FALSE),1,0)</f>
        <v/>
      </c>
      <c r="C124">
        <f t="array" ref="C124:V124">OFFSET(INDIRECT($A$137&amp;"!$C$7:$AX$8"),MATCH("PLTU LONTAR #2",INDIRECT($A$137&amp;"!A8:A306"),0),$X$1,1,20)</f>
        <v/>
      </c>
      <c r="D124">
        <f/>
        <v/>
      </c>
      <c r="E124">
        <f/>
        <v/>
      </c>
      <c r="F124">
        <f/>
        <v/>
      </c>
      <c r="G124">
        <f/>
        <v/>
      </c>
      <c r="H124">
        <f/>
        <v/>
      </c>
      <c r="I124">
        <f/>
        <v/>
      </c>
      <c r="J124">
        <f/>
        <v/>
      </c>
      <c r="K124">
        <f/>
        <v/>
      </c>
      <c r="L124">
        <f/>
        <v/>
      </c>
      <c r="M124">
        <f/>
        <v/>
      </c>
      <c r="N124">
        <f/>
        <v/>
      </c>
      <c r="O124">
        <f/>
        <v/>
      </c>
      <c r="P124">
        <f/>
        <v/>
      </c>
      <c r="Q124">
        <f/>
        <v/>
      </c>
      <c r="R124">
        <f/>
        <v/>
      </c>
      <c r="S124">
        <f/>
        <v/>
      </c>
      <c r="T124">
        <f/>
        <v/>
      </c>
      <c r="U124">
        <f/>
        <v/>
      </c>
      <c r="V124">
        <f/>
        <v/>
      </c>
    </row>
    <row r="125">
      <c r="A125" t="inlineStr">
        <is>
          <t>PLTU LNTAR #3</t>
        </is>
      </c>
      <c r="B125" s="3">
        <f>IF(VLOOKUP(A125,$A$7:$B$52,2,FALSE),1,0)</f>
        <v/>
      </c>
      <c r="C125">
        <f t="array" ref="C125:V125">OFFSET(INDIRECT($A$137&amp;"!$C$7:$AX$8"),MATCH("PLTU LONTAR #3",INDIRECT($A$137&amp;"!A8:A306"),0),$X$1,1,20)</f>
        <v/>
      </c>
      <c r="D125">
        <f/>
        <v/>
      </c>
      <c r="E125">
        <f/>
        <v/>
      </c>
      <c r="F125">
        <f/>
        <v/>
      </c>
      <c r="G125">
        <f/>
        <v/>
      </c>
      <c r="H125">
        <f/>
        <v/>
      </c>
      <c r="I125">
        <f/>
        <v/>
      </c>
      <c r="J125">
        <f/>
        <v/>
      </c>
      <c r="K125">
        <f/>
        <v/>
      </c>
      <c r="L125">
        <f/>
        <v/>
      </c>
      <c r="M125">
        <f/>
        <v/>
      </c>
      <c r="N125">
        <f/>
        <v/>
      </c>
      <c r="O125">
        <f/>
        <v/>
      </c>
      <c r="P125">
        <f/>
        <v/>
      </c>
      <c r="Q125">
        <f/>
        <v/>
      </c>
      <c r="R125">
        <f/>
        <v/>
      </c>
      <c r="S125">
        <f/>
        <v/>
      </c>
      <c r="T125">
        <f/>
        <v/>
      </c>
      <c r="U125">
        <f/>
        <v/>
      </c>
      <c r="V125">
        <f/>
        <v/>
      </c>
    </row>
    <row r="126">
      <c r="A126" t="inlineStr">
        <is>
          <t>PLTU LNTAR #4</t>
        </is>
      </c>
      <c r="B126" s="3">
        <f>IF(VLOOKUP(A126,$A$7:$B$52,2,FALSE),1,0)</f>
        <v/>
      </c>
      <c r="C126">
        <f t="array" ref="C126:V126">OFFSET(INDIRECT($A$137&amp;"!$C$7:$AX$8"),MATCH("PLTU LONTAR #4",INDIRECT($A$137&amp;"!A8:A306"),0),$X$1,1,20)</f>
        <v/>
      </c>
      <c r="D126">
        <f/>
        <v/>
      </c>
      <c r="E126">
        <f/>
        <v/>
      </c>
      <c r="F126">
        <f/>
        <v/>
      </c>
      <c r="G126">
        <f/>
        <v/>
      </c>
      <c r="H126">
        <f/>
        <v/>
      </c>
      <c r="I126">
        <f/>
        <v/>
      </c>
      <c r="J126">
        <f/>
        <v/>
      </c>
      <c r="K126">
        <f/>
        <v/>
      </c>
      <c r="L126">
        <f/>
        <v/>
      </c>
      <c r="M126">
        <f/>
        <v/>
      </c>
      <c r="N126">
        <f/>
        <v/>
      </c>
      <c r="O126">
        <f/>
        <v/>
      </c>
      <c r="P126">
        <f/>
        <v/>
      </c>
      <c r="Q126">
        <f/>
        <v/>
      </c>
      <c r="R126">
        <f/>
        <v/>
      </c>
      <c r="S126">
        <f/>
        <v/>
      </c>
      <c r="T126">
        <f/>
        <v/>
      </c>
      <c r="U126">
        <f/>
        <v/>
      </c>
      <c r="V126">
        <f/>
        <v/>
      </c>
    </row>
    <row r="127">
      <c r="A127" t="inlineStr">
        <is>
          <t>PLTU SLAYA #8</t>
        </is>
      </c>
      <c r="B127" s="3">
        <f>IF(VLOOKUP("PLTU SRLYA #8",$A$7:$B$52,2,FALSE),1,0)</f>
        <v/>
      </c>
      <c r="C127">
        <f t="array" ref="C127:V127">OFFSET(INDIRECT($A$137&amp;"!$C$7:$AX$8"),MATCH("PLTU SRLYA #8",INDIRECT($A$137&amp;"!A8:A306"),0),$X$1,1,20)</f>
        <v/>
      </c>
      <c r="D127">
        <f/>
        <v/>
      </c>
      <c r="E127">
        <f/>
        <v/>
      </c>
      <c r="F127">
        <f/>
        <v/>
      </c>
      <c r="G127">
        <f/>
        <v/>
      </c>
      <c r="H127">
        <f/>
        <v/>
      </c>
      <c r="I127">
        <f/>
        <v/>
      </c>
      <c r="J127">
        <f/>
        <v/>
      </c>
      <c r="K127">
        <f/>
        <v/>
      </c>
      <c r="L127">
        <f/>
        <v/>
      </c>
      <c r="M127">
        <f/>
        <v/>
      </c>
      <c r="N127">
        <f/>
        <v/>
      </c>
      <c r="O127">
        <f/>
        <v/>
      </c>
      <c r="P127">
        <f/>
        <v/>
      </c>
      <c r="Q127">
        <f/>
        <v/>
      </c>
      <c r="R127">
        <f/>
        <v/>
      </c>
      <c r="S127">
        <f/>
        <v/>
      </c>
      <c r="T127">
        <f/>
        <v/>
      </c>
      <c r="U127">
        <f/>
        <v/>
      </c>
      <c r="V127">
        <f/>
        <v/>
      </c>
    </row>
    <row r="130">
      <c r="A130" t="inlineStr">
        <is>
          <t>PAGI</t>
        </is>
      </c>
    </row>
    <row r="131">
      <c r="A131" t="inlineStr">
        <is>
          <t>SIANG</t>
        </is>
      </c>
    </row>
    <row r="132">
      <c r="A132" t="inlineStr">
        <is>
          <t>MALAM1</t>
        </is>
      </c>
    </row>
    <row r="133">
      <c r="A133" t="inlineStr">
        <is>
          <t>MALAM2</t>
        </is>
      </c>
    </row>
    <row r="134">
      <c r="A134" t="inlineStr">
        <is>
          <t>ROH_INT</t>
        </is>
      </c>
    </row>
    <row r="135">
      <c r="A135" t="inlineStr">
        <is>
          <t>ROH_ORI</t>
        </is>
      </c>
    </row>
    <row r="136">
      <c r="A136">
        <f>IF(A1="ROH_ORI","ROH-009B-Awal","ROH-009B")</f>
        <v/>
      </c>
    </row>
    <row r="137">
      <c r="A137">
        <f>IF(A1="ROH_ORI","ROH","INT")</f>
        <v/>
      </c>
    </row>
    <row r="573">
      <c r="A573">
        <f>MATCH("BEBAN  SISTEM",H130:H609,0)</f>
        <v/>
      </c>
      <c r="B573" t="inlineStr">
        <is>
          <t>BEBAN  SISTEM</t>
        </is>
      </c>
    </row>
  </sheetData>
  <mergeCells count="24">
    <mergeCell ref="AM2:AN2"/>
    <mergeCell ref="AO2:AP2"/>
    <mergeCell ref="AK7:AL7"/>
    <mergeCell ref="AI1:AJ1"/>
    <mergeCell ref="AO7:AP7"/>
    <mergeCell ref="AK4:AL4"/>
    <mergeCell ref="AK3:AL3"/>
    <mergeCell ref="AI6:AJ6"/>
    <mergeCell ref="AK5:AL5"/>
    <mergeCell ref="AM5:AN5"/>
    <mergeCell ref="AM1:AN1"/>
    <mergeCell ref="AI4:AJ4"/>
    <mergeCell ref="AI7:AJ7"/>
    <mergeCell ref="AK1:AL1"/>
    <mergeCell ref="AO1:AP1"/>
    <mergeCell ref="AM4:AN4"/>
    <mergeCell ref="AM7:AN7"/>
    <mergeCell ref="AK6:AL6"/>
    <mergeCell ref="AI3:AJ3"/>
    <mergeCell ref="AM6:AN6"/>
    <mergeCell ref="AM3:AN3"/>
    <mergeCell ref="AI2:AJ2"/>
    <mergeCell ref="AK2:AL2"/>
    <mergeCell ref="AI5:AJ5"/>
  </mergeCells>
  <conditionalFormatting sqref="D71:D127">
    <cfRule type="expression" priority="35" dxfId="1">
      <formula>$D71&lt;$C71</formula>
    </cfRule>
    <cfRule type="expression" priority="36" dxfId="0">
      <formula>$D71&gt;$C71</formula>
    </cfRule>
  </conditionalFormatting>
  <conditionalFormatting sqref="E71:E127">
    <cfRule type="expression" priority="33" dxfId="1">
      <formula>$E71&lt;$D71</formula>
    </cfRule>
    <cfRule type="expression" priority="34" dxfId="0">
      <formula>$E71&gt;$D71</formula>
    </cfRule>
  </conditionalFormatting>
  <conditionalFormatting sqref="F71:F127">
    <cfRule type="expression" priority="31" dxfId="1">
      <formula>$F71&lt;$E71</formula>
    </cfRule>
    <cfRule type="expression" priority="32" dxfId="0">
      <formula>$F71&gt;$E71</formula>
    </cfRule>
  </conditionalFormatting>
  <conditionalFormatting sqref="G71:G127">
    <cfRule type="expression" priority="29" dxfId="1">
      <formula>$G71&lt;$F71</formula>
    </cfRule>
    <cfRule type="expression" priority="30" dxfId="0">
      <formula>$G71&gt;$F71</formula>
    </cfRule>
  </conditionalFormatting>
  <conditionalFormatting sqref="H71:H127">
    <cfRule type="expression" priority="28" dxfId="0">
      <formula>$H71&gt;$G71</formula>
    </cfRule>
    <cfRule type="expression" priority="27" dxfId="1">
      <formula>$H71&lt;$G71</formula>
    </cfRule>
  </conditionalFormatting>
  <conditionalFormatting sqref="I71:I127">
    <cfRule type="expression" priority="26" dxfId="1">
      <formula>$I71&lt;$H71</formula>
    </cfRule>
    <cfRule type="expression" priority="25" dxfId="0">
      <formula>$I71&gt;$H71</formula>
    </cfRule>
  </conditionalFormatting>
  <conditionalFormatting sqref="J71:J127">
    <cfRule type="expression" priority="24" dxfId="0">
      <formula>$J71&gt;$I71</formula>
    </cfRule>
    <cfRule type="expression" priority="23" dxfId="1">
      <formula>$J71&lt;$I71</formula>
    </cfRule>
  </conditionalFormatting>
  <conditionalFormatting sqref="K71:K127">
    <cfRule type="expression" priority="22" dxfId="0">
      <formula>$K71&gt;$J71</formula>
    </cfRule>
    <cfRule type="expression" priority="21" dxfId="1">
      <formula>$K71&lt;$J71</formula>
    </cfRule>
  </conditionalFormatting>
  <conditionalFormatting sqref="L71:L127">
    <cfRule type="expression" priority="19" dxfId="1">
      <formula>$L71&lt;$K71</formula>
    </cfRule>
    <cfRule type="expression" priority="20" dxfId="0">
      <formula>$L71&gt;$K71</formula>
    </cfRule>
  </conditionalFormatting>
  <conditionalFormatting sqref="M71:M127">
    <cfRule type="expression" priority="17" dxfId="1">
      <formula>$M71&lt;$L71</formula>
    </cfRule>
    <cfRule type="expression" priority="18" dxfId="0">
      <formula>$M71&gt;$L71</formula>
    </cfRule>
  </conditionalFormatting>
  <conditionalFormatting sqref="N71:N127">
    <cfRule type="expression" priority="15" dxfId="0">
      <formula>$N71&gt;$M71</formula>
    </cfRule>
    <cfRule type="expression" priority="16" dxfId="1">
      <formula>$N71&lt;$M71</formula>
    </cfRule>
  </conditionalFormatting>
  <conditionalFormatting sqref="O71:O127">
    <cfRule type="expression" priority="13" dxfId="1">
      <formula>$O71&lt;$N71</formula>
    </cfRule>
    <cfRule type="expression" priority="14" dxfId="0">
      <formula>$O71&gt;$N71</formula>
    </cfRule>
  </conditionalFormatting>
  <conditionalFormatting sqref="P71:P127">
    <cfRule type="expression" priority="11" dxfId="1">
      <formula>$P71&lt;$O71</formula>
    </cfRule>
    <cfRule type="expression" priority="12" dxfId="0">
      <formula>$P71&gt;$O71</formula>
    </cfRule>
  </conditionalFormatting>
  <conditionalFormatting sqref="Q71:Q127">
    <cfRule type="expression" priority="9" dxfId="1">
      <formula>$Q71&lt;$P71</formula>
    </cfRule>
    <cfRule type="expression" priority="10" dxfId="0">
      <formula>$Q71&gt;$P71</formula>
    </cfRule>
  </conditionalFormatting>
  <conditionalFormatting sqref="R71:R118">
    <cfRule type="expression" priority="44" dxfId="1">
      <formula>$R12&lt;$Q12</formula>
    </cfRule>
    <cfRule type="expression" priority="43" dxfId="0">
      <formula>$R12&gt;$Q12</formula>
    </cfRule>
  </conditionalFormatting>
  <conditionalFormatting sqref="R119:R122">
    <cfRule type="expression" priority="38" dxfId="1">
      <formula>$R61&lt;$Q61</formula>
    </cfRule>
    <cfRule type="expression" priority="37" dxfId="0">
      <formula>$R61&gt;$Q61</formula>
    </cfRule>
  </conditionalFormatting>
  <conditionalFormatting sqref="R123">
    <cfRule type="expression" priority="41" dxfId="0">
      <formula>#REF!&gt;$R66</formula>
    </cfRule>
    <cfRule type="expression" priority="42" dxfId="1">
      <formula>#REF!&lt;$R66</formula>
    </cfRule>
  </conditionalFormatting>
  <conditionalFormatting sqref="R124:R127">
    <cfRule type="expression" priority="8" dxfId="1">
      <formula>$R68&lt;$Q68</formula>
    </cfRule>
    <cfRule type="expression" priority="7" dxfId="0">
      <formula>$R68&gt;$Q68</formula>
    </cfRule>
  </conditionalFormatting>
  <conditionalFormatting sqref="S71:S127">
    <cfRule type="expression" priority="5" dxfId="0">
      <formula>$S71&gt;$R71</formula>
    </cfRule>
    <cfRule type="expression" priority="6" dxfId="1">
      <formula>$S71&lt;$R71</formula>
    </cfRule>
  </conditionalFormatting>
  <conditionalFormatting sqref="T71:T127">
    <cfRule type="expression" priority="4" dxfId="0">
      <formula>$T71&gt;$S71</formula>
    </cfRule>
    <cfRule type="expression" priority="3" dxfId="1">
      <formula>$T71&lt;$S71</formula>
    </cfRule>
  </conditionalFormatting>
  <conditionalFormatting sqref="U71:U127">
    <cfRule type="expression" priority="2" dxfId="1">
      <formula>$U71&lt;$T71</formula>
    </cfRule>
    <cfRule type="expression" priority="1" dxfId="0">
      <formula>$U71&gt;$T71</formula>
    </cfRule>
  </conditionalFormatting>
  <dataValidations count="3">
    <dataValidation sqref="B1" showDropDown="0" showInputMessage="1" showErrorMessage="1" allowBlank="1" type="list">
      <formula1>$A$130:$A$132</formula1>
    </dataValidation>
    <dataValidation sqref="A1" showDropDown="0" showInputMessage="1" showErrorMessage="1" allowBlank="1" type="list">
      <formula1>$A$134:$A$135</formula1>
    </dataValidation>
    <dataValidation sqref="W1" showDropDown="0" showInputMessage="1" showErrorMessage="1" allowBlank="1" type="list">
      <formula1>$A$130:$A$133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topLeftCell="A37" workbookViewId="0">
      <selection activeCell="J19" sqref="J19"/>
    </sheetView>
  </sheetViews>
  <sheetFormatPr baseColWidth="8" defaultRowHeight="14.4"/>
  <sheetData>
    <row r="1">
      <c r="B1" t="inlineStr">
        <is>
          <t>JAWA7</t>
        </is>
      </c>
      <c r="D1" t="inlineStr">
        <is>
          <t>JAWA910</t>
        </is>
      </c>
    </row>
    <row r="2">
      <c r="A2" s="21" t="n">
        <v>0.02083333333333333</v>
      </c>
      <c r="B2" s="3" t="n">
        <v>416</v>
      </c>
    </row>
    <row r="3">
      <c r="A3" s="21" t="n">
        <v>0.04166666666666666</v>
      </c>
      <c r="B3" s="3" t="n">
        <v>417</v>
      </c>
      <c r="J3" t="inlineStr">
        <is>
          <t>1.3 mkarang gagal sinkrong</t>
        </is>
      </c>
    </row>
    <row r="4">
      <c r="A4" s="21" t="n">
        <v>0.0625</v>
      </c>
      <c r="B4" s="3" t="n">
        <v>417</v>
      </c>
    </row>
    <row r="5">
      <c r="A5" s="21" t="n">
        <v>0.08333333333333333</v>
      </c>
      <c r="B5" s="3" t="n">
        <v>415</v>
      </c>
    </row>
    <row r="6">
      <c r="A6" s="21" t="n">
        <v>0.1041666666666667</v>
      </c>
      <c r="B6" s="3" t="n">
        <v>415</v>
      </c>
    </row>
    <row r="7">
      <c r="A7" s="21" t="n">
        <v>0.125</v>
      </c>
      <c r="B7" s="3" t="n">
        <v>414</v>
      </c>
    </row>
    <row r="8">
      <c r="A8" s="21" t="n">
        <v>0.1458333333333333</v>
      </c>
      <c r="B8" s="3" t="n">
        <v>415</v>
      </c>
    </row>
    <row r="9">
      <c r="A9" s="21" t="n">
        <v>0.1666666666666667</v>
      </c>
      <c r="B9" s="3" t="n">
        <v>414</v>
      </c>
    </row>
    <row r="10">
      <c r="A10" s="21" t="n">
        <v>0.1875</v>
      </c>
      <c r="B10" s="3" t="n">
        <v>415</v>
      </c>
    </row>
    <row r="11">
      <c r="A11" s="21" t="n">
        <v>0.2083333333333333</v>
      </c>
      <c r="B11" s="3" t="n">
        <v>418</v>
      </c>
    </row>
    <row r="12">
      <c r="A12" s="21" t="n">
        <v>0.2291666666666667</v>
      </c>
      <c r="B12" s="3" t="n">
        <v>416</v>
      </c>
    </row>
    <row r="13">
      <c r="A13" s="21" t="n">
        <v>0.25</v>
      </c>
      <c r="B13" s="3" t="n">
        <v>415</v>
      </c>
    </row>
    <row r="14">
      <c r="A14" s="21" t="n">
        <v>0.2708333333333333</v>
      </c>
      <c r="B14" s="3" t="n">
        <v>418</v>
      </c>
    </row>
    <row r="15">
      <c r="A15" s="21" t="n">
        <v>0.2916666666666667</v>
      </c>
      <c r="B15" s="3" t="n">
        <v>418</v>
      </c>
    </row>
    <row r="16">
      <c r="A16" s="21" t="n">
        <v>0.3125</v>
      </c>
      <c r="B16" s="3" t="n">
        <v>450</v>
      </c>
    </row>
    <row r="17">
      <c r="A17" s="21" t="n">
        <v>0.3333333333333333</v>
      </c>
      <c r="B17" s="3" t="n">
        <v>418</v>
      </c>
    </row>
    <row r="18">
      <c r="A18" s="21" t="n">
        <v>0.3541666666666667</v>
      </c>
      <c r="B18" s="3" t="n">
        <v>550</v>
      </c>
    </row>
    <row r="19">
      <c r="A19" s="21" t="n">
        <v>0.375</v>
      </c>
      <c r="B19" s="3" t="n">
        <v>600</v>
      </c>
    </row>
    <row r="20">
      <c r="A20" s="21" t="n">
        <v>0.3958333333333333</v>
      </c>
      <c r="B20" s="3" t="n">
        <v>650</v>
      </c>
    </row>
    <row r="21">
      <c r="A21" s="21" t="n">
        <v>0.4166666666666667</v>
      </c>
      <c r="B21" s="3" t="n">
        <v>550</v>
      </c>
    </row>
    <row r="22">
      <c r="A22" s="21" t="n">
        <v>0.4375</v>
      </c>
      <c r="B22" s="3" t="n">
        <v>650</v>
      </c>
    </row>
    <row r="23">
      <c r="A23" s="21" t="n">
        <v>0.4583333333333333</v>
      </c>
      <c r="B23" s="3" t="n">
        <v>750</v>
      </c>
    </row>
    <row r="24">
      <c r="A24" s="21" t="n">
        <v>0.4791666666666667</v>
      </c>
      <c r="B24" s="3" t="n">
        <v>750</v>
      </c>
    </row>
    <row r="25">
      <c r="A25" s="21" t="n">
        <v>0.5</v>
      </c>
      <c r="B25" s="3" t="n">
        <v>750</v>
      </c>
    </row>
    <row r="26">
      <c r="A26" s="21" t="n">
        <v>0.5208333333333334</v>
      </c>
      <c r="B26" s="3" t="n">
        <v>750</v>
      </c>
    </row>
    <row r="27">
      <c r="A27" s="21" t="n">
        <v>0.5416666666666666</v>
      </c>
      <c r="B27" s="3" t="n">
        <v>850</v>
      </c>
    </row>
    <row r="28">
      <c r="A28" s="21" t="n">
        <v>0.5625</v>
      </c>
      <c r="B28" s="3" t="n">
        <v>900</v>
      </c>
    </row>
    <row r="29">
      <c r="A29" s="21" t="n">
        <v>0.5833333333333334</v>
      </c>
      <c r="B29" s="3" t="n">
        <v>900</v>
      </c>
    </row>
    <row r="30">
      <c r="A30" s="21" t="n">
        <v>0.6041666666666666</v>
      </c>
      <c r="B30" s="3" t="n">
        <v>950</v>
      </c>
    </row>
    <row r="31">
      <c r="A31" s="21" t="n">
        <v>0.625</v>
      </c>
      <c r="B31" s="3" t="n">
        <v>850</v>
      </c>
    </row>
    <row r="32">
      <c r="A32" s="21" t="n">
        <v>0.6458333333333334</v>
      </c>
      <c r="B32" s="3" t="n">
        <v>850</v>
      </c>
    </row>
    <row r="33">
      <c r="A33" s="21" t="n">
        <v>0.6666666666666666</v>
      </c>
      <c r="B33" s="3" t="n">
        <v>750</v>
      </c>
    </row>
    <row r="34">
      <c r="A34" s="21" t="n">
        <v>0.6875</v>
      </c>
      <c r="B34" s="3" t="n">
        <v>750</v>
      </c>
    </row>
    <row r="35">
      <c r="A35" s="21" t="n">
        <v>0.7083333333333334</v>
      </c>
      <c r="B35" s="3" t="n">
        <v>850</v>
      </c>
    </row>
    <row r="36">
      <c r="A36" s="21" t="n">
        <v>0.7291666666666666</v>
      </c>
      <c r="B36" s="3" t="n">
        <v>900</v>
      </c>
    </row>
    <row r="37">
      <c r="A37" s="21" t="n">
        <v>0.75</v>
      </c>
      <c r="B37" s="3" t="n">
        <v>900</v>
      </c>
    </row>
    <row r="38">
      <c r="A38" s="21" t="n">
        <v>0.7708333333333334</v>
      </c>
      <c r="B38" s="3" t="n">
        <v>900</v>
      </c>
    </row>
    <row r="39">
      <c r="A39" s="21" t="n">
        <v>0.7916666666666666</v>
      </c>
      <c r="B39" s="3" t="n">
        <v>850</v>
      </c>
    </row>
    <row r="40">
      <c r="A40" s="21" t="n">
        <v>0.8125</v>
      </c>
      <c r="B40" s="3" t="n">
        <v>750</v>
      </c>
    </row>
    <row r="41">
      <c r="A41" s="21" t="n">
        <v>0.8333333333333334</v>
      </c>
      <c r="B41" s="3" t="n">
        <v>750</v>
      </c>
    </row>
    <row r="42">
      <c r="A42" s="21" t="n">
        <v>0.8541666666666666</v>
      </c>
      <c r="B42" s="3" t="n">
        <v>550</v>
      </c>
    </row>
    <row r="43">
      <c r="A43" s="21" t="n">
        <v>0.875</v>
      </c>
      <c r="B43" s="3" t="n">
        <v>700</v>
      </c>
    </row>
    <row r="44">
      <c r="A44" s="21" t="n">
        <v>0.8958333333333334</v>
      </c>
      <c r="B44" s="3" t="n">
        <v>416</v>
      </c>
    </row>
    <row r="45">
      <c r="A45" s="21" t="n">
        <v>0.9166666666666666</v>
      </c>
      <c r="B45" s="3" t="n">
        <v>416</v>
      </c>
    </row>
    <row r="46">
      <c r="A46" s="21" t="n">
        <v>0.9375</v>
      </c>
      <c r="B46" s="3" t="n">
        <v>416</v>
      </c>
    </row>
    <row r="47">
      <c r="A47" s="21" t="n">
        <v>0.9583333333333334</v>
      </c>
      <c r="B47" s="3" t="n">
        <v>416</v>
      </c>
    </row>
    <row r="48">
      <c r="A48" s="21" t="n">
        <v>0.9791666666666666</v>
      </c>
      <c r="B48" s="3" t="n">
        <v>416</v>
      </c>
    </row>
    <row r="49">
      <c r="A49" s="21" t="n">
        <v>1</v>
      </c>
      <c r="B49" s="3" t="n">
        <v>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LOKASI</t>
        </is>
      </c>
      <c r="B1" t="inlineStr">
        <is>
          <t>DMN</t>
        </is>
      </c>
      <c r="C1" t="inlineStr">
        <is>
          <t>00.30</t>
        </is>
      </c>
      <c r="D1" t="inlineStr">
        <is>
          <t>01.00</t>
        </is>
      </c>
      <c r="E1" t="inlineStr">
        <is>
          <t>01.30</t>
        </is>
      </c>
      <c r="F1" t="inlineStr">
        <is>
          <t>02.00</t>
        </is>
      </c>
      <c r="G1" t="inlineStr">
        <is>
          <t>02.30</t>
        </is>
      </c>
      <c r="H1" t="inlineStr">
        <is>
          <t>03.00</t>
        </is>
      </c>
      <c r="I1" t="inlineStr">
        <is>
          <t>03.30</t>
        </is>
      </c>
      <c r="J1" t="inlineStr">
        <is>
          <t>04.00</t>
        </is>
      </c>
      <c r="K1" t="inlineStr">
        <is>
          <t>04.30</t>
        </is>
      </c>
      <c r="L1" t="inlineStr">
        <is>
          <t>05.00</t>
        </is>
      </c>
      <c r="M1" t="inlineStr">
        <is>
          <t>05.30</t>
        </is>
      </c>
      <c r="N1" t="inlineStr">
        <is>
          <t>06.00</t>
        </is>
      </c>
      <c r="O1" t="inlineStr">
        <is>
          <t>06.30</t>
        </is>
      </c>
      <c r="P1" t="inlineStr">
        <is>
          <t>07.00</t>
        </is>
      </c>
      <c r="Q1" t="inlineStr">
        <is>
          <t>07.30</t>
        </is>
      </c>
      <c r="R1" t="inlineStr">
        <is>
          <t>08.00</t>
        </is>
      </c>
      <c r="S1" t="inlineStr">
        <is>
          <t>08.30</t>
        </is>
      </c>
      <c r="T1" t="inlineStr">
        <is>
          <t>09.00</t>
        </is>
      </c>
      <c r="U1" t="inlineStr">
        <is>
          <t>09.30</t>
        </is>
      </c>
      <c r="V1" t="inlineStr">
        <is>
          <t>10.00</t>
        </is>
      </c>
      <c r="W1" t="inlineStr">
        <is>
          <t>10.30</t>
        </is>
      </c>
      <c r="X1" t="inlineStr">
        <is>
          <t>11.00</t>
        </is>
      </c>
      <c r="Y1" t="inlineStr">
        <is>
          <t>11.30</t>
        </is>
      </c>
      <c r="Z1" t="inlineStr">
        <is>
          <t>12.00</t>
        </is>
      </c>
      <c r="AA1" t="inlineStr">
        <is>
          <t>12.30</t>
        </is>
      </c>
      <c r="AB1" t="inlineStr">
        <is>
          <t>13.00</t>
        </is>
      </c>
      <c r="AC1" t="inlineStr">
        <is>
          <t>13.30</t>
        </is>
      </c>
      <c r="AD1" t="inlineStr">
        <is>
          <t>14.00</t>
        </is>
      </c>
      <c r="AE1" t="inlineStr">
        <is>
          <t>14.30</t>
        </is>
      </c>
      <c r="AF1" t="inlineStr">
        <is>
          <t>15.00</t>
        </is>
      </c>
      <c r="AG1" t="inlineStr">
        <is>
          <t>15.30</t>
        </is>
      </c>
      <c r="AH1" t="inlineStr">
        <is>
          <t>16.00</t>
        </is>
      </c>
      <c r="AI1" t="inlineStr">
        <is>
          <t>16.30</t>
        </is>
      </c>
      <c r="AJ1" t="inlineStr">
        <is>
          <t>17.00</t>
        </is>
      </c>
      <c r="AK1" t="inlineStr">
        <is>
          <t>17.30</t>
        </is>
      </c>
      <c r="AL1" t="inlineStr">
        <is>
          <t>18.00</t>
        </is>
      </c>
      <c r="AM1" t="inlineStr">
        <is>
          <t>18.30</t>
        </is>
      </c>
      <c r="AN1" t="inlineStr">
        <is>
          <t>19.00</t>
        </is>
      </c>
      <c r="AO1" t="inlineStr">
        <is>
          <t>19.30</t>
        </is>
      </c>
      <c r="AP1" t="inlineStr">
        <is>
          <t>20.00</t>
        </is>
      </c>
      <c r="AQ1" t="inlineStr">
        <is>
          <t>20.30</t>
        </is>
      </c>
      <c r="AR1" t="inlineStr">
        <is>
          <t>21.00</t>
        </is>
      </c>
      <c r="AS1" t="inlineStr">
        <is>
          <t>21.30</t>
        </is>
      </c>
      <c r="AT1" t="inlineStr">
        <is>
          <t>22.00</t>
        </is>
      </c>
      <c r="AU1" t="inlineStr">
        <is>
          <t>22.30</t>
        </is>
      </c>
      <c r="AV1" t="inlineStr">
        <is>
          <t>23.00</t>
        </is>
      </c>
      <c r="AW1" t="inlineStr">
        <is>
          <t>23.30</t>
        </is>
      </c>
      <c r="AX1" t="inlineStr">
        <is>
          <t>24.00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RJKB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>
        <is>
          <t>PT. INDONESIA POWER</t>
        </is>
      </c>
      <c r="D4" t="inlineStr">
        <is>
          <t>PT. INDONESIA POWER</t>
        </is>
      </c>
      <c r="E4" t="inlineStr">
        <is>
          <t>PT. INDONESIA POWER</t>
        </is>
      </c>
      <c r="F4" t="inlineStr">
        <is>
          <t>PT. INDONESIA POWER</t>
        </is>
      </c>
      <c r="G4" t="inlineStr">
        <is>
          <t>PT. INDONESIA POWER</t>
        </is>
      </c>
      <c r="H4" t="inlineStr">
        <is>
          <t>PT. INDONESIA POWER</t>
        </is>
      </c>
      <c r="I4" t="inlineStr">
        <is>
          <t>PT. INDONESIA POWER</t>
        </is>
      </c>
      <c r="J4" t="inlineStr">
        <is>
          <t>PT. INDONESIA POWER</t>
        </is>
      </c>
      <c r="K4" t="inlineStr">
        <is>
          <t>PT. INDONESIA POWER</t>
        </is>
      </c>
      <c r="L4" t="inlineStr">
        <is>
          <t>PT. INDONESIA POWER</t>
        </is>
      </c>
      <c r="M4" t="inlineStr">
        <is>
          <t>PT. INDONESIA POWER</t>
        </is>
      </c>
      <c r="N4" t="inlineStr">
        <is>
          <t>PT. INDONESIA POWER</t>
        </is>
      </c>
      <c r="O4" t="inlineStr">
        <is>
          <t>PT. INDONESIA POWER</t>
        </is>
      </c>
      <c r="P4" t="inlineStr">
        <is>
          <t>PT. INDONESIA POWER</t>
        </is>
      </c>
      <c r="Q4" t="inlineStr">
        <is>
          <t>PT. INDONESIA POWER</t>
        </is>
      </c>
      <c r="R4" t="inlineStr">
        <is>
          <t>PT. INDONESIA POWER</t>
        </is>
      </c>
      <c r="S4" t="inlineStr">
        <is>
          <t>PT. INDONESIA POWER</t>
        </is>
      </c>
      <c r="T4" t="inlineStr">
        <is>
          <t>PT. INDONESIA POWER</t>
        </is>
      </c>
      <c r="U4" t="inlineStr">
        <is>
          <t>PT. INDONESIA POWER</t>
        </is>
      </c>
      <c r="V4" t="inlineStr">
        <is>
          <t>PT. INDONESIA POWER</t>
        </is>
      </c>
      <c r="W4" t="inlineStr">
        <is>
          <t>PT. INDONESIA POWER</t>
        </is>
      </c>
      <c r="X4" t="inlineStr">
        <is>
          <t>PT. INDONESIA POWER</t>
        </is>
      </c>
      <c r="Y4" t="inlineStr">
        <is>
          <t>PT. INDONESIA POWER</t>
        </is>
      </c>
      <c r="Z4" t="inlineStr">
        <is>
          <t>PT. INDONESIA POWER</t>
        </is>
      </c>
      <c r="AA4" t="inlineStr">
        <is>
          <t>PT. INDONESIA POWER</t>
        </is>
      </c>
      <c r="AB4" t="inlineStr">
        <is>
          <t>PT. INDONESIA POWER</t>
        </is>
      </c>
      <c r="AC4" t="inlineStr">
        <is>
          <t>PT. INDONESIA POWER</t>
        </is>
      </c>
      <c r="AD4" t="inlineStr">
        <is>
          <t>PT. INDONESIA POWER</t>
        </is>
      </c>
      <c r="AE4" t="inlineStr">
        <is>
          <t>PT. INDONESIA POWER</t>
        </is>
      </c>
      <c r="AF4" t="inlineStr">
        <is>
          <t>PT. INDONESIA POWER</t>
        </is>
      </c>
      <c r="AG4" t="inlineStr">
        <is>
          <t>PT. INDONESIA POWER</t>
        </is>
      </c>
      <c r="AH4" t="inlineStr">
        <is>
          <t>PT. INDONESIA POWER</t>
        </is>
      </c>
      <c r="AI4" t="inlineStr">
        <is>
          <t>PT. INDONESIA POWER</t>
        </is>
      </c>
      <c r="AJ4" t="inlineStr">
        <is>
          <t>PT. INDONESIA POWER</t>
        </is>
      </c>
      <c r="AK4" t="inlineStr">
        <is>
          <t>PT. INDONESIA POWER</t>
        </is>
      </c>
      <c r="AL4" t="inlineStr">
        <is>
          <t>PT. INDONESIA POWER</t>
        </is>
      </c>
      <c r="AM4" t="inlineStr">
        <is>
          <t>PT. INDONESIA POWER</t>
        </is>
      </c>
      <c r="AN4" t="inlineStr">
        <is>
          <t>PT. INDONESIA POWER</t>
        </is>
      </c>
      <c r="AO4" t="inlineStr">
        <is>
          <t>PT. INDONESIA POWER</t>
        </is>
      </c>
      <c r="AP4" t="inlineStr">
        <is>
          <t>PT. INDONESIA POWER</t>
        </is>
      </c>
      <c r="AQ4" t="inlineStr">
        <is>
          <t>PT. INDONESIA POWER</t>
        </is>
      </c>
      <c r="AR4" t="inlineStr">
        <is>
          <t>PT. INDONESIA POWER</t>
        </is>
      </c>
      <c r="AS4" t="inlineStr">
        <is>
          <t>PT. INDONESIA POWER</t>
        </is>
      </c>
      <c r="AT4" t="inlineStr">
        <is>
          <t>PT. INDONESIA POWER</t>
        </is>
      </c>
      <c r="AU4" t="inlineStr">
        <is>
          <t>PT. INDONESIA POWER</t>
        </is>
      </c>
      <c r="AV4" t="inlineStr">
        <is>
          <t>PT. INDONESIA POWER</t>
        </is>
      </c>
      <c r="AW4" t="inlineStr">
        <is>
          <t>PT. INDONESIA POWER</t>
        </is>
      </c>
      <c r="AX4" t="inlineStr">
        <is>
          <t>PT. INDONESIA POWER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PLTA Region 1</t>
        </is>
      </c>
      <c r="B6" t="inlineStr"/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8</v>
      </c>
      <c r="X6" t="n">
        <v>8</v>
      </c>
      <c r="Y6" t="n">
        <v>8</v>
      </c>
      <c r="Z6" t="n">
        <v>8</v>
      </c>
      <c r="AA6" t="n">
        <v>8</v>
      </c>
      <c r="AB6" t="n">
        <v>8</v>
      </c>
      <c r="AC6" t="n">
        <v>8</v>
      </c>
      <c r="AD6" t="n">
        <v>8</v>
      </c>
      <c r="AE6" t="n">
        <v>8</v>
      </c>
      <c r="AF6" t="n">
        <v>8</v>
      </c>
      <c r="AG6" t="n">
        <v>8</v>
      </c>
      <c r="AH6" t="n">
        <v>8</v>
      </c>
      <c r="AI6" t="n">
        <v>8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PLTU SRLYA #1</t>
        </is>
      </c>
      <c r="B8" t="n">
        <v>371.5</v>
      </c>
      <c r="C8" t="n">
        <v>284.2</v>
      </c>
      <c r="D8" t="n">
        <v>284.2</v>
      </c>
      <c r="E8" t="n">
        <v>284.2</v>
      </c>
      <c r="F8" t="n">
        <v>284.2</v>
      </c>
      <c r="G8" t="n">
        <v>284.2</v>
      </c>
      <c r="H8" t="n">
        <v>284.2</v>
      </c>
      <c r="I8" t="n">
        <v>284.2</v>
      </c>
      <c r="J8" t="n">
        <v>284.2</v>
      </c>
      <c r="K8" t="n">
        <v>284.2</v>
      </c>
      <c r="L8" t="n">
        <v>284.2</v>
      </c>
      <c r="M8" t="n">
        <v>284.2</v>
      </c>
      <c r="N8" t="n">
        <v>284.2</v>
      </c>
      <c r="O8" t="n">
        <v>284.2</v>
      </c>
      <c r="P8" t="n">
        <v>200</v>
      </c>
      <c r="Q8" t="n">
        <v>200</v>
      </c>
      <c r="R8" t="n">
        <v>216.8</v>
      </c>
      <c r="S8" t="n">
        <v>216.8</v>
      </c>
      <c r="T8" t="n">
        <v>333.2</v>
      </c>
      <c r="U8" t="n">
        <v>333.2</v>
      </c>
      <c r="V8" t="n">
        <v>333.2</v>
      </c>
      <c r="W8" t="n">
        <v>333.2</v>
      </c>
      <c r="X8" t="n">
        <v>333.2</v>
      </c>
      <c r="Y8" t="n">
        <v>333.2</v>
      </c>
      <c r="Z8" t="n">
        <v>333.2</v>
      </c>
      <c r="AA8" t="n">
        <v>333.2</v>
      </c>
      <c r="AB8" t="n">
        <v>333.2</v>
      </c>
      <c r="AC8" t="n">
        <v>333.2</v>
      </c>
      <c r="AD8" t="n">
        <v>333.2</v>
      </c>
      <c r="AE8" t="n">
        <v>333.2</v>
      </c>
      <c r="AF8" t="n">
        <v>333.2</v>
      </c>
      <c r="AG8" t="n">
        <v>333.2</v>
      </c>
      <c r="AH8" t="n">
        <v>333.2</v>
      </c>
      <c r="AI8" t="n">
        <v>333.2</v>
      </c>
      <c r="AJ8" t="n">
        <v>333.2</v>
      </c>
      <c r="AK8" t="n">
        <v>333.2</v>
      </c>
      <c r="AL8" t="n">
        <v>333.2</v>
      </c>
      <c r="AM8" t="n">
        <v>333.2</v>
      </c>
      <c r="AN8" t="n">
        <v>333.2</v>
      </c>
      <c r="AO8" t="n">
        <v>333.2</v>
      </c>
      <c r="AP8" t="n">
        <v>333.2</v>
      </c>
      <c r="AQ8" t="n">
        <v>333.2</v>
      </c>
      <c r="AR8" t="n">
        <v>333.2</v>
      </c>
      <c r="AS8" t="n">
        <v>200</v>
      </c>
      <c r="AT8" t="n">
        <v>333.2</v>
      </c>
      <c r="AU8" t="n">
        <v>333.2</v>
      </c>
      <c r="AV8" t="n">
        <v>333.2</v>
      </c>
      <c r="AW8" t="n">
        <v>333.2</v>
      </c>
      <c r="AX8" t="n">
        <v>333.2</v>
      </c>
    </row>
    <row r="9">
      <c r="A9" t="inlineStr">
        <is>
          <t>PLTU SRLYA #2</t>
        </is>
      </c>
      <c r="B9" t="n">
        <v>371.5</v>
      </c>
      <c r="C9" t="n">
        <v>284.2</v>
      </c>
      <c r="D9" t="n">
        <v>284.2</v>
      </c>
      <c r="E9" t="n">
        <v>284.2</v>
      </c>
      <c r="F9" t="n">
        <v>284.2</v>
      </c>
      <c r="G9" t="n">
        <v>284.2</v>
      </c>
      <c r="H9" t="n">
        <v>284.2</v>
      </c>
      <c r="I9" t="n">
        <v>284.2</v>
      </c>
      <c r="J9" t="n">
        <v>284.2</v>
      </c>
      <c r="K9" t="n">
        <v>284.2</v>
      </c>
      <c r="L9" t="n">
        <v>284.2</v>
      </c>
      <c r="M9" t="n">
        <v>284.2</v>
      </c>
      <c r="N9" t="n">
        <v>284.2</v>
      </c>
      <c r="O9" t="n">
        <v>284.2</v>
      </c>
      <c r="P9" t="n">
        <v>248</v>
      </c>
      <c r="Q9" t="n">
        <v>230</v>
      </c>
      <c r="R9" t="n">
        <v>230</v>
      </c>
      <c r="S9" t="n">
        <v>230</v>
      </c>
      <c r="T9" t="n">
        <v>333.2</v>
      </c>
      <c r="U9" t="n">
        <v>333.2</v>
      </c>
      <c r="V9" t="n">
        <v>333.2</v>
      </c>
      <c r="W9" t="n">
        <v>333.2</v>
      </c>
      <c r="X9" t="n">
        <v>333.2</v>
      </c>
      <c r="Y9" t="n">
        <v>333.2</v>
      </c>
      <c r="Z9" t="n">
        <v>333.2</v>
      </c>
      <c r="AA9" t="n">
        <v>333.2</v>
      </c>
      <c r="AB9" t="n">
        <v>333.2</v>
      </c>
      <c r="AC9" t="n">
        <v>333.2</v>
      </c>
      <c r="AD9" t="n">
        <v>333.2</v>
      </c>
      <c r="AE9" t="n">
        <v>333.2</v>
      </c>
      <c r="AF9" t="n">
        <v>333.2</v>
      </c>
      <c r="AG9" t="n">
        <v>333.2</v>
      </c>
      <c r="AH9" t="n">
        <v>333.2</v>
      </c>
      <c r="AI9" t="n">
        <v>333.2</v>
      </c>
      <c r="AJ9" t="n">
        <v>333.2</v>
      </c>
      <c r="AK9" t="n">
        <v>333.2</v>
      </c>
      <c r="AL9" t="n">
        <v>333.2</v>
      </c>
      <c r="AM9" t="n">
        <v>333.2</v>
      </c>
      <c r="AN9" t="n">
        <v>333.2</v>
      </c>
      <c r="AO9" t="n">
        <v>333.2</v>
      </c>
      <c r="AP9" t="n">
        <v>333.2</v>
      </c>
      <c r="AQ9" t="n">
        <v>333.2</v>
      </c>
      <c r="AR9" t="n">
        <v>333.2</v>
      </c>
      <c r="AS9" t="n">
        <v>246.8</v>
      </c>
      <c r="AT9" t="n">
        <v>333.2</v>
      </c>
      <c r="AU9" t="n">
        <v>333.2</v>
      </c>
      <c r="AV9" t="n">
        <v>333.2</v>
      </c>
      <c r="AW9" t="n">
        <v>333.2</v>
      </c>
      <c r="AX9" t="n">
        <v>333.2</v>
      </c>
    </row>
    <row r="10">
      <c r="A10" t="inlineStr">
        <is>
          <t>PLTU SRLYA #4</t>
        </is>
      </c>
      <c r="B10" t="n">
        <v>371.5</v>
      </c>
      <c r="C10" t="n">
        <v>284.2</v>
      </c>
      <c r="D10" t="n">
        <v>284.2</v>
      </c>
      <c r="E10" t="n">
        <v>284.2</v>
      </c>
      <c r="F10" t="n">
        <v>284.2</v>
      </c>
      <c r="G10" t="n">
        <v>284.2</v>
      </c>
      <c r="H10" t="n">
        <v>284.2</v>
      </c>
      <c r="I10" t="n">
        <v>284.2</v>
      </c>
      <c r="J10" t="n">
        <v>284.2</v>
      </c>
      <c r="K10" t="n">
        <v>284.2</v>
      </c>
      <c r="L10" t="n">
        <v>284.2</v>
      </c>
      <c r="M10" t="n">
        <v>284.2</v>
      </c>
      <c r="N10" t="n">
        <v>284.2</v>
      </c>
      <c r="O10" t="n">
        <v>284.2</v>
      </c>
      <c r="P10" t="n">
        <v>200</v>
      </c>
      <c r="Q10" t="n">
        <v>200</v>
      </c>
      <c r="R10" t="n">
        <v>333.2</v>
      </c>
      <c r="S10" t="n">
        <v>333.2</v>
      </c>
      <c r="T10" t="n">
        <v>333.2</v>
      </c>
      <c r="U10" t="n">
        <v>333.2</v>
      </c>
      <c r="V10" t="n">
        <v>333.2</v>
      </c>
      <c r="W10" t="n">
        <v>333.2</v>
      </c>
      <c r="X10" t="n">
        <v>333.2</v>
      </c>
      <c r="Y10" t="n">
        <v>333.2</v>
      </c>
      <c r="Z10" t="n">
        <v>333.2</v>
      </c>
      <c r="AA10" t="n">
        <v>333.2</v>
      </c>
      <c r="AB10" t="n">
        <v>333.2</v>
      </c>
      <c r="AC10" t="n">
        <v>333.2</v>
      </c>
      <c r="AD10" t="n">
        <v>333.2</v>
      </c>
      <c r="AE10" t="n">
        <v>333.2</v>
      </c>
      <c r="AF10" t="n">
        <v>333.2</v>
      </c>
      <c r="AG10" t="n">
        <v>333.2</v>
      </c>
      <c r="AH10" t="n">
        <v>333.2</v>
      </c>
      <c r="AI10" t="n">
        <v>333.2</v>
      </c>
      <c r="AJ10" t="n">
        <v>333.2</v>
      </c>
      <c r="AK10" t="n">
        <v>333.2</v>
      </c>
      <c r="AL10" t="n">
        <v>333.2</v>
      </c>
      <c r="AM10" t="n">
        <v>333.2</v>
      </c>
      <c r="AN10" t="n">
        <v>333.2</v>
      </c>
      <c r="AO10" t="n">
        <v>333.2</v>
      </c>
      <c r="AP10" t="n">
        <v>333.2</v>
      </c>
      <c r="AQ10" t="n">
        <v>333.2</v>
      </c>
      <c r="AR10" t="n">
        <v>333.2</v>
      </c>
      <c r="AS10" t="n">
        <v>333.2</v>
      </c>
      <c r="AT10" t="n">
        <v>333.2</v>
      </c>
      <c r="AU10" t="n">
        <v>333.2</v>
      </c>
      <c r="AV10" t="n">
        <v>333.2</v>
      </c>
      <c r="AW10" t="n">
        <v>333.2</v>
      </c>
      <c r="AX10" t="n">
        <v>333.2</v>
      </c>
    </row>
    <row r="11">
      <c r="A11" t="inlineStr">
        <is>
          <t>PLTU SRLYA #5</t>
        </is>
      </c>
      <c r="B11" t="n">
        <v>575.2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318</v>
      </c>
      <c r="I11" t="n">
        <v>318</v>
      </c>
      <c r="J11" t="n">
        <v>318</v>
      </c>
      <c r="K11" t="n">
        <v>318</v>
      </c>
      <c r="L11" t="n">
        <v>318</v>
      </c>
      <c r="M11" t="n">
        <v>318</v>
      </c>
      <c r="N11" t="n">
        <v>318</v>
      </c>
      <c r="O11" t="n">
        <v>318</v>
      </c>
      <c r="P11" t="n">
        <v>300</v>
      </c>
      <c r="Q11" t="n">
        <v>310</v>
      </c>
      <c r="R11" t="n">
        <v>400</v>
      </c>
      <c r="S11" t="n">
        <v>400</v>
      </c>
      <c r="T11" t="n">
        <v>490</v>
      </c>
      <c r="U11" t="n">
        <v>490</v>
      </c>
      <c r="V11" t="n">
        <v>490</v>
      </c>
      <c r="W11" t="n">
        <v>490</v>
      </c>
      <c r="X11" t="n">
        <v>490</v>
      </c>
      <c r="Y11" t="n">
        <v>490</v>
      </c>
      <c r="Z11" t="n">
        <v>490</v>
      </c>
      <c r="AA11" t="n">
        <v>490</v>
      </c>
      <c r="AB11" t="n">
        <v>490</v>
      </c>
      <c r="AC11" t="n">
        <v>490</v>
      </c>
      <c r="AD11" t="n">
        <v>490</v>
      </c>
      <c r="AE11" t="n">
        <v>490</v>
      </c>
      <c r="AF11" t="n">
        <v>490</v>
      </c>
      <c r="AG11" t="n">
        <v>490</v>
      </c>
      <c r="AH11" t="n">
        <v>490</v>
      </c>
      <c r="AI11" t="n">
        <v>490</v>
      </c>
      <c r="AJ11" t="n">
        <v>490</v>
      </c>
      <c r="AK11" t="n">
        <v>490</v>
      </c>
      <c r="AL11" t="n">
        <v>490</v>
      </c>
      <c r="AM11" t="n">
        <v>490</v>
      </c>
      <c r="AN11" t="n">
        <v>490</v>
      </c>
      <c r="AO11" t="n">
        <v>490</v>
      </c>
      <c r="AP11" t="n">
        <v>490</v>
      </c>
      <c r="AQ11" t="n">
        <v>490</v>
      </c>
      <c r="AR11" t="n">
        <v>490</v>
      </c>
      <c r="AS11" t="n">
        <v>400</v>
      </c>
      <c r="AT11" t="n">
        <v>310</v>
      </c>
      <c r="AU11" t="n">
        <v>310</v>
      </c>
      <c r="AV11" t="n">
        <v>310</v>
      </c>
      <c r="AW11" t="n">
        <v>310</v>
      </c>
      <c r="AX11" t="n">
        <v>310</v>
      </c>
    </row>
    <row r="12">
      <c r="A12" t="inlineStr">
        <is>
          <t>PLTU SRLYA #6</t>
        </is>
      </c>
      <c r="B12" t="n">
        <v>575.2</v>
      </c>
      <c r="C12" t="n">
        <v>357.4</v>
      </c>
      <c r="D12" t="n">
        <v>357.4</v>
      </c>
      <c r="E12" t="n">
        <v>357.4</v>
      </c>
      <c r="F12" t="n">
        <v>357.4</v>
      </c>
      <c r="G12" t="n">
        <v>357.4</v>
      </c>
      <c r="H12" t="n">
        <v>357.4</v>
      </c>
      <c r="I12" t="n">
        <v>357.4</v>
      </c>
      <c r="J12" t="n">
        <v>357.4</v>
      </c>
      <c r="K12" t="n">
        <v>357.4</v>
      </c>
      <c r="L12" t="n">
        <v>357.4</v>
      </c>
      <c r="M12" t="n">
        <v>357.4</v>
      </c>
      <c r="N12" t="n">
        <v>357.4</v>
      </c>
      <c r="O12" t="n">
        <v>357.4</v>
      </c>
      <c r="P12" t="n">
        <v>490</v>
      </c>
      <c r="Q12" t="n">
        <v>490</v>
      </c>
      <c r="R12" t="n">
        <v>340</v>
      </c>
      <c r="S12" t="n">
        <v>340</v>
      </c>
      <c r="T12" t="n">
        <v>490</v>
      </c>
      <c r="U12" t="n">
        <v>490</v>
      </c>
      <c r="V12" t="n">
        <v>490</v>
      </c>
      <c r="W12" t="n">
        <v>490</v>
      </c>
      <c r="X12" t="n">
        <v>490</v>
      </c>
      <c r="Y12" t="n">
        <v>490</v>
      </c>
      <c r="Z12" t="n">
        <v>490</v>
      </c>
      <c r="AA12" t="n">
        <v>490</v>
      </c>
      <c r="AB12" t="n">
        <v>490</v>
      </c>
      <c r="AC12" t="n">
        <v>490</v>
      </c>
      <c r="AD12" t="n">
        <v>490</v>
      </c>
      <c r="AE12" t="n">
        <v>490</v>
      </c>
      <c r="AF12" t="n">
        <v>490</v>
      </c>
      <c r="AG12" t="n">
        <v>490</v>
      </c>
      <c r="AH12" t="n">
        <v>490</v>
      </c>
      <c r="AI12" t="n">
        <v>490</v>
      </c>
      <c r="AJ12" t="n">
        <v>490</v>
      </c>
      <c r="AK12" t="n">
        <v>490</v>
      </c>
      <c r="AL12" t="n">
        <v>490</v>
      </c>
      <c r="AM12" t="n">
        <v>490</v>
      </c>
      <c r="AN12" t="n">
        <v>490</v>
      </c>
      <c r="AO12" t="n">
        <v>490</v>
      </c>
      <c r="AP12" t="n">
        <v>490</v>
      </c>
      <c r="AQ12" t="n">
        <v>490</v>
      </c>
      <c r="AR12" t="n">
        <v>490</v>
      </c>
      <c r="AS12" t="n">
        <v>340</v>
      </c>
      <c r="AT12" t="n">
        <v>300.4</v>
      </c>
      <c r="AU12" t="n">
        <v>300.4</v>
      </c>
      <c r="AV12" t="n">
        <v>300.4</v>
      </c>
      <c r="AW12" t="n">
        <v>300.4</v>
      </c>
      <c r="AX12" t="n">
        <v>300.4</v>
      </c>
    </row>
    <row r="13">
      <c r="A13" t="inlineStr">
        <is>
          <t>PLTU SRLYA #7</t>
        </is>
      </c>
      <c r="B13" t="n">
        <v>575.2</v>
      </c>
      <c r="C13" t="n">
        <v>390</v>
      </c>
      <c r="D13" t="n">
        <v>390</v>
      </c>
      <c r="E13" t="n">
        <v>390</v>
      </c>
      <c r="F13" t="n">
        <v>390</v>
      </c>
      <c r="G13" t="n">
        <v>390</v>
      </c>
      <c r="H13" t="n">
        <v>392</v>
      </c>
      <c r="I13" t="n">
        <v>392</v>
      </c>
      <c r="J13" t="n">
        <v>392</v>
      </c>
      <c r="K13" t="n">
        <v>392</v>
      </c>
      <c r="L13" t="n">
        <v>392</v>
      </c>
      <c r="M13" t="n">
        <v>392</v>
      </c>
      <c r="N13" t="n">
        <v>392</v>
      </c>
      <c r="O13" t="n">
        <v>392</v>
      </c>
      <c r="P13" t="n">
        <v>482</v>
      </c>
      <c r="Q13" t="n">
        <v>490</v>
      </c>
      <c r="R13" t="n">
        <v>400</v>
      </c>
      <c r="S13" t="n">
        <v>400</v>
      </c>
      <c r="T13" t="n">
        <v>490</v>
      </c>
      <c r="U13" t="n">
        <v>490</v>
      </c>
      <c r="V13" t="n">
        <v>490</v>
      </c>
      <c r="W13" t="n">
        <v>490</v>
      </c>
      <c r="X13" t="n">
        <v>490</v>
      </c>
      <c r="Y13" t="n">
        <v>490</v>
      </c>
      <c r="Z13" t="n">
        <v>490</v>
      </c>
      <c r="AA13" t="n">
        <v>490</v>
      </c>
      <c r="AB13" t="n">
        <v>490</v>
      </c>
      <c r="AC13" t="n">
        <v>490</v>
      </c>
      <c r="AD13" t="n">
        <v>490</v>
      </c>
      <c r="AE13" t="n">
        <v>490</v>
      </c>
      <c r="AF13" t="n">
        <v>490</v>
      </c>
      <c r="AG13" t="n">
        <v>490</v>
      </c>
      <c r="AH13" t="n">
        <v>490</v>
      </c>
      <c r="AI13" t="n">
        <v>490</v>
      </c>
      <c r="AJ13" t="n">
        <v>490</v>
      </c>
      <c r="AK13" t="n">
        <v>490</v>
      </c>
      <c r="AL13" t="n">
        <v>490</v>
      </c>
      <c r="AM13" t="n">
        <v>490</v>
      </c>
      <c r="AN13" t="n">
        <v>490</v>
      </c>
      <c r="AO13" t="n">
        <v>490</v>
      </c>
      <c r="AP13" t="n">
        <v>490</v>
      </c>
      <c r="AQ13" t="n">
        <v>490</v>
      </c>
      <c r="AR13" t="n">
        <v>490</v>
      </c>
      <c r="AS13" t="n">
        <v>400</v>
      </c>
      <c r="AT13" t="n">
        <v>310</v>
      </c>
      <c r="AU13" t="n">
        <v>310</v>
      </c>
      <c r="AV13" t="n">
        <v>310</v>
      </c>
      <c r="AW13" t="n">
        <v>310</v>
      </c>
      <c r="AX13" t="n">
        <v>310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PLTGU PRIOK #1</t>
        </is>
      </c>
      <c r="B15" t="inlineStr"/>
      <c r="C15" t="n">
        <v>150.38</v>
      </c>
      <c r="D15" t="n">
        <v>149.21</v>
      </c>
      <c r="E15" t="n">
        <v>149.21</v>
      </c>
      <c r="F15" t="n">
        <v>149.21</v>
      </c>
      <c r="G15" t="n">
        <v>149.21</v>
      </c>
      <c r="H15" t="n">
        <v>149.21</v>
      </c>
      <c r="I15" t="n">
        <v>149.21</v>
      </c>
      <c r="J15" t="n">
        <v>149.21</v>
      </c>
      <c r="K15" t="n">
        <v>149.21</v>
      </c>
      <c r="L15" t="n">
        <v>149.21</v>
      </c>
      <c r="M15" t="n">
        <v>145.43</v>
      </c>
      <c r="N15" t="n">
        <v>178.05</v>
      </c>
      <c r="O15" t="n">
        <v>204.4</v>
      </c>
      <c r="P15" t="n">
        <v>547.5</v>
      </c>
      <c r="Q15" t="n">
        <v>547.5</v>
      </c>
      <c r="R15" t="n">
        <v>547.5</v>
      </c>
      <c r="S15" t="n">
        <v>547.5</v>
      </c>
      <c r="T15" t="n">
        <v>354.78</v>
      </c>
      <c r="U15" t="n">
        <v>354.78</v>
      </c>
      <c r="V15" t="n">
        <v>354.78</v>
      </c>
      <c r="W15" t="n">
        <v>354.78</v>
      </c>
      <c r="X15" t="n">
        <v>354.78</v>
      </c>
      <c r="Y15" t="n">
        <v>354.78</v>
      </c>
      <c r="Z15" t="n">
        <v>354.78</v>
      </c>
      <c r="AA15" t="n">
        <v>354.78</v>
      </c>
      <c r="AB15" t="n">
        <v>374.4</v>
      </c>
      <c r="AC15" t="n">
        <v>381.06</v>
      </c>
      <c r="AD15" t="n">
        <v>381.06</v>
      </c>
      <c r="AE15" t="n">
        <v>381.06</v>
      </c>
      <c r="AF15" t="n">
        <v>381.06</v>
      </c>
      <c r="AG15" t="n">
        <v>381.06</v>
      </c>
      <c r="AH15" t="n">
        <v>354.78</v>
      </c>
      <c r="AI15" t="n">
        <v>354.78</v>
      </c>
      <c r="AJ15" t="n">
        <v>354.78</v>
      </c>
      <c r="AK15" t="n">
        <v>354.78</v>
      </c>
      <c r="AL15" t="n">
        <v>441.02</v>
      </c>
      <c r="AM15" t="n">
        <v>386.9</v>
      </c>
      <c r="AN15" t="n">
        <v>354.78</v>
      </c>
      <c r="AO15" t="n">
        <v>354.78</v>
      </c>
      <c r="AP15" t="n">
        <v>354.78</v>
      </c>
      <c r="AQ15" t="n">
        <v>354.78</v>
      </c>
      <c r="AR15" t="n">
        <v>354.78</v>
      </c>
      <c r="AS15" t="n">
        <v>354.78</v>
      </c>
      <c r="AT15" t="n">
        <v>354.78</v>
      </c>
      <c r="AU15" t="n">
        <v>252.58</v>
      </c>
      <c r="AV15" t="n">
        <v>252.58</v>
      </c>
      <c r="AW15" t="n">
        <v>252.52</v>
      </c>
      <c r="AX15" t="n">
        <v>204.4</v>
      </c>
    </row>
    <row r="16">
      <c r="A16" t="inlineStr">
        <is>
          <t>PLTGU PRIOK #2</t>
        </is>
      </c>
      <c r="B16" t="inlineStr"/>
      <c r="C16" t="n">
        <v>122.2</v>
      </c>
      <c r="D16" t="n">
        <v>111.09</v>
      </c>
      <c r="E16" t="n">
        <v>111.09</v>
      </c>
      <c r="F16" t="n">
        <v>111.09</v>
      </c>
      <c r="G16" t="n">
        <v>111.09</v>
      </c>
      <c r="H16" t="n">
        <v>111.09</v>
      </c>
      <c r="I16" t="n">
        <v>111.09</v>
      </c>
      <c r="J16" t="n">
        <v>111.09</v>
      </c>
      <c r="K16" t="n">
        <v>111.09</v>
      </c>
      <c r="L16" t="n">
        <v>111.09</v>
      </c>
      <c r="M16" t="n">
        <v>111.09</v>
      </c>
      <c r="N16" t="n">
        <v>111.09</v>
      </c>
      <c r="O16" t="n">
        <v>126.72</v>
      </c>
      <c r="P16" t="n">
        <v>157.97</v>
      </c>
      <c r="Q16" t="n">
        <v>204.4</v>
      </c>
      <c r="R16" t="n">
        <v>204.4</v>
      </c>
      <c r="S16" t="n">
        <v>204.4</v>
      </c>
      <c r="T16" t="n">
        <v>252.58</v>
      </c>
      <c r="U16" t="n">
        <v>252.58</v>
      </c>
      <c r="V16" t="n">
        <v>252.58</v>
      </c>
      <c r="W16" t="n">
        <v>252.58</v>
      </c>
      <c r="X16" t="n">
        <v>252.58</v>
      </c>
      <c r="Y16" t="n">
        <v>252.58</v>
      </c>
      <c r="Z16" t="n">
        <v>252.58</v>
      </c>
      <c r="AA16" t="n">
        <v>252.58</v>
      </c>
      <c r="AB16" t="n">
        <v>252.58</v>
      </c>
      <c r="AC16" t="n">
        <v>278.86</v>
      </c>
      <c r="AD16" t="n">
        <v>278.86</v>
      </c>
      <c r="AE16" t="n">
        <v>278.86</v>
      </c>
      <c r="AF16" t="n">
        <v>278.86</v>
      </c>
      <c r="AG16" t="n">
        <v>278.86</v>
      </c>
      <c r="AH16" t="n">
        <v>252.58</v>
      </c>
      <c r="AI16" t="n">
        <v>252.58</v>
      </c>
      <c r="AJ16" t="n">
        <v>252.58</v>
      </c>
      <c r="AK16" t="n">
        <v>252.58</v>
      </c>
      <c r="AL16" t="n">
        <v>287.15</v>
      </c>
      <c r="AM16" t="n">
        <v>284.7</v>
      </c>
      <c r="AN16" t="n">
        <v>252.58</v>
      </c>
      <c r="AO16" t="n">
        <v>252.58</v>
      </c>
      <c r="AP16" t="n">
        <v>252.58</v>
      </c>
      <c r="AQ16" t="n">
        <v>252.58</v>
      </c>
      <c r="AR16" t="n">
        <v>252.58</v>
      </c>
      <c r="AS16" t="n">
        <v>252.58</v>
      </c>
      <c r="AT16" t="n">
        <v>252.58</v>
      </c>
      <c r="AU16" t="n">
        <v>252.58</v>
      </c>
      <c r="AV16" t="n">
        <v>230.62</v>
      </c>
      <c r="AW16" t="n">
        <v>248.29</v>
      </c>
      <c r="AX16" t="n">
        <v>247.31</v>
      </c>
    </row>
    <row r="17">
      <c r="A17" t="inlineStr">
        <is>
          <t>PLTGU PRIOK #3</t>
        </is>
      </c>
      <c r="B17" t="inlineStr"/>
      <c r="C17" t="n">
        <v>539.23</v>
      </c>
      <c r="D17" t="n">
        <v>539.23</v>
      </c>
      <c r="E17" t="n">
        <v>539.23</v>
      </c>
      <c r="F17" t="n">
        <v>539.23</v>
      </c>
      <c r="G17" t="n">
        <v>539.23</v>
      </c>
      <c r="H17" t="n">
        <v>539.23</v>
      </c>
      <c r="I17" t="n">
        <v>539.23</v>
      </c>
      <c r="J17" t="n">
        <v>539.23</v>
      </c>
      <c r="K17" t="n">
        <v>528.47</v>
      </c>
      <c r="L17" t="n">
        <v>539.23</v>
      </c>
      <c r="M17" t="n">
        <v>539.23</v>
      </c>
      <c r="N17" t="n">
        <v>522.87</v>
      </c>
      <c r="O17" t="n">
        <v>526.17</v>
      </c>
      <c r="P17" t="n">
        <v>444.26</v>
      </c>
      <c r="Q17" t="n">
        <v>539.23</v>
      </c>
      <c r="R17" t="n">
        <v>539.23</v>
      </c>
      <c r="S17" t="n">
        <v>539.23</v>
      </c>
      <c r="T17" t="n">
        <v>692.52</v>
      </c>
      <c r="U17" t="n">
        <v>719.1</v>
      </c>
      <c r="V17" t="n">
        <v>665.66</v>
      </c>
      <c r="W17" t="n">
        <v>695.95</v>
      </c>
      <c r="X17" t="n">
        <v>715.63</v>
      </c>
      <c r="Y17" t="n">
        <v>703.91</v>
      </c>
      <c r="Z17" t="n">
        <v>692.52</v>
      </c>
      <c r="AA17" t="n">
        <v>674.52</v>
      </c>
      <c r="AB17" t="n">
        <v>710.9</v>
      </c>
      <c r="AC17" t="n">
        <v>720</v>
      </c>
      <c r="AD17" t="n">
        <v>720</v>
      </c>
      <c r="AE17" t="n">
        <v>720</v>
      </c>
      <c r="AF17" t="n">
        <v>720</v>
      </c>
      <c r="AG17" t="n">
        <v>720</v>
      </c>
      <c r="AH17" t="n">
        <v>716.6799999999999</v>
      </c>
      <c r="AI17" t="n">
        <v>683.55</v>
      </c>
      <c r="AJ17" t="n">
        <v>650.98</v>
      </c>
      <c r="AK17" t="n">
        <v>615.1900000000001</v>
      </c>
      <c r="AL17" t="n">
        <v>720</v>
      </c>
      <c r="AM17" t="n">
        <v>720</v>
      </c>
      <c r="AN17" t="n">
        <v>626.55</v>
      </c>
      <c r="AO17" t="n">
        <v>626.55</v>
      </c>
      <c r="AP17" t="n">
        <v>626.55</v>
      </c>
      <c r="AQ17" t="n">
        <v>626.55</v>
      </c>
      <c r="AR17" t="n">
        <v>611.8</v>
      </c>
      <c r="AS17" t="n">
        <v>713.87</v>
      </c>
      <c r="AT17" t="n">
        <v>573.2</v>
      </c>
      <c r="AU17" t="n">
        <v>629.8</v>
      </c>
      <c r="AV17" t="n">
        <v>539.23</v>
      </c>
      <c r="AW17" t="n">
        <v>539.23</v>
      </c>
      <c r="AX17" t="n">
        <v>539.23</v>
      </c>
    </row>
    <row r="18">
      <c r="A18" t="inlineStr">
        <is>
          <t>PLTGU PRIOK #4</t>
        </is>
      </c>
      <c r="B18" t="inlineStr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53.74</v>
      </c>
      <c r="V18" t="n">
        <v>150</v>
      </c>
      <c r="W18" t="n">
        <v>150</v>
      </c>
      <c r="X18" t="n">
        <v>150</v>
      </c>
      <c r="Y18" t="n">
        <v>150</v>
      </c>
      <c r="Z18" t="n">
        <v>150</v>
      </c>
      <c r="AA18" t="n">
        <v>150</v>
      </c>
      <c r="AB18" t="n">
        <v>150</v>
      </c>
      <c r="AC18" t="n">
        <v>163.78</v>
      </c>
      <c r="AD18" t="n">
        <v>171.1</v>
      </c>
      <c r="AE18" t="n">
        <v>177.99</v>
      </c>
      <c r="AF18" t="n">
        <v>178.82</v>
      </c>
      <c r="AG18" t="n">
        <v>167.59</v>
      </c>
      <c r="AH18" t="n">
        <v>150</v>
      </c>
      <c r="AI18" t="n">
        <v>150</v>
      </c>
      <c r="AJ18" t="n">
        <v>150</v>
      </c>
      <c r="AK18" t="n">
        <v>150</v>
      </c>
      <c r="AL18" t="n">
        <v>283.25</v>
      </c>
      <c r="AM18" t="n">
        <v>221</v>
      </c>
      <c r="AN18" t="n">
        <v>150</v>
      </c>
      <c r="AO18" t="n">
        <v>150</v>
      </c>
      <c r="AP18" t="n">
        <v>150</v>
      </c>
      <c r="AQ18" t="n">
        <v>75</v>
      </c>
      <c r="AR18" t="n">
        <v>25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PLTP SALAK #1</t>
        </is>
      </c>
      <c r="B20" t="n">
        <v>56.5</v>
      </c>
      <c r="C20" t="n">
        <v>56.5</v>
      </c>
      <c r="D20" t="n">
        <v>56.5</v>
      </c>
      <c r="E20" t="n">
        <v>56.5</v>
      </c>
      <c r="F20" t="n">
        <v>56.5</v>
      </c>
      <c r="G20" t="n">
        <v>56.5</v>
      </c>
      <c r="H20" t="n">
        <v>56.5</v>
      </c>
      <c r="I20" t="n">
        <v>56.5</v>
      </c>
      <c r="J20" t="n">
        <v>56.5</v>
      </c>
      <c r="K20" t="n">
        <v>56.5</v>
      </c>
      <c r="L20" t="n">
        <v>56.5</v>
      </c>
      <c r="M20" t="n">
        <v>56.5</v>
      </c>
      <c r="N20" t="n">
        <v>56.5</v>
      </c>
      <c r="O20" t="n">
        <v>56.5</v>
      </c>
      <c r="P20" t="n">
        <v>56.5</v>
      </c>
      <c r="Q20" t="n">
        <v>46.5</v>
      </c>
      <c r="R20" t="n">
        <v>46.5</v>
      </c>
      <c r="S20" t="n">
        <v>56.5</v>
      </c>
      <c r="T20" t="n">
        <v>56.5</v>
      </c>
      <c r="U20" t="n">
        <v>56.5</v>
      </c>
      <c r="V20" t="n">
        <v>56.5</v>
      </c>
      <c r="W20" t="n">
        <v>56.5</v>
      </c>
      <c r="X20" t="n">
        <v>56.5</v>
      </c>
      <c r="Y20" t="n">
        <v>56.5</v>
      </c>
      <c r="Z20" t="n">
        <v>56.5</v>
      </c>
      <c r="AA20" t="n">
        <v>56.5</v>
      </c>
      <c r="AB20" t="n">
        <v>56.5</v>
      </c>
      <c r="AC20" t="n">
        <v>56.5</v>
      </c>
      <c r="AD20" t="n">
        <v>56.5</v>
      </c>
      <c r="AE20" t="n">
        <v>56.5</v>
      </c>
      <c r="AF20" t="n">
        <v>56.5</v>
      </c>
      <c r="AG20" t="n">
        <v>56.5</v>
      </c>
      <c r="AH20" t="n">
        <v>56.5</v>
      </c>
      <c r="AI20" t="n">
        <v>56.5</v>
      </c>
      <c r="AJ20" t="n">
        <v>56.5</v>
      </c>
      <c r="AK20" t="n">
        <v>56.5</v>
      </c>
      <c r="AL20" t="n">
        <v>56.5</v>
      </c>
      <c r="AM20" t="n">
        <v>56.5</v>
      </c>
      <c r="AN20" t="n">
        <v>56.5</v>
      </c>
      <c r="AO20" t="n">
        <v>56.5</v>
      </c>
      <c r="AP20" t="n">
        <v>56.5</v>
      </c>
      <c r="AQ20" t="n">
        <v>56.5</v>
      </c>
      <c r="AR20" t="n">
        <v>56.5</v>
      </c>
      <c r="AS20" t="n">
        <v>56.5</v>
      </c>
      <c r="AT20" t="n">
        <v>56.5</v>
      </c>
      <c r="AU20" t="n">
        <v>56.5</v>
      </c>
      <c r="AV20" t="n">
        <v>56.5</v>
      </c>
      <c r="AW20" t="n">
        <v>56.5</v>
      </c>
      <c r="AX20" t="n">
        <v>56.5</v>
      </c>
    </row>
    <row r="21">
      <c r="A21" t="inlineStr">
        <is>
          <t>PLTP SALAK #2</t>
        </is>
      </c>
      <c r="B21" t="n">
        <v>56.5</v>
      </c>
      <c r="C21" t="n">
        <v>56.5</v>
      </c>
      <c r="D21" t="n">
        <v>56.5</v>
      </c>
      <c r="E21" t="n">
        <v>56.5</v>
      </c>
      <c r="F21" t="n">
        <v>56.5</v>
      </c>
      <c r="G21" t="n">
        <v>56.5</v>
      </c>
      <c r="H21" t="n">
        <v>56.5</v>
      </c>
      <c r="I21" t="n">
        <v>56.5</v>
      </c>
      <c r="J21" t="n">
        <v>56.5</v>
      </c>
      <c r="K21" t="n">
        <v>56.5</v>
      </c>
      <c r="L21" t="n">
        <v>56.5</v>
      </c>
      <c r="M21" t="n">
        <v>56.5</v>
      </c>
      <c r="N21" t="n">
        <v>56.5</v>
      </c>
      <c r="O21" t="n">
        <v>56.5</v>
      </c>
      <c r="P21" t="n">
        <v>56.5</v>
      </c>
      <c r="Q21" t="n">
        <v>46.5</v>
      </c>
      <c r="R21" t="n">
        <v>46.5</v>
      </c>
      <c r="S21" t="n">
        <v>56.5</v>
      </c>
      <c r="T21" t="n">
        <v>56.5</v>
      </c>
      <c r="U21" t="n">
        <v>56.5</v>
      </c>
      <c r="V21" t="n">
        <v>56.5</v>
      </c>
      <c r="W21" t="n">
        <v>56.5</v>
      </c>
      <c r="X21" t="n">
        <v>56.5</v>
      </c>
      <c r="Y21" t="n">
        <v>56.5</v>
      </c>
      <c r="Z21" t="n">
        <v>56.5</v>
      </c>
      <c r="AA21" t="n">
        <v>56.5</v>
      </c>
      <c r="AB21" t="n">
        <v>56.5</v>
      </c>
      <c r="AC21" t="n">
        <v>56.5</v>
      </c>
      <c r="AD21" t="n">
        <v>56.5</v>
      </c>
      <c r="AE21" t="n">
        <v>56.5</v>
      </c>
      <c r="AF21" t="n">
        <v>56.5</v>
      </c>
      <c r="AG21" t="n">
        <v>56.5</v>
      </c>
      <c r="AH21" t="n">
        <v>56.5</v>
      </c>
      <c r="AI21" t="n">
        <v>56.5</v>
      </c>
      <c r="AJ21" t="n">
        <v>56.5</v>
      </c>
      <c r="AK21" t="n">
        <v>56.5</v>
      </c>
      <c r="AL21" t="n">
        <v>56.5</v>
      </c>
      <c r="AM21" t="n">
        <v>56.5</v>
      </c>
      <c r="AN21" t="n">
        <v>56.5</v>
      </c>
      <c r="AO21" t="n">
        <v>56.5</v>
      </c>
      <c r="AP21" t="n">
        <v>56.5</v>
      </c>
      <c r="AQ21" t="n">
        <v>56.5</v>
      </c>
      <c r="AR21" t="n">
        <v>56.5</v>
      </c>
      <c r="AS21" t="n">
        <v>56.5</v>
      </c>
      <c r="AT21" t="n">
        <v>56.5</v>
      </c>
      <c r="AU21" t="n">
        <v>56.5</v>
      </c>
      <c r="AV21" t="n">
        <v>56.5</v>
      </c>
      <c r="AW21" t="n">
        <v>56.5</v>
      </c>
      <c r="AX21" t="n">
        <v>56.5</v>
      </c>
    </row>
    <row r="22">
      <c r="A22" t="inlineStr">
        <is>
          <t>PLTP SALAK #3</t>
        </is>
      </c>
      <c r="B22" t="n">
        <v>57</v>
      </c>
      <c r="C22" t="n">
        <v>57</v>
      </c>
      <c r="D22" t="n">
        <v>57</v>
      </c>
      <c r="E22" t="n">
        <v>57</v>
      </c>
      <c r="F22" t="n">
        <v>57</v>
      </c>
      <c r="G22" t="n">
        <v>57</v>
      </c>
      <c r="H22" t="n">
        <v>57</v>
      </c>
      <c r="I22" t="n">
        <v>57</v>
      </c>
      <c r="J22" t="n">
        <v>57</v>
      </c>
      <c r="K22" t="n">
        <v>57</v>
      </c>
      <c r="L22" t="n">
        <v>57</v>
      </c>
      <c r="M22" t="n">
        <v>57</v>
      </c>
      <c r="N22" t="n">
        <v>57</v>
      </c>
      <c r="O22" t="n">
        <v>57</v>
      </c>
      <c r="P22" t="n">
        <v>57</v>
      </c>
      <c r="Q22" t="n">
        <v>47</v>
      </c>
      <c r="R22" t="n">
        <v>47</v>
      </c>
      <c r="S22" t="n">
        <v>57</v>
      </c>
      <c r="T22" t="n">
        <v>57</v>
      </c>
      <c r="U22" t="n">
        <v>57</v>
      </c>
      <c r="V22" t="n">
        <v>57</v>
      </c>
      <c r="W22" t="n">
        <v>57</v>
      </c>
      <c r="X22" t="n">
        <v>57</v>
      </c>
      <c r="Y22" t="n">
        <v>57</v>
      </c>
      <c r="Z22" t="n">
        <v>57</v>
      </c>
      <c r="AA22" t="n">
        <v>57</v>
      </c>
      <c r="AB22" t="n">
        <v>57</v>
      </c>
      <c r="AC22" t="n">
        <v>57</v>
      </c>
      <c r="AD22" t="n">
        <v>57</v>
      </c>
      <c r="AE22" t="n">
        <v>57</v>
      </c>
      <c r="AF22" t="n">
        <v>57</v>
      </c>
      <c r="AG22" t="n">
        <v>57</v>
      </c>
      <c r="AH22" t="n">
        <v>57</v>
      </c>
      <c r="AI22" t="n">
        <v>57</v>
      </c>
      <c r="AJ22" t="n">
        <v>57</v>
      </c>
      <c r="AK22" t="n">
        <v>57</v>
      </c>
      <c r="AL22" t="n">
        <v>57</v>
      </c>
      <c r="AM22" t="n">
        <v>57</v>
      </c>
      <c r="AN22" t="n">
        <v>57</v>
      </c>
      <c r="AO22" t="n">
        <v>57</v>
      </c>
      <c r="AP22" t="n">
        <v>57</v>
      </c>
      <c r="AQ22" t="n">
        <v>57</v>
      </c>
      <c r="AR22" t="n">
        <v>57</v>
      </c>
      <c r="AS22" t="n">
        <v>57</v>
      </c>
      <c r="AT22" t="n">
        <v>57</v>
      </c>
      <c r="AU22" t="n">
        <v>57</v>
      </c>
      <c r="AV22" t="n">
        <v>57</v>
      </c>
      <c r="AW22" t="n">
        <v>57</v>
      </c>
      <c r="AX22" t="n">
        <v>57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PLTD SNYAN #1</t>
        </is>
      </c>
      <c r="B24" t="n">
        <v>17.02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inlineStr">
        <is>
          <t>PLTD SNYAN #2</t>
        </is>
      </c>
      <c r="B25" t="n">
        <v>17.02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inlineStr">
        <is>
          <t>PLTD SNYAN #3</t>
        </is>
      </c>
      <c r="B26" t="n">
        <v>17.02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inlineStr">
        <is>
          <t>PLTD SNYAN #4</t>
        </is>
      </c>
      <c r="B27" t="n">
        <v>17.02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inlineStr">
        <is>
          <t>PLTD SNYAN #5</t>
        </is>
      </c>
      <c r="B28" t="n">
        <v>17.02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inlineStr">
        <is>
          <t>PLTD SNYAN #6</t>
        </is>
      </c>
      <c r="B29" t="n">
        <v>17.02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PLTGU CLGN #1</t>
        </is>
      </c>
      <c r="B31" t="inlineStr"/>
      <c r="C31" t="n">
        <v>140.09</v>
      </c>
      <c r="D31" t="n">
        <v>140.09</v>
      </c>
      <c r="E31" t="n">
        <v>140.09</v>
      </c>
      <c r="F31" t="n">
        <v>140.09</v>
      </c>
      <c r="G31" t="n">
        <v>140.09</v>
      </c>
      <c r="H31" t="n">
        <v>140.09</v>
      </c>
      <c r="I31" t="n">
        <v>140.09</v>
      </c>
      <c r="J31" t="n">
        <v>140.09</v>
      </c>
      <c r="K31" t="n">
        <v>140.09</v>
      </c>
      <c r="L31" t="n">
        <v>140.09</v>
      </c>
      <c r="M31" t="n">
        <v>140.09</v>
      </c>
      <c r="N31" t="n">
        <v>140.09</v>
      </c>
      <c r="O31" t="n">
        <v>140.09</v>
      </c>
      <c r="P31" t="n">
        <v>140.09</v>
      </c>
      <c r="Q31" t="n">
        <v>140.09</v>
      </c>
      <c r="R31" t="n">
        <v>140.09</v>
      </c>
      <c r="S31" t="n">
        <v>140.09</v>
      </c>
      <c r="T31" t="n">
        <v>233.49</v>
      </c>
      <c r="U31" t="n">
        <v>233.49</v>
      </c>
      <c r="V31" t="n">
        <v>233.49</v>
      </c>
      <c r="W31" t="n">
        <v>233.49</v>
      </c>
      <c r="X31" t="n">
        <v>233.49</v>
      </c>
      <c r="Y31" t="n">
        <v>233.49</v>
      </c>
      <c r="Z31" t="n">
        <v>233.49</v>
      </c>
      <c r="AA31" t="n">
        <v>233.49</v>
      </c>
      <c r="AB31" t="n">
        <v>233.49</v>
      </c>
      <c r="AC31" t="n">
        <v>233.49</v>
      </c>
      <c r="AD31" t="n">
        <v>233.49</v>
      </c>
      <c r="AE31" t="n">
        <v>233.49</v>
      </c>
      <c r="AF31" t="n">
        <v>233.49</v>
      </c>
      <c r="AG31" t="n">
        <v>233.49</v>
      </c>
      <c r="AH31" t="n">
        <v>233.49</v>
      </c>
      <c r="AI31" t="n">
        <v>233.49</v>
      </c>
      <c r="AJ31" t="n">
        <v>233.49</v>
      </c>
      <c r="AK31" t="n">
        <v>233.49</v>
      </c>
      <c r="AL31" t="n">
        <v>233.49</v>
      </c>
      <c r="AM31" t="n">
        <v>233.49</v>
      </c>
      <c r="AN31" t="n">
        <v>233.49</v>
      </c>
      <c r="AO31" t="n">
        <v>233.49</v>
      </c>
      <c r="AP31" t="n">
        <v>233.49</v>
      </c>
      <c r="AQ31" t="n">
        <v>233.49</v>
      </c>
      <c r="AR31" t="n">
        <v>140.09</v>
      </c>
      <c r="AS31" t="n">
        <v>140.09</v>
      </c>
      <c r="AT31" t="n">
        <v>140.09</v>
      </c>
      <c r="AU31" t="n">
        <v>140.09</v>
      </c>
      <c r="AV31" t="n">
        <v>140.09</v>
      </c>
      <c r="AW31" t="n">
        <v>140.09</v>
      </c>
      <c r="AX31" t="n">
        <v>140.09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PLTU LABUAN #1</t>
        </is>
      </c>
      <c r="B33" t="n">
        <v>280</v>
      </c>
      <c r="C33" t="n">
        <v>250</v>
      </c>
      <c r="D33" t="n">
        <v>250</v>
      </c>
      <c r="E33" t="n">
        <v>250</v>
      </c>
      <c r="F33" t="n">
        <v>250</v>
      </c>
      <c r="G33" t="n">
        <v>250</v>
      </c>
      <c r="H33" t="n">
        <v>250</v>
      </c>
      <c r="I33" t="n">
        <v>250</v>
      </c>
      <c r="J33" t="n">
        <v>250</v>
      </c>
      <c r="K33" t="n">
        <v>250</v>
      </c>
      <c r="L33" t="n">
        <v>250</v>
      </c>
      <c r="M33" t="n">
        <v>250</v>
      </c>
      <c r="N33" t="n">
        <v>250</v>
      </c>
      <c r="O33" t="n">
        <v>250</v>
      </c>
      <c r="P33" t="n">
        <v>250</v>
      </c>
      <c r="Q33" t="n">
        <v>250</v>
      </c>
      <c r="R33" t="n">
        <v>250</v>
      </c>
      <c r="S33" t="n">
        <v>265</v>
      </c>
      <c r="T33" t="n">
        <v>265</v>
      </c>
      <c r="U33" t="n">
        <v>265</v>
      </c>
      <c r="V33" t="n">
        <v>265</v>
      </c>
      <c r="W33" t="n">
        <v>265</v>
      </c>
      <c r="X33" t="n">
        <v>265</v>
      </c>
      <c r="Y33" t="n">
        <v>265</v>
      </c>
      <c r="Z33" t="n">
        <v>265</v>
      </c>
      <c r="AA33" t="n">
        <v>265</v>
      </c>
      <c r="AB33" t="n">
        <v>265</v>
      </c>
      <c r="AC33" t="n">
        <v>265</v>
      </c>
      <c r="AD33" t="n">
        <v>265</v>
      </c>
      <c r="AE33" t="n">
        <v>265</v>
      </c>
      <c r="AF33" t="n">
        <v>265</v>
      </c>
      <c r="AG33" t="n">
        <v>265</v>
      </c>
      <c r="AH33" t="n">
        <v>265</v>
      </c>
      <c r="AI33" t="n">
        <v>265</v>
      </c>
      <c r="AJ33" t="n">
        <v>265</v>
      </c>
      <c r="AK33" t="n">
        <v>265</v>
      </c>
      <c r="AL33" t="n">
        <v>265</v>
      </c>
      <c r="AM33" t="n">
        <v>265</v>
      </c>
      <c r="AN33" t="n">
        <v>265</v>
      </c>
      <c r="AO33" t="n">
        <v>265</v>
      </c>
      <c r="AP33" t="n">
        <v>265</v>
      </c>
      <c r="AQ33" t="n">
        <v>265</v>
      </c>
      <c r="AR33" t="n">
        <v>265</v>
      </c>
      <c r="AS33" t="n">
        <v>265</v>
      </c>
      <c r="AT33" t="n">
        <v>265</v>
      </c>
      <c r="AU33" t="n">
        <v>250</v>
      </c>
      <c r="AV33" t="n">
        <v>250</v>
      </c>
      <c r="AW33" t="n">
        <v>250</v>
      </c>
      <c r="AX33" t="n">
        <v>250</v>
      </c>
    </row>
    <row r="34">
      <c r="A34" t="inlineStr">
        <is>
          <t>PLTU LABUAN #2</t>
        </is>
      </c>
      <c r="B34" t="n">
        <v>280</v>
      </c>
      <c r="C34" t="n">
        <v>250</v>
      </c>
      <c r="D34" t="n">
        <v>250</v>
      </c>
      <c r="E34" t="n">
        <v>250</v>
      </c>
      <c r="F34" t="n">
        <v>250</v>
      </c>
      <c r="G34" t="n">
        <v>250</v>
      </c>
      <c r="H34" t="n">
        <v>250</v>
      </c>
      <c r="I34" t="n">
        <v>250</v>
      </c>
      <c r="J34" t="n">
        <v>250</v>
      </c>
      <c r="K34" t="n">
        <v>250</v>
      </c>
      <c r="L34" t="n">
        <v>250</v>
      </c>
      <c r="M34" t="n">
        <v>250</v>
      </c>
      <c r="N34" t="n">
        <v>250</v>
      </c>
      <c r="O34" t="n">
        <v>250</v>
      </c>
      <c r="P34" t="n">
        <v>250</v>
      </c>
      <c r="Q34" t="n">
        <v>250</v>
      </c>
      <c r="R34" t="n">
        <v>250</v>
      </c>
      <c r="S34" t="n">
        <v>270</v>
      </c>
      <c r="T34" t="n">
        <v>270</v>
      </c>
      <c r="U34" t="n">
        <v>270</v>
      </c>
      <c r="V34" t="n">
        <v>270</v>
      </c>
      <c r="W34" t="n">
        <v>270</v>
      </c>
      <c r="X34" t="n">
        <v>270</v>
      </c>
      <c r="Y34" t="n">
        <v>270</v>
      </c>
      <c r="Z34" t="n">
        <v>270</v>
      </c>
      <c r="AA34" t="n">
        <v>270</v>
      </c>
      <c r="AB34" t="n">
        <v>270</v>
      </c>
      <c r="AC34" t="n">
        <v>270</v>
      </c>
      <c r="AD34" t="n">
        <v>270</v>
      </c>
      <c r="AE34" t="n">
        <v>270</v>
      </c>
      <c r="AF34" t="n">
        <v>270</v>
      </c>
      <c r="AG34" t="n">
        <v>270</v>
      </c>
      <c r="AH34" t="n">
        <v>270</v>
      </c>
      <c r="AI34" t="n">
        <v>270</v>
      </c>
      <c r="AJ34" t="n">
        <v>270</v>
      </c>
      <c r="AK34" t="n">
        <v>270</v>
      </c>
      <c r="AL34" t="n">
        <v>270</v>
      </c>
      <c r="AM34" t="n">
        <v>270</v>
      </c>
      <c r="AN34" t="n">
        <v>270</v>
      </c>
      <c r="AO34" t="n">
        <v>270</v>
      </c>
      <c r="AP34" t="n">
        <v>270</v>
      </c>
      <c r="AQ34" t="n">
        <v>270</v>
      </c>
      <c r="AR34" t="n">
        <v>270</v>
      </c>
      <c r="AS34" t="n">
        <v>270</v>
      </c>
      <c r="AT34" t="n">
        <v>270</v>
      </c>
      <c r="AU34" t="n">
        <v>250</v>
      </c>
      <c r="AV34" t="n">
        <v>250</v>
      </c>
      <c r="AW34" t="n">
        <v>250</v>
      </c>
      <c r="AX34" t="n">
        <v>250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PLTU SRLYA #8</t>
        </is>
      </c>
      <c r="B36" t="n">
        <v>540</v>
      </c>
      <c r="C36" t="n">
        <v>405</v>
      </c>
      <c r="D36" t="n">
        <v>405</v>
      </c>
      <c r="E36" t="n">
        <v>405</v>
      </c>
      <c r="F36" t="n">
        <v>405</v>
      </c>
      <c r="G36" t="n">
        <v>405</v>
      </c>
      <c r="H36" t="n">
        <v>405</v>
      </c>
      <c r="I36" t="n">
        <v>405</v>
      </c>
      <c r="J36" t="n">
        <v>405</v>
      </c>
      <c r="K36" t="n">
        <v>405</v>
      </c>
      <c r="L36" t="n">
        <v>405</v>
      </c>
      <c r="M36" t="n">
        <v>405</v>
      </c>
      <c r="N36" t="n">
        <v>405</v>
      </c>
      <c r="O36" t="n">
        <v>405</v>
      </c>
      <c r="P36" t="n">
        <v>405</v>
      </c>
      <c r="Q36" t="n">
        <v>405</v>
      </c>
      <c r="R36" t="n">
        <v>405</v>
      </c>
      <c r="S36" t="n">
        <v>405</v>
      </c>
      <c r="T36" t="n">
        <v>405</v>
      </c>
      <c r="U36" t="n">
        <v>405</v>
      </c>
      <c r="V36" t="n">
        <v>405</v>
      </c>
      <c r="W36" t="n">
        <v>405</v>
      </c>
      <c r="X36" t="n">
        <v>405</v>
      </c>
      <c r="Y36" t="n">
        <v>405</v>
      </c>
      <c r="Z36" t="n">
        <v>405</v>
      </c>
      <c r="AA36" t="n">
        <v>405</v>
      </c>
      <c r="AB36" t="n">
        <v>405</v>
      </c>
      <c r="AC36" t="n">
        <v>405</v>
      </c>
      <c r="AD36" t="n">
        <v>405</v>
      </c>
      <c r="AE36" t="n">
        <v>405</v>
      </c>
      <c r="AF36" t="n">
        <v>405</v>
      </c>
      <c r="AG36" t="n">
        <v>405</v>
      </c>
      <c r="AH36" t="n">
        <v>405</v>
      </c>
      <c r="AI36" t="n">
        <v>405</v>
      </c>
      <c r="AJ36" t="n">
        <v>405</v>
      </c>
      <c r="AK36" t="n">
        <v>405</v>
      </c>
      <c r="AL36" t="n">
        <v>405</v>
      </c>
      <c r="AM36" t="n">
        <v>405</v>
      </c>
      <c r="AN36" t="n">
        <v>405</v>
      </c>
      <c r="AO36" t="n">
        <v>405</v>
      </c>
      <c r="AP36" t="n">
        <v>405</v>
      </c>
      <c r="AQ36" t="n">
        <v>405</v>
      </c>
      <c r="AR36" t="n">
        <v>405</v>
      </c>
      <c r="AS36" t="n">
        <v>405</v>
      </c>
      <c r="AT36" t="n">
        <v>405</v>
      </c>
      <c r="AU36" t="n">
        <v>405</v>
      </c>
      <c r="AV36" t="n">
        <v>405</v>
      </c>
      <c r="AW36" t="n">
        <v>405</v>
      </c>
      <c r="AX36" t="n">
        <v>405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PLTU PRATU #1</t>
        </is>
      </c>
      <c r="B38" t="n">
        <v>323</v>
      </c>
      <c r="C38" t="n">
        <v>260</v>
      </c>
      <c r="D38" t="n">
        <v>260</v>
      </c>
      <c r="E38" t="n">
        <v>260</v>
      </c>
      <c r="F38" t="n">
        <v>260</v>
      </c>
      <c r="G38" t="n">
        <v>260</v>
      </c>
      <c r="H38" t="n">
        <v>260</v>
      </c>
      <c r="I38" t="n">
        <v>260</v>
      </c>
      <c r="J38" t="n">
        <v>260</v>
      </c>
      <c r="K38" t="n">
        <v>260</v>
      </c>
      <c r="L38" t="n">
        <v>260</v>
      </c>
      <c r="M38" t="n">
        <v>260</v>
      </c>
      <c r="N38" t="n">
        <v>260</v>
      </c>
      <c r="O38" t="n">
        <v>260</v>
      </c>
      <c r="P38" t="n">
        <v>260</v>
      </c>
      <c r="Q38" t="n">
        <v>260</v>
      </c>
      <c r="R38" t="n">
        <v>260</v>
      </c>
      <c r="S38" t="n">
        <v>260</v>
      </c>
      <c r="T38" t="n">
        <v>265</v>
      </c>
      <c r="U38" t="n">
        <v>265</v>
      </c>
      <c r="V38" t="n">
        <v>265</v>
      </c>
      <c r="W38" t="n">
        <v>265</v>
      </c>
      <c r="X38" t="n">
        <v>265</v>
      </c>
      <c r="Y38" t="n">
        <v>265</v>
      </c>
      <c r="Z38" t="n">
        <v>265</v>
      </c>
      <c r="AA38" t="n">
        <v>265</v>
      </c>
      <c r="AB38" t="n">
        <v>265</v>
      </c>
      <c r="AC38" t="n">
        <v>265</v>
      </c>
      <c r="AD38" t="n">
        <v>265</v>
      </c>
      <c r="AE38" t="n">
        <v>265</v>
      </c>
      <c r="AF38" t="n">
        <v>265</v>
      </c>
      <c r="AG38" t="n">
        <v>265</v>
      </c>
      <c r="AH38" t="n">
        <v>265</v>
      </c>
      <c r="AI38" t="n">
        <v>265</v>
      </c>
      <c r="AJ38" t="n">
        <v>265</v>
      </c>
      <c r="AK38" t="n">
        <v>265</v>
      </c>
      <c r="AL38" t="n">
        <v>265</v>
      </c>
      <c r="AM38" t="n">
        <v>265</v>
      </c>
      <c r="AN38" t="n">
        <v>265</v>
      </c>
      <c r="AO38" t="n">
        <v>265</v>
      </c>
      <c r="AP38" t="n">
        <v>265</v>
      </c>
      <c r="AQ38" t="n">
        <v>265</v>
      </c>
      <c r="AR38" t="n">
        <v>265</v>
      </c>
      <c r="AS38" t="n">
        <v>265</v>
      </c>
      <c r="AT38" t="n">
        <v>265</v>
      </c>
      <c r="AU38" t="n">
        <v>265</v>
      </c>
      <c r="AV38" t="n">
        <v>265</v>
      </c>
      <c r="AW38" t="n">
        <v>265</v>
      </c>
      <c r="AX38" t="n">
        <v>265</v>
      </c>
    </row>
    <row r="39">
      <c r="A39" t="inlineStr">
        <is>
          <t>PLTU PRATU #2</t>
        </is>
      </c>
      <c r="B39" t="n">
        <v>323</v>
      </c>
      <c r="C39" t="n">
        <v>260</v>
      </c>
      <c r="D39" t="n">
        <v>260</v>
      </c>
      <c r="E39" t="n">
        <v>260</v>
      </c>
      <c r="F39" t="n">
        <v>260</v>
      </c>
      <c r="G39" t="n">
        <v>260</v>
      </c>
      <c r="H39" t="n">
        <v>260</v>
      </c>
      <c r="I39" t="n">
        <v>260</v>
      </c>
      <c r="J39" t="n">
        <v>260</v>
      </c>
      <c r="K39" t="n">
        <v>260</v>
      </c>
      <c r="L39" t="n">
        <v>260</v>
      </c>
      <c r="M39" t="n">
        <v>260</v>
      </c>
      <c r="N39" t="n">
        <v>260</v>
      </c>
      <c r="O39" t="n">
        <v>260</v>
      </c>
      <c r="P39" t="n">
        <v>260</v>
      </c>
      <c r="Q39" t="n">
        <v>260</v>
      </c>
      <c r="R39" t="n">
        <v>260</v>
      </c>
      <c r="S39" t="n">
        <v>260</v>
      </c>
      <c r="T39" t="n">
        <v>265</v>
      </c>
      <c r="U39" t="n">
        <v>265</v>
      </c>
      <c r="V39" t="n">
        <v>265</v>
      </c>
      <c r="W39" t="n">
        <v>265</v>
      </c>
      <c r="X39" t="n">
        <v>265</v>
      </c>
      <c r="Y39" t="n">
        <v>265</v>
      </c>
      <c r="Z39" t="n">
        <v>265</v>
      </c>
      <c r="AA39" t="n">
        <v>265</v>
      </c>
      <c r="AB39" t="n">
        <v>265</v>
      </c>
      <c r="AC39" t="n">
        <v>265</v>
      </c>
      <c r="AD39" t="n">
        <v>265</v>
      </c>
      <c r="AE39" t="n">
        <v>265</v>
      </c>
      <c r="AF39" t="n">
        <v>265</v>
      </c>
      <c r="AG39" t="n">
        <v>265</v>
      </c>
      <c r="AH39" t="n">
        <v>265</v>
      </c>
      <c r="AI39" t="n">
        <v>265</v>
      </c>
      <c r="AJ39" t="n">
        <v>265</v>
      </c>
      <c r="AK39" t="n">
        <v>265</v>
      </c>
      <c r="AL39" t="n">
        <v>265</v>
      </c>
      <c r="AM39" t="n">
        <v>265</v>
      </c>
      <c r="AN39" t="n">
        <v>265</v>
      </c>
      <c r="AO39" t="n">
        <v>265</v>
      </c>
      <c r="AP39" t="n">
        <v>265</v>
      </c>
      <c r="AQ39" t="n">
        <v>265</v>
      </c>
      <c r="AR39" t="n">
        <v>265</v>
      </c>
      <c r="AS39" t="n">
        <v>265</v>
      </c>
      <c r="AT39" t="n">
        <v>265</v>
      </c>
      <c r="AU39" t="n">
        <v>265</v>
      </c>
      <c r="AV39" t="n">
        <v>265</v>
      </c>
      <c r="AW39" t="n">
        <v>265</v>
      </c>
      <c r="AX39" t="n">
        <v>265</v>
      </c>
    </row>
    <row r="40">
      <c r="A40" t="inlineStr">
        <is>
          <t>PLTU PRATU #3</t>
        </is>
      </c>
      <c r="B40" t="n">
        <v>323</v>
      </c>
      <c r="C40" t="n">
        <v>260</v>
      </c>
      <c r="D40" t="n">
        <v>260</v>
      </c>
      <c r="E40" t="n">
        <v>260</v>
      </c>
      <c r="F40" t="n">
        <v>260</v>
      </c>
      <c r="G40" t="n">
        <v>260</v>
      </c>
      <c r="H40" t="n">
        <v>260</v>
      </c>
      <c r="I40" t="n">
        <v>260</v>
      </c>
      <c r="J40" t="n">
        <v>260</v>
      </c>
      <c r="K40" t="n">
        <v>260</v>
      </c>
      <c r="L40" t="n">
        <v>260</v>
      </c>
      <c r="M40" t="n">
        <v>260</v>
      </c>
      <c r="N40" t="n">
        <v>260</v>
      </c>
      <c r="O40" t="n">
        <v>260</v>
      </c>
      <c r="P40" t="n">
        <v>260</v>
      </c>
      <c r="Q40" t="n">
        <v>260</v>
      </c>
      <c r="R40" t="n">
        <v>260</v>
      </c>
      <c r="S40" t="n">
        <v>260</v>
      </c>
      <c r="T40" t="n">
        <v>265</v>
      </c>
      <c r="U40" t="n">
        <v>265</v>
      </c>
      <c r="V40" t="n">
        <v>265</v>
      </c>
      <c r="W40" t="n">
        <v>265</v>
      </c>
      <c r="X40" t="n">
        <v>265</v>
      </c>
      <c r="Y40" t="n">
        <v>265</v>
      </c>
      <c r="Z40" t="n">
        <v>265</v>
      </c>
      <c r="AA40" t="n">
        <v>265</v>
      </c>
      <c r="AB40" t="n">
        <v>265</v>
      </c>
      <c r="AC40" t="n">
        <v>265</v>
      </c>
      <c r="AD40" t="n">
        <v>265</v>
      </c>
      <c r="AE40" t="n">
        <v>265</v>
      </c>
      <c r="AF40" t="n">
        <v>265</v>
      </c>
      <c r="AG40" t="n">
        <v>265</v>
      </c>
      <c r="AH40" t="n">
        <v>265</v>
      </c>
      <c r="AI40" t="n">
        <v>265</v>
      </c>
      <c r="AJ40" t="n">
        <v>265</v>
      </c>
      <c r="AK40" t="n">
        <v>265</v>
      </c>
      <c r="AL40" t="n">
        <v>265</v>
      </c>
      <c r="AM40" t="n">
        <v>265</v>
      </c>
      <c r="AN40" t="n">
        <v>265</v>
      </c>
      <c r="AO40" t="n">
        <v>265</v>
      </c>
      <c r="AP40" t="n">
        <v>265</v>
      </c>
      <c r="AQ40" t="n">
        <v>265</v>
      </c>
      <c r="AR40" t="n">
        <v>265</v>
      </c>
      <c r="AS40" t="n">
        <v>265</v>
      </c>
      <c r="AT40" t="n">
        <v>265</v>
      </c>
      <c r="AU40" t="n">
        <v>265</v>
      </c>
      <c r="AV40" t="n">
        <v>265</v>
      </c>
      <c r="AW40" t="n">
        <v>265</v>
      </c>
      <c r="AX40" t="n">
        <v>265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PLTU LONTAR #1</t>
        </is>
      </c>
      <c r="B42" t="n">
        <v>280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inlineStr">
        <is>
          <t>PLTU LONTAR #2</t>
        </is>
      </c>
      <c r="B43" t="n">
        <v>280</v>
      </c>
      <c r="C43" t="n">
        <v>250</v>
      </c>
      <c r="D43" t="n">
        <v>250</v>
      </c>
      <c r="E43" t="n">
        <v>250</v>
      </c>
      <c r="F43" t="n">
        <v>250</v>
      </c>
      <c r="G43" t="n">
        <v>250</v>
      </c>
      <c r="H43" t="n">
        <v>250</v>
      </c>
      <c r="I43" t="n">
        <v>250</v>
      </c>
      <c r="J43" t="n">
        <v>250</v>
      </c>
      <c r="K43" t="n">
        <v>250</v>
      </c>
      <c r="L43" t="n">
        <v>250</v>
      </c>
      <c r="M43" t="n">
        <v>250</v>
      </c>
      <c r="N43" t="n">
        <v>260</v>
      </c>
      <c r="O43" t="n">
        <v>260</v>
      </c>
      <c r="P43" t="n">
        <v>270</v>
      </c>
      <c r="Q43" t="n">
        <v>270</v>
      </c>
      <c r="R43" t="n">
        <v>270</v>
      </c>
      <c r="S43" t="n">
        <v>270</v>
      </c>
      <c r="T43" t="n">
        <v>270</v>
      </c>
      <c r="U43" t="n">
        <v>270</v>
      </c>
      <c r="V43" t="n">
        <v>270</v>
      </c>
      <c r="W43" t="n">
        <v>270</v>
      </c>
      <c r="X43" t="n">
        <v>270</v>
      </c>
      <c r="Y43" t="n">
        <v>270</v>
      </c>
      <c r="Z43" t="n">
        <v>270</v>
      </c>
      <c r="AA43" t="n">
        <v>270</v>
      </c>
      <c r="AB43" t="n">
        <v>270</v>
      </c>
      <c r="AC43" t="n">
        <v>270</v>
      </c>
      <c r="AD43" t="n">
        <v>270</v>
      </c>
      <c r="AE43" t="n">
        <v>270</v>
      </c>
      <c r="AF43" t="n">
        <v>270</v>
      </c>
      <c r="AG43" t="n">
        <v>270</v>
      </c>
      <c r="AH43" t="n">
        <v>270</v>
      </c>
      <c r="AI43" t="n">
        <v>270</v>
      </c>
      <c r="AJ43" t="n">
        <v>270</v>
      </c>
      <c r="AK43" t="n">
        <v>270</v>
      </c>
      <c r="AL43" t="n">
        <v>270</v>
      </c>
      <c r="AM43" t="n">
        <v>270</v>
      </c>
      <c r="AN43" t="n">
        <v>270</v>
      </c>
      <c r="AO43" t="n">
        <v>270</v>
      </c>
      <c r="AP43" t="n">
        <v>270</v>
      </c>
      <c r="AQ43" t="n">
        <v>270</v>
      </c>
      <c r="AR43" t="n">
        <v>275</v>
      </c>
      <c r="AS43" t="n">
        <v>275</v>
      </c>
      <c r="AT43" t="n">
        <v>250</v>
      </c>
      <c r="AU43" t="n">
        <v>250</v>
      </c>
      <c r="AV43" t="n">
        <v>250</v>
      </c>
      <c r="AW43" t="n">
        <v>250</v>
      </c>
      <c r="AX43" t="n">
        <v>250</v>
      </c>
    </row>
    <row r="44">
      <c r="A44" t="inlineStr">
        <is>
          <t>PLTU LONTAR #3</t>
        </is>
      </c>
      <c r="B44" t="n">
        <v>280</v>
      </c>
      <c r="C44" t="n">
        <v>250</v>
      </c>
      <c r="D44" t="n">
        <v>250</v>
      </c>
      <c r="E44" t="n">
        <v>250</v>
      </c>
      <c r="F44" t="n">
        <v>250</v>
      </c>
      <c r="G44" t="n">
        <v>250</v>
      </c>
      <c r="H44" t="n">
        <v>250</v>
      </c>
      <c r="I44" t="n">
        <v>250</v>
      </c>
      <c r="J44" t="n">
        <v>250</v>
      </c>
      <c r="K44" t="n">
        <v>250</v>
      </c>
      <c r="L44" t="n">
        <v>250</v>
      </c>
      <c r="M44" t="n">
        <v>250</v>
      </c>
      <c r="N44" t="n">
        <v>260</v>
      </c>
      <c r="O44" t="n">
        <v>260</v>
      </c>
      <c r="P44" t="n">
        <v>270</v>
      </c>
      <c r="Q44" t="n">
        <v>270</v>
      </c>
      <c r="R44" t="n">
        <v>270</v>
      </c>
      <c r="S44" t="n">
        <v>270</v>
      </c>
      <c r="T44" t="n">
        <v>270</v>
      </c>
      <c r="U44" t="n">
        <v>270</v>
      </c>
      <c r="V44" t="n">
        <v>270</v>
      </c>
      <c r="W44" t="n">
        <v>270</v>
      </c>
      <c r="X44" t="n">
        <v>270</v>
      </c>
      <c r="Y44" t="n">
        <v>270</v>
      </c>
      <c r="Z44" t="n">
        <v>270</v>
      </c>
      <c r="AA44" t="n">
        <v>270</v>
      </c>
      <c r="AB44" t="n">
        <v>270</v>
      </c>
      <c r="AC44" t="n">
        <v>270</v>
      </c>
      <c r="AD44" t="n">
        <v>270</v>
      </c>
      <c r="AE44" t="n">
        <v>270</v>
      </c>
      <c r="AF44" t="n">
        <v>270</v>
      </c>
      <c r="AG44" t="n">
        <v>270</v>
      </c>
      <c r="AH44" t="n">
        <v>270</v>
      </c>
      <c r="AI44" t="n">
        <v>270</v>
      </c>
      <c r="AJ44" t="n">
        <v>270</v>
      </c>
      <c r="AK44" t="n">
        <v>270</v>
      </c>
      <c r="AL44" t="n">
        <v>270</v>
      </c>
      <c r="AM44" t="n">
        <v>270</v>
      </c>
      <c r="AN44" t="n">
        <v>270</v>
      </c>
      <c r="AO44" t="n">
        <v>270</v>
      </c>
      <c r="AP44" t="n">
        <v>270</v>
      </c>
      <c r="AQ44" t="n">
        <v>270</v>
      </c>
      <c r="AR44" t="n">
        <v>275</v>
      </c>
      <c r="AS44" t="n">
        <v>275</v>
      </c>
      <c r="AT44" t="n">
        <v>250</v>
      </c>
      <c r="AU44" t="n">
        <v>250</v>
      </c>
      <c r="AV44" t="n">
        <v>250</v>
      </c>
      <c r="AW44" t="n">
        <v>250</v>
      </c>
      <c r="AX44" t="n">
        <v>250</v>
      </c>
    </row>
    <row r="45">
      <c r="A45" t="inlineStr">
        <is>
          <t>PLTU LONTAR #4</t>
        </is>
      </c>
      <c r="B45" t="n">
        <v>293</v>
      </c>
      <c r="C45" t="n">
        <v>200</v>
      </c>
      <c r="D45" t="n">
        <v>200</v>
      </c>
      <c r="E45" t="n">
        <v>200</v>
      </c>
      <c r="F45" t="n">
        <v>200</v>
      </c>
      <c r="G45" t="n">
        <v>200</v>
      </c>
      <c r="H45" t="n">
        <v>200</v>
      </c>
      <c r="I45" t="n">
        <v>200</v>
      </c>
      <c r="J45" t="n">
        <v>200</v>
      </c>
      <c r="K45" t="n">
        <v>200</v>
      </c>
      <c r="L45" t="n">
        <v>200</v>
      </c>
      <c r="M45" t="n">
        <v>200</v>
      </c>
      <c r="N45" t="n">
        <v>200</v>
      </c>
      <c r="O45" t="n">
        <v>200</v>
      </c>
      <c r="P45" t="n">
        <v>200</v>
      </c>
      <c r="Q45" t="n">
        <v>200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  <c r="Z45" t="n">
        <v>220</v>
      </c>
      <c r="AA45" t="n">
        <v>220</v>
      </c>
      <c r="AB45" t="n">
        <v>220</v>
      </c>
      <c r="AC45" t="n">
        <v>220</v>
      </c>
      <c r="AD45" t="n">
        <v>220</v>
      </c>
      <c r="AE45" t="n">
        <v>220</v>
      </c>
      <c r="AF45" t="n">
        <v>220</v>
      </c>
      <c r="AG45" t="n">
        <v>220</v>
      </c>
      <c r="AH45" t="n">
        <v>220</v>
      </c>
      <c r="AI45" t="n">
        <v>220</v>
      </c>
      <c r="AJ45" t="n">
        <v>220</v>
      </c>
      <c r="AK45" t="n">
        <v>220</v>
      </c>
      <c r="AL45" t="n">
        <v>220</v>
      </c>
      <c r="AM45" t="n">
        <v>220</v>
      </c>
      <c r="AN45" t="n">
        <v>220</v>
      </c>
      <c r="AO45" t="n">
        <v>220</v>
      </c>
      <c r="AP45" t="n">
        <v>220</v>
      </c>
      <c r="AQ45" t="n">
        <v>220</v>
      </c>
      <c r="AR45" t="n">
        <v>200</v>
      </c>
      <c r="AS45" t="n">
        <v>200</v>
      </c>
      <c r="AT45" t="n">
        <v>200</v>
      </c>
      <c r="AU45" t="n">
        <v>200</v>
      </c>
      <c r="AV45" t="n">
        <v>200</v>
      </c>
      <c r="AW45" t="n">
        <v>200</v>
      </c>
      <c r="AX45" t="n">
        <v>200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PLTU SRLYA #3</t>
        </is>
      </c>
      <c r="B47" t="n">
        <v>371.5</v>
      </c>
      <c r="C47" t="n">
        <v>180</v>
      </c>
      <c r="D47" t="n">
        <v>180</v>
      </c>
      <c r="E47" t="n">
        <v>180</v>
      </c>
      <c r="F47" t="n">
        <v>180</v>
      </c>
      <c r="G47" t="n">
        <v>180</v>
      </c>
      <c r="H47" t="n">
        <v>180</v>
      </c>
      <c r="I47" t="n">
        <v>180</v>
      </c>
      <c r="J47" t="n">
        <v>180</v>
      </c>
      <c r="K47" t="n">
        <v>180</v>
      </c>
      <c r="L47" t="n">
        <v>180</v>
      </c>
      <c r="M47" t="n">
        <v>180</v>
      </c>
      <c r="N47" t="n">
        <v>180</v>
      </c>
      <c r="O47" t="n">
        <v>180</v>
      </c>
      <c r="P47" t="n">
        <v>180</v>
      </c>
      <c r="Q47" t="n">
        <v>180</v>
      </c>
      <c r="R47" t="n">
        <v>180</v>
      </c>
      <c r="S47" t="n">
        <v>180</v>
      </c>
      <c r="T47" t="n">
        <v>180</v>
      </c>
      <c r="U47" t="n">
        <v>180</v>
      </c>
      <c r="V47" t="n">
        <v>180</v>
      </c>
      <c r="W47" t="n">
        <v>180</v>
      </c>
      <c r="X47" t="n">
        <v>180</v>
      </c>
      <c r="Y47" t="n">
        <v>180</v>
      </c>
      <c r="Z47" t="n">
        <v>180</v>
      </c>
      <c r="AA47" t="n">
        <v>180</v>
      </c>
      <c r="AB47" t="n">
        <v>180</v>
      </c>
      <c r="AC47" t="n">
        <v>180</v>
      </c>
      <c r="AD47" t="n">
        <v>180</v>
      </c>
      <c r="AE47" t="n">
        <v>180</v>
      </c>
      <c r="AF47" t="n">
        <v>180</v>
      </c>
      <c r="AG47" t="n">
        <v>180</v>
      </c>
      <c r="AH47" t="n">
        <v>180</v>
      </c>
      <c r="AI47" t="n">
        <v>180</v>
      </c>
      <c r="AJ47" t="n">
        <v>180</v>
      </c>
      <c r="AK47" t="n">
        <v>180</v>
      </c>
      <c r="AL47" t="n">
        <v>180</v>
      </c>
      <c r="AM47" t="n">
        <v>180</v>
      </c>
      <c r="AN47" t="n">
        <v>180</v>
      </c>
      <c r="AO47" t="n">
        <v>180</v>
      </c>
      <c r="AP47" t="n">
        <v>180</v>
      </c>
      <c r="AQ47" t="n">
        <v>180</v>
      </c>
      <c r="AR47" t="n">
        <v>180</v>
      </c>
      <c r="AS47" t="n">
        <v>180</v>
      </c>
      <c r="AT47" t="n">
        <v>180</v>
      </c>
      <c r="AU47" t="n">
        <v>180</v>
      </c>
      <c r="AV47" t="n">
        <v>180</v>
      </c>
      <c r="AW47" t="n">
        <v>180</v>
      </c>
      <c r="AX47" t="n">
        <v>180</v>
      </c>
    </row>
    <row r="48">
      <c r="A48" t="inlineStr"/>
      <c r="B48" t="inlineStr"/>
      <c r="C48" t="inlineStr">
        <is>
          <t>PT. PEMBANGKITAN JAWA-BALI</t>
        </is>
      </c>
      <c r="D48" t="inlineStr">
        <is>
          <t>PT. PEMBANGKITAN JAWA-BALI</t>
        </is>
      </c>
      <c r="E48" t="inlineStr">
        <is>
          <t>PT. PEMBANGKITAN JAWA-BALI</t>
        </is>
      </c>
      <c r="F48" t="inlineStr">
        <is>
          <t>PT. PEMBANGKITAN JAWA-BALI</t>
        </is>
      </c>
      <c r="G48" t="inlineStr">
        <is>
          <t>PT. PEMBANGKITAN JAWA-BALI</t>
        </is>
      </c>
      <c r="H48" t="inlineStr">
        <is>
          <t>PT. PEMBANGKITAN JAWA-BALI</t>
        </is>
      </c>
      <c r="I48" t="inlineStr">
        <is>
          <t>PT. PEMBANGKITAN JAWA-BALI</t>
        </is>
      </c>
      <c r="J48" t="inlineStr">
        <is>
          <t>PT. PEMBANGKITAN JAWA-BALI</t>
        </is>
      </c>
      <c r="K48" t="inlineStr">
        <is>
          <t>PT. PEMBANGKITAN JAWA-BALI</t>
        </is>
      </c>
      <c r="L48" t="inlineStr">
        <is>
          <t>PT. PEMBANGKITAN JAWA-BALI</t>
        </is>
      </c>
      <c r="M48" t="inlineStr">
        <is>
          <t>PT. PEMBANGKITAN JAWA-BALI</t>
        </is>
      </c>
      <c r="N48" t="inlineStr">
        <is>
          <t>PT. PEMBANGKITAN JAWA-BALI</t>
        </is>
      </c>
      <c r="O48" t="inlineStr">
        <is>
          <t>PT. PEMBANGKITAN JAWA-BALI</t>
        </is>
      </c>
      <c r="P48" t="inlineStr">
        <is>
          <t>PT. PEMBANGKITAN JAWA-BALI</t>
        </is>
      </c>
      <c r="Q48" t="inlineStr">
        <is>
          <t>PT. PEMBANGKITAN JAWA-BALI</t>
        </is>
      </c>
      <c r="R48" t="inlineStr">
        <is>
          <t>PT. PEMBANGKITAN JAWA-BALI</t>
        </is>
      </c>
      <c r="S48" t="inlineStr">
        <is>
          <t>PT. PEMBANGKITAN JAWA-BALI</t>
        </is>
      </c>
      <c r="T48" t="inlineStr">
        <is>
          <t>PT. PEMBANGKITAN JAWA-BALI</t>
        </is>
      </c>
      <c r="U48" t="inlineStr">
        <is>
          <t>PT. PEMBANGKITAN JAWA-BALI</t>
        </is>
      </c>
      <c r="V48" t="inlineStr">
        <is>
          <t>PT. PEMBANGKITAN JAWA-BALI</t>
        </is>
      </c>
      <c r="W48" t="inlineStr">
        <is>
          <t>PT. PEMBANGKITAN JAWA-BALI</t>
        </is>
      </c>
      <c r="X48" t="inlineStr">
        <is>
          <t>PT. PEMBANGKITAN JAWA-BALI</t>
        </is>
      </c>
      <c r="Y48" t="inlineStr">
        <is>
          <t>PT. PEMBANGKITAN JAWA-BALI</t>
        </is>
      </c>
      <c r="Z48" t="inlineStr">
        <is>
          <t>PT. PEMBANGKITAN JAWA-BALI</t>
        </is>
      </c>
      <c r="AA48" t="inlineStr">
        <is>
          <t>PT. PEMBANGKITAN JAWA-BALI</t>
        </is>
      </c>
      <c r="AB48" t="inlineStr">
        <is>
          <t>PT. PEMBANGKITAN JAWA-BALI</t>
        </is>
      </c>
      <c r="AC48" t="inlineStr">
        <is>
          <t>PT. PEMBANGKITAN JAWA-BALI</t>
        </is>
      </c>
      <c r="AD48" t="inlineStr">
        <is>
          <t>PT. PEMBANGKITAN JAWA-BALI</t>
        </is>
      </c>
      <c r="AE48" t="inlineStr">
        <is>
          <t>PT. PEMBANGKITAN JAWA-BALI</t>
        </is>
      </c>
      <c r="AF48" t="inlineStr">
        <is>
          <t>PT. PEMBANGKITAN JAWA-BALI</t>
        </is>
      </c>
      <c r="AG48" t="inlineStr">
        <is>
          <t>PT. PEMBANGKITAN JAWA-BALI</t>
        </is>
      </c>
      <c r="AH48" t="inlineStr">
        <is>
          <t>PT. PEMBANGKITAN JAWA-BALI</t>
        </is>
      </c>
      <c r="AI48" t="inlineStr">
        <is>
          <t>PT. PEMBANGKITAN JAWA-BALI</t>
        </is>
      </c>
      <c r="AJ48" t="inlineStr">
        <is>
          <t>PT. PEMBANGKITAN JAWA-BALI</t>
        </is>
      </c>
      <c r="AK48" t="inlineStr">
        <is>
          <t>PT. PEMBANGKITAN JAWA-BALI</t>
        </is>
      </c>
      <c r="AL48" t="inlineStr">
        <is>
          <t>PT. PEMBANGKITAN JAWA-BALI</t>
        </is>
      </c>
      <c r="AM48" t="inlineStr">
        <is>
          <t>PT. PEMBANGKITAN JAWA-BALI</t>
        </is>
      </c>
      <c r="AN48" t="inlineStr">
        <is>
          <t>PT. PEMBANGKITAN JAWA-BALI</t>
        </is>
      </c>
      <c r="AO48" t="inlineStr">
        <is>
          <t>PT. PEMBANGKITAN JAWA-BALI</t>
        </is>
      </c>
      <c r="AP48" t="inlineStr">
        <is>
          <t>PT. PEMBANGKITAN JAWA-BALI</t>
        </is>
      </c>
      <c r="AQ48" t="inlineStr">
        <is>
          <t>PT. PEMBANGKITAN JAWA-BALI</t>
        </is>
      </c>
      <c r="AR48" t="inlineStr">
        <is>
          <t>PT. PEMBANGKITAN JAWA-BALI</t>
        </is>
      </c>
      <c r="AS48" t="inlineStr">
        <is>
          <t>PT. PEMBANGKITAN JAWA-BALI</t>
        </is>
      </c>
      <c r="AT48" t="inlineStr">
        <is>
          <t>PT. PEMBANGKITAN JAWA-BALI</t>
        </is>
      </c>
      <c r="AU48" t="inlineStr">
        <is>
          <t>PT. PEMBANGKITAN JAWA-BALI</t>
        </is>
      </c>
      <c r="AV48" t="inlineStr">
        <is>
          <t>PT. PEMBANGKITAN JAWA-BALI</t>
        </is>
      </c>
      <c r="AW48" t="inlineStr">
        <is>
          <t>PT. PEMBANGKITAN JAWA-BALI</t>
        </is>
      </c>
      <c r="AX48" t="inlineStr">
        <is>
          <t>PT. PEMBANGKITAN JAWA-BALI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PLTU MKRNG #4</t>
        </is>
      </c>
      <c r="B50" t="n">
        <v>162</v>
      </c>
      <c r="C50" t="n">
        <v>90</v>
      </c>
      <c r="D50" t="n">
        <v>90</v>
      </c>
      <c r="E50" t="n">
        <v>90</v>
      </c>
      <c r="F50" t="n">
        <v>90</v>
      </c>
      <c r="G50" t="n">
        <v>90</v>
      </c>
      <c r="H50" t="n">
        <v>90</v>
      </c>
      <c r="I50" t="n">
        <v>90</v>
      </c>
      <c r="J50" t="n">
        <v>90</v>
      </c>
      <c r="K50" t="n">
        <v>90</v>
      </c>
      <c r="L50" t="n">
        <v>90</v>
      </c>
      <c r="M50" t="n">
        <v>90</v>
      </c>
      <c r="N50" t="n">
        <v>90</v>
      </c>
      <c r="O50" t="n">
        <v>90</v>
      </c>
      <c r="P50" t="n">
        <v>90</v>
      </c>
      <c r="Q50" t="n">
        <v>90</v>
      </c>
      <c r="R50" t="n">
        <v>90</v>
      </c>
      <c r="S50" t="n">
        <v>90</v>
      </c>
      <c r="T50" t="n">
        <v>90</v>
      </c>
      <c r="U50" t="n">
        <v>90</v>
      </c>
      <c r="V50" t="n">
        <v>90</v>
      </c>
      <c r="W50" t="n">
        <v>90</v>
      </c>
      <c r="X50" t="n">
        <v>90</v>
      </c>
      <c r="Y50" t="n">
        <v>90</v>
      </c>
      <c r="Z50" t="n">
        <v>90</v>
      </c>
      <c r="AA50" t="n">
        <v>90</v>
      </c>
      <c r="AB50" t="n">
        <v>90</v>
      </c>
      <c r="AC50" t="n">
        <v>90</v>
      </c>
      <c r="AD50" t="n">
        <v>90</v>
      </c>
      <c r="AE50" t="n">
        <v>90</v>
      </c>
      <c r="AF50" t="n">
        <v>90</v>
      </c>
      <c r="AG50" t="n">
        <v>90</v>
      </c>
      <c r="AH50" t="n">
        <v>90</v>
      </c>
      <c r="AI50" t="n">
        <v>90</v>
      </c>
      <c r="AJ50" t="n">
        <v>90</v>
      </c>
      <c r="AK50" t="n">
        <v>90</v>
      </c>
      <c r="AL50" t="n">
        <v>90</v>
      </c>
      <c r="AM50" t="n">
        <v>90</v>
      </c>
      <c r="AN50" t="n">
        <v>90</v>
      </c>
      <c r="AO50" t="n">
        <v>90</v>
      </c>
      <c r="AP50" t="n">
        <v>90</v>
      </c>
      <c r="AQ50" t="n">
        <v>90</v>
      </c>
      <c r="AR50" t="n">
        <v>90</v>
      </c>
      <c r="AS50" t="n">
        <v>90</v>
      </c>
      <c r="AT50" t="n">
        <v>90</v>
      </c>
      <c r="AU50" t="n">
        <v>90</v>
      </c>
      <c r="AV50" t="n">
        <v>90</v>
      </c>
      <c r="AW50" t="n">
        <v>90</v>
      </c>
      <c r="AX50" t="n">
        <v>90</v>
      </c>
    </row>
    <row r="51">
      <c r="A51" t="inlineStr">
        <is>
          <t>PLTU MKRNG #5</t>
        </is>
      </c>
      <c r="B51" t="n">
        <v>162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PLTGU MKRNG #1</t>
        </is>
      </c>
      <c r="B53" t="inlineStr"/>
      <c r="C53" t="n">
        <v>122.28</v>
      </c>
      <c r="D53" t="n">
        <v>122.28</v>
      </c>
      <c r="E53" t="n">
        <v>122.28</v>
      </c>
      <c r="F53" t="n">
        <v>122.28</v>
      </c>
      <c r="G53" t="n">
        <v>122.28</v>
      </c>
      <c r="H53" t="n">
        <v>122.28</v>
      </c>
      <c r="I53" t="n">
        <v>122.28</v>
      </c>
      <c r="J53" t="n">
        <v>122.28</v>
      </c>
      <c r="K53" t="n">
        <v>122.28</v>
      </c>
      <c r="L53" t="n">
        <v>122.28</v>
      </c>
      <c r="M53" t="n">
        <v>122.28</v>
      </c>
      <c r="N53" t="n">
        <v>122.28</v>
      </c>
      <c r="O53" t="n">
        <v>122.28</v>
      </c>
      <c r="P53" t="n">
        <v>122.28</v>
      </c>
      <c r="Q53" t="n">
        <v>151.25</v>
      </c>
      <c r="R53" t="n">
        <v>187.57</v>
      </c>
      <c r="S53" t="n">
        <v>187.57</v>
      </c>
      <c r="T53" t="n">
        <v>245.04</v>
      </c>
      <c r="U53" t="n">
        <v>281.36</v>
      </c>
      <c r="V53" t="n">
        <v>281.36</v>
      </c>
      <c r="W53" t="n">
        <v>281.36</v>
      </c>
      <c r="X53" t="n">
        <v>281.36</v>
      </c>
      <c r="Y53" t="n">
        <v>281.36</v>
      </c>
      <c r="Z53" t="n">
        <v>281.36</v>
      </c>
      <c r="AA53" t="n">
        <v>281.36</v>
      </c>
      <c r="AB53" t="n">
        <v>281.36</v>
      </c>
      <c r="AC53" t="n">
        <v>281.36</v>
      </c>
      <c r="AD53" t="n">
        <v>281.36</v>
      </c>
      <c r="AE53" t="n">
        <v>281.36</v>
      </c>
      <c r="AF53" t="n">
        <v>281.36</v>
      </c>
      <c r="AG53" t="n">
        <v>281.36</v>
      </c>
      <c r="AH53" t="n">
        <v>281.36</v>
      </c>
      <c r="AI53" t="n">
        <v>281.36</v>
      </c>
      <c r="AJ53" t="n">
        <v>281.36</v>
      </c>
      <c r="AK53" t="n">
        <v>281.36</v>
      </c>
      <c r="AL53" t="n">
        <v>331.86</v>
      </c>
      <c r="AM53" t="n">
        <v>306.52</v>
      </c>
      <c r="AN53" t="n">
        <v>281.36</v>
      </c>
      <c r="AO53" t="n">
        <v>281.36</v>
      </c>
      <c r="AP53" t="n">
        <v>270.72</v>
      </c>
      <c r="AQ53" t="n">
        <v>187.57</v>
      </c>
      <c r="AR53" t="n">
        <v>176.94</v>
      </c>
      <c r="AS53" t="n">
        <v>122.28</v>
      </c>
      <c r="AT53" t="n">
        <v>122.28</v>
      </c>
      <c r="AU53" t="n">
        <v>122.28</v>
      </c>
      <c r="AV53" t="n">
        <v>122.28</v>
      </c>
      <c r="AW53" t="n">
        <v>122.28</v>
      </c>
      <c r="AX53" t="n">
        <v>122.28</v>
      </c>
    </row>
    <row r="54">
      <c r="A54" t="inlineStr">
        <is>
          <t>PLTGU MKRNG #2</t>
        </is>
      </c>
      <c r="B54" t="inlineStr"/>
      <c r="C54" t="n">
        <v>180.85</v>
      </c>
      <c r="D54" t="n">
        <v>180.85</v>
      </c>
      <c r="E54" t="n">
        <v>180.85</v>
      </c>
      <c r="F54" t="n">
        <v>180.85</v>
      </c>
      <c r="G54" t="n">
        <v>210</v>
      </c>
      <c r="H54" t="n">
        <v>210</v>
      </c>
      <c r="I54" t="n">
        <v>210</v>
      </c>
      <c r="J54" t="n">
        <v>210</v>
      </c>
      <c r="K54" t="n">
        <v>210</v>
      </c>
      <c r="L54" t="n">
        <v>210</v>
      </c>
      <c r="M54" t="n">
        <v>210</v>
      </c>
      <c r="N54" t="n">
        <v>210</v>
      </c>
      <c r="O54" t="n">
        <v>180.85</v>
      </c>
      <c r="P54" t="n">
        <v>180.85</v>
      </c>
      <c r="Q54" t="n">
        <v>210</v>
      </c>
      <c r="R54" t="n">
        <v>180.85</v>
      </c>
      <c r="S54" t="n">
        <v>180.85</v>
      </c>
      <c r="T54" t="n">
        <v>180.85</v>
      </c>
      <c r="U54" t="n">
        <v>180.85</v>
      </c>
      <c r="V54" t="n">
        <v>183.18</v>
      </c>
      <c r="W54" t="n">
        <v>202.57</v>
      </c>
      <c r="X54" t="n">
        <v>227.05</v>
      </c>
      <c r="Y54" t="n">
        <v>220.1</v>
      </c>
      <c r="Z54" t="n">
        <v>185.52</v>
      </c>
      <c r="AA54" t="n">
        <v>180.85</v>
      </c>
      <c r="AB54" t="n">
        <v>201.89</v>
      </c>
      <c r="AC54" t="n">
        <v>255.49</v>
      </c>
      <c r="AD54" t="n">
        <v>273.91</v>
      </c>
      <c r="AE54" t="n">
        <v>328.29</v>
      </c>
      <c r="AF54" t="n">
        <v>328.29</v>
      </c>
      <c r="AG54" t="n">
        <v>335.98</v>
      </c>
      <c r="AH54" t="n">
        <v>251.74</v>
      </c>
      <c r="AI54" t="n">
        <v>180.85</v>
      </c>
      <c r="AJ54" t="n">
        <v>180.85</v>
      </c>
      <c r="AK54" t="n">
        <v>251.74</v>
      </c>
      <c r="AL54" t="n">
        <v>340</v>
      </c>
      <c r="AM54" t="n">
        <v>340</v>
      </c>
      <c r="AN54" t="n">
        <v>251.74</v>
      </c>
      <c r="AO54" t="n">
        <v>251.74</v>
      </c>
      <c r="AP54" t="n">
        <v>251.74</v>
      </c>
      <c r="AQ54" t="n">
        <v>251.74</v>
      </c>
      <c r="AR54" t="n">
        <v>251.74</v>
      </c>
      <c r="AS54" t="n">
        <v>251.74</v>
      </c>
      <c r="AT54" t="n">
        <v>251.74</v>
      </c>
      <c r="AU54" t="n">
        <v>251.74</v>
      </c>
      <c r="AV54" t="n">
        <v>234.69</v>
      </c>
      <c r="AW54" t="n">
        <v>211.35</v>
      </c>
      <c r="AX54" t="n">
        <v>250.54</v>
      </c>
    </row>
    <row r="55">
      <c r="A55" t="inlineStr">
        <is>
          <t>PLTGU MKRNG #3 .0</t>
        </is>
      </c>
      <c r="B55" t="n">
        <v>165</v>
      </c>
      <c r="C55" t="n">
        <v>82.5</v>
      </c>
      <c r="D55" t="n">
        <v>82.5</v>
      </c>
      <c r="E55" t="n">
        <v>82.5</v>
      </c>
      <c r="F55" t="n">
        <v>82.5</v>
      </c>
      <c r="G55" t="n">
        <v>82.5</v>
      </c>
      <c r="H55" t="n">
        <v>82.5</v>
      </c>
      <c r="I55" t="n">
        <v>82.5</v>
      </c>
      <c r="J55" t="n">
        <v>82.5</v>
      </c>
      <c r="K55" t="n">
        <v>82.5</v>
      </c>
      <c r="L55" t="n">
        <v>82.5</v>
      </c>
      <c r="M55" t="n">
        <v>82.5</v>
      </c>
      <c r="N55" t="n">
        <v>82.5</v>
      </c>
      <c r="O55" t="n">
        <v>82.5</v>
      </c>
      <c r="P55" t="n">
        <v>82.5</v>
      </c>
      <c r="Q55" t="n">
        <v>90.23999999999999</v>
      </c>
      <c r="R55" t="n">
        <v>121.36</v>
      </c>
      <c r="S55" t="n">
        <v>165</v>
      </c>
      <c r="T55" t="n">
        <v>165</v>
      </c>
      <c r="U55" t="n">
        <v>165</v>
      </c>
      <c r="V55" t="n">
        <v>165</v>
      </c>
      <c r="W55" t="n">
        <v>165</v>
      </c>
      <c r="X55" t="n">
        <v>165</v>
      </c>
      <c r="Y55" t="n">
        <v>165</v>
      </c>
      <c r="Z55" t="n">
        <v>165</v>
      </c>
      <c r="AA55" t="n">
        <v>165</v>
      </c>
      <c r="AB55" t="n">
        <v>165</v>
      </c>
      <c r="AC55" t="n">
        <v>165</v>
      </c>
      <c r="AD55" t="n">
        <v>165</v>
      </c>
      <c r="AE55" t="n">
        <v>165</v>
      </c>
      <c r="AF55" t="n">
        <v>165</v>
      </c>
      <c r="AG55" t="n">
        <v>165</v>
      </c>
      <c r="AH55" t="n">
        <v>165</v>
      </c>
      <c r="AI55" t="n">
        <v>165</v>
      </c>
      <c r="AJ55" t="n">
        <v>165</v>
      </c>
      <c r="AK55" t="n">
        <v>165</v>
      </c>
      <c r="AL55" t="n">
        <v>165</v>
      </c>
      <c r="AM55" t="n">
        <v>165</v>
      </c>
      <c r="AN55" t="n">
        <v>165</v>
      </c>
      <c r="AO55" t="n">
        <v>165</v>
      </c>
      <c r="AP55" t="n">
        <v>165</v>
      </c>
      <c r="AQ55" t="n">
        <v>165</v>
      </c>
      <c r="AR55" t="n">
        <v>165</v>
      </c>
      <c r="AS55" t="n">
        <v>165</v>
      </c>
      <c r="AT55" t="n">
        <v>165</v>
      </c>
      <c r="AU55" t="n">
        <v>165</v>
      </c>
      <c r="AV55" t="n">
        <v>165</v>
      </c>
      <c r="AW55" t="n">
        <v>82.5</v>
      </c>
      <c r="AX55" t="n">
        <v>165</v>
      </c>
    </row>
    <row r="56">
      <c r="A56" t="inlineStr">
        <is>
          <t>PLTGU MKRNG #3 .1</t>
        </is>
      </c>
      <c r="B56" t="n">
        <v>330</v>
      </c>
      <c r="C56" t="n">
        <v>165</v>
      </c>
      <c r="D56" t="n">
        <v>165</v>
      </c>
      <c r="E56" t="n">
        <v>165</v>
      </c>
      <c r="F56" t="n">
        <v>165</v>
      </c>
      <c r="G56" t="n">
        <v>165</v>
      </c>
      <c r="H56" t="n">
        <v>165</v>
      </c>
      <c r="I56" t="n">
        <v>165</v>
      </c>
      <c r="J56" t="n">
        <v>165</v>
      </c>
      <c r="K56" t="n">
        <v>165</v>
      </c>
      <c r="L56" t="n">
        <v>165</v>
      </c>
      <c r="M56" t="n">
        <v>165</v>
      </c>
      <c r="N56" t="n">
        <v>165</v>
      </c>
      <c r="O56" t="n">
        <v>165</v>
      </c>
      <c r="P56" t="n">
        <v>165</v>
      </c>
      <c r="Q56" t="n">
        <v>180.47</v>
      </c>
      <c r="R56" t="n">
        <v>242.72</v>
      </c>
      <c r="S56" t="n">
        <v>330</v>
      </c>
      <c r="T56" t="n">
        <v>330</v>
      </c>
      <c r="U56" t="n">
        <v>330</v>
      </c>
      <c r="V56" t="n">
        <v>330</v>
      </c>
      <c r="W56" t="n">
        <v>330</v>
      </c>
      <c r="X56" t="n">
        <v>330</v>
      </c>
      <c r="Y56" t="n">
        <v>330</v>
      </c>
      <c r="Z56" t="n">
        <v>330</v>
      </c>
      <c r="AA56" t="n">
        <v>330</v>
      </c>
      <c r="AB56" t="n">
        <v>330</v>
      </c>
      <c r="AC56" t="n">
        <v>330</v>
      </c>
      <c r="AD56" t="n">
        <v>330</v>
      </c>
      <c r="AE56" t="n">
        <v>330</v>
      </c>
      <c r="AF56" t="n">
        <v>330</v>
      </c>
      <c r="AG56" t="n">
        <v>330</v>
      </c>
      <c r="AH56" t="n">
        <v>330</v>
      </c>
      <c r="AI56" t="n">
        <v>330</v>
      </c>
      <c r="AJ56" t="n">
        <v>330</v>
      </c>
      <c r="AK56" t="n">
        <v>330</v>
      </c>
      <c r="AL56" t="n">
        <v>330</v>
      </c>
      <c r="AM56" t="n">
        <v>330</v>
      </c>
      <c r="AN56" t="n">
        <v>330</v>
      </c>
      <c r="AO56" t="n">
        <v>330</v>
      </c>
      <c r="AP56" t="n">
        <v>330</v>
      </c>
      <c r="AQ56" t="n">
        <v>330</v>
      </c>
      <c r="AR56" t="n">
        <v>330</v>
      </c>
      <c r="AS56" t="n">
        <v>330</v>
      </c>
      <c r="AT56" t="n">
        <v>330</v>
      </c>
      <c r="AU56" t="n">
        <v>330</v>
      </c>
      <c r="AV56" t="n">
        <v>330</v>
      </c>
      <c r="AW56" t="n">
        <v>165</v>
      </c>
      <c r="AX56" t="n">
        <v>330</v>
      </c>
    </row>
    <row r="57">
      <c r="A57" t="inlineStr"/>
      <c r="B57" t="inlineStr"/>
      <c r="C57" t="inlineStr">
        <is>
          <t>IPP</t>
        </is>
      </c>
      <c r="D57" t="inlineStr">
        <is>
          <t>IPP</t>
        </is>
      </c>
      <c r="E57" t="inlineStr">
        <is>
          <t>IPP</t>
        </is>
      </c>
      <c r="F57" t="inlineStr">
        <is>
          <t>IPP</t>
        </is>
      </c>
      <c r="G57" t="inlineStr">
        <is>
          <t>IPP</t>
        </is>
      </c>
      <c r="H57" t="inlineStr">
        <is>
          <t>IPP</t>
        </is>
      </c>
      <c r="I57" t="inlineStr">
        <is>
          <t>IPP</t>
        </is>
      </c>
      <c r="J57" t="inlineStr">
        <is>
          <t>IPP</t>
        </is>
      </c>
      <c r="K57" t="inlineStr">
        <is>
          <t>IPP</t>
        </is>
      </c>
      <c r="L57" t="inlineStr">
        <is>
          <t>IPP</t>
        </is>
      </c>
      <c r="M57" t="inlineStr">
        <is>
          <t>IPP</t>
        </is>
      </c>
      <c r="N57" t="inlineStr">
        <is>
          <t>IPP</t>
        </is>
      </c>
      <c r="O57" t="inlineStr">
        <is>
          <t>IPP</t>
        </is>
      </c>
      <c r="P57" t="inlineStr">
        <is>
          <t>IPP</t>
        </is>
      </c>
      <c r="Q57" t="inlineStr">
        <is>
          <t>IPP</t>
        </is>
      </c>
      <c r="R57" t="inlineStr">
        <is>
          <t>IPP</t>
        </is>
      </c>
      <c r="S57" t="inlineStr">
        <is>
          <t>IPP</t>
        </is>
      </c>
      <c r="T57" t="inlineStr">
        <is>
          <t>IPP</t>
        </is>
      </c>
      <c r="U57" t="inlineStr">
        <is>
          <t>IPP</t>
        </is>
      </c>
      <c r="V57" t="inlineStr">
        <is>
          <t>IPP</t>
        </is>
      </c>
      <c r="W57" t="inlineStr">
        <is>
          <t>IPP</t>
        </is>
      </c>
      <c r="X57" t="inlineStr">
        <is>
          <t>IPP</t>
        </is>
      </c>
      <c r="Y57" t="inlineStr">
        <is>
          <t>IPP</t>
        </is>
      </c>
      <c r="Z57" t="inlineStr">
        <is>
          <t>IPP</t>
        </is>
      </c>
      <c r="AA57" t="inlineStr">
        <is>
          <t>IPP</t>
        </is>
      </c>
      <c r="AB57" t="inlineStr">
        <is>
          <t>IPP</t>
        </is>
      </c>
      <c r="AC57" t="inlineStr">
        <is>
          <t>IPP</t>
        </is>
      </c>
      <c r="AD57" t="inlineStr">
        <is>
          <t>IPP</t>
        </is>
      </c>
      <c r="AE57" t="inlineStr">
        <is>
          <t>IPP</t>
        </is>
      </c>
      <c r="AF57" t="inlineStr">
        <is>
          <t>IPP</t>
        </is>
      </c>
      <c r="AG57" t="inlineStr">
        <is>
          <t>IPP</t>
        </is>
      </c>
      <c r="AH57" t="inlineStr">
        <is>
          <t>IPP</t>
        </is>
      </c>
      <c r="AI57" t="inlineStr">
        <is>
          <t>IPP</t>
        </is>
      </c>
      <c r="AJ57" t="inlineStr">
        <is>
          <t>IPP</t>
        </is>
      </c>
      <c r="AK57" t="inlineStr">
        <is>
          <t>IPP</t>
        </is>
      </c>
      <c r="AL57" t="inlineStr">
        <is>
          <t>IPP</t>
        </is>
      </c>
      <c r="AM57" t="inlineStr">
        <is>
          <t>IPP</t>
        </is>
      </c>
      <c r="AN57" t="inlineStr">
        <is>
          <t>IPP</t>
        </is>
      </c>
      <c r="AO57" t="inlineStr">
        <is>
          <t>IPP</t>
        </is>
      </c>
      <c r="AP57" t="inlineStr">
        <is>
          <t>IPP</t>
        </is>
      </c>
      <c r="AQ57" t="inlineStr">
        <is>
          <t>IPP</t>
        </is>
      </c>
      <c r="AR57" t="inlineStr">
        <is>
          <t>IPP</t>
        </is>
      </c>
      <c r="AS57" t="inlineStr">
        <is>
          <t>IPP</t>
        </is>
      </c>
      <c r="AT57" t="inlineStr">
        <is>
          <t>IPP</t>
        </is>
      </c>
      <c r="AU57" t="inlineStr">
        <is>
          <t>IPP</t>
        </is>
      </c>
      <c r="AV57" t="inlineStr">
        <is>
          <t>IPP</t>
        </is>
      </c>
      <c r="AW57" t="inlineStr">
        <is>
          <t>IPP</t>
        </is>
      </c>
      <c r="AX57" t="inlineStr">
        <is>
          <t>IPP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PLTP SALAK</t>
        </is>
      </c>
      <c r="B59" t="inlineStr"/>
      <c r="C59" t="n">
        <v>188.19</v>
      </c>
      <c r="D59" t="n">
        <v>188.19</v>
      </c>
      <c r="E59" t="n">
        <v>188.19</v>
      </c>
      <c r="F59" t="n">
        <v>188.19</v>
      </c>
      <c r="G59" t="n">
        <v>188.19</v>
      </c>
      <c r="H59" t="n">
        <v>188.19</v>
      </c>
      <c r="I59" t="n">
        <v>188.19</v>
      </c>
      <c r="J59" t="n">
        <v>188.19</v>
      </c>
      <c r="K59" t="n">
        <v>188.19</v>
      </c>
      <c r="L59" t="n">
        <v>188.19</v>
      </c>
      <c r="M59" t="n">
        <v>188.19</v>
      </c>
      <c r="N59" t="n">
        <v>188.19</v>
      </c>
      <c r="O59" t="n">
        <v>188.19</v>
      </c>
      <c r="P59" t="n">
        <v>188.19</v>
      </c>
      <c r="Q59" t="n">
        <v>188.19</v>
      </c>
      <c r="R59" t="n">
        <v>188.19</v>
      </c>
      <c r="S59" t="n">
        <v>188.19</v>
      </c>
      <c r="T59" t="n">
        <v>188.19</v>
      </c>
      <c r="U59" t="n">
        <v>188.19</v>
      </c>
      <c r="V59" t="n">
        <v>188.19</v>
      </c>
      <c r="W59" t="n">
        <v>188.19</v>
      </c>
      <c r="X59" t="n">
        <v>188.19</v>
      </c>
      <c r="Y59" t="n">
        <v>188.19</v>
      </c>
      <c r="Z59" t="n">
        <v>188.19</v>
      </c>
      <c r="AA59" t="n">
        <v>188.19</v>
      </c>
      <c r="AB59" t="n">
        <v>188.19</v>
      </c>
      <c r="AC59" t="n">
        <v>188.19</v>
      </c>
      <c r="AD59" t="n">
        <v>188.19</v>
      </c>
      <c r="AE59" t="n">
        <v>188.19</v>
      </c>
      <c r="AF59" t="n">
        <v>188.19</v>
      </c>
      <c r="AG59" t="n">
        <v>188.19</v>
      </c>
      <c r="AH59" t="n">
        <v>188.19</v>
      </c>
      <c r="AI59" t="n">
        <v>188.19</v>
      </c>
      <c r="AJ59" t="n">
        <v>188.19</v>
      </c>
      <c r="AK59" t="n">
        <v>188.19</v>
      </c>
      <c r="AL59" t="n">
        <v>208.77</v>
      </c>
      <c r="AM59" t="n">
        <v>188.19</v>
      </c>
      <c r="AN59" t="n">
        <v>188.19</v>
      </c>
      <c r="AO59" t="n">
        <v>188.19</v>
      </c>
      <c r="AP59" t="n">
        <v>188.19</v>
      </c>
      <c r="AQ59" t="n">
        <v>188.19</v>
      </c>
      <c r="AR59" t="n">
        <v>188.19</v>
      </c>
      <c r="AS59" t="n">
        <v>188.19</v>
      </c>
      <c r="AT59" t="n">
        <v>188.19</v>
      </c>
      <c r="AU59" t="n">
        <v>188.19</v>
      </c>
      <c r="AV59" t="n">
        <v>188.19</v>
      </c>
      <c r="AW59" t="n">
        <v>188.19</v>
      </c>
      <c r="AX59" t="n">
        <v>188.19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PLTU KDL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PLTU LBE #1</t>
        </is>
      </c>
      <c r="B63" t="n">
        <v>625</v>
      </c>
      <c r="C63" t="n">
        <v>550</v>
      </c>
      <c r="D63" t="n">
        <v>530</v>
      </c>
      <c r="E63" t="n">
        <v>500</v>
      </c>
      <c r="F63" t="n">
        <v>500</v>
      </c>
      <c r="G63" t="n">
        <v>500</v>
      </c>
      <c r="H63" t="n">
        <v>500</v>
      </c>
      <c r="I63" t="n">
        <v>500</v>
      </c>
      <c r="J63" t="n">
        <v>500</v>
      </c>
      <c r="K63" t="n">
        <v>500</v>
      </c>
      <c r="L63" t="n">
        <v>550</v>
      </c>
      <c r="M63" t="n">
        <v>603</v>
      </c>
      <c r="N63" t="n">
        <v>603</v>
      </c>
      <c r="O63" t="n">
        <v>603</v>
      </c>
      <c r="P63" t="n">
        <v>603</v>
      </c>
      <c r="Q63" t="n">
        <v>603</v>
      </c>
      <c r="R63" t="n">
        <v>603</v>
      </c>
      <c r="S63" t="n">
        <v>603</v>
      </c>
      <c r="T63" t="n">
        <v>603</v>
      </c>
      <c r="U63" t="n">
        <v>603</v>
      </c>
      <c r="V63" t="n">
        <v>603</v>
      </c>
      <c r="W63" t="n">
        <v>603</v>
      </c>
      <c r="X63" t="n">
        <v>603</v>
      </c>
      <c r="Y63" t="n">
        <v>603</v>
      </c>
      <c r="Z63" t="n">
        <v>603</v>
      </c>
      <c r="AA63" t="n">
        <v>600.74</v>
      </c>
      <c r="AB63" t="n">
        <v>600.74</v>
      </c>
      <c r="AC63" t="n">
        <v>600.74</v>
      </c>
      <c r="AD63" t="n">
        <v>600.74</v>
      </c>
      <c r="AE63" t="n">
        <v>600.74</v>
      </c>
      <c r="AF63" t="n">
        <v>600.74</v>
      </c>
      <c r="AG63" t="n">
        <v>600.74</v>
      </c>
      <c r="AH63" t="n">
        <v>600.74</v>
      </c>
      <c r="AI63" t="n">
        <v>600.74</v>
      </c>
      <c r="AJ63" t="n">
        <v>600.74</v>
      </c>
      <c r="AK63" t="n">
        <v>600.74</v>
      </c>
      <c r="AL63" t="n">
        <v>600.74</v>
      </c>
      <c r="AM63" t="n">
        <v>600.74</v>
      </c>
      <c r="AN63" t="n">
        <v>600.74</v>
      </c>
      <c r="AO63" t="n">
        <v>600.74</v>
      </c>
      <c r="AP63" t="n">
        <v>600.74</v>
      </c>
      <c r="AQ63" t="n">
        <v>600.74</v>
      </c>
      <c r="AR63" t="n">
        <v>600.74</v>
      </c>
      <c r="AS63" t="n">
        <v>600.74</v>
      </c>
      <c r="AT63" t="n">
        <v>600.74</v>
      </c>
      <c r="AU63" t="n">
        <v>600.74</v>
      </c>
      <c r="AV63" t="n">
        <v>600.74</v>
      </c>
      <c r="AW63" t="n">
        <v>600.74</v>
      </c>
      <c r="AX63" t="n">
        <v>600.74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PLTU JAWA 7 #1</t>
        </is>
      </c>
      <c r="B65" t="n">
        <v>991</v>
      </c>
      <c r="C65" t="n">
        <v>650</v>
      </c>
      <c r="D65" t="n">
        <v>650</v>
      </c>
      <c r="E65" t="n">
        <v>650</v>
      </c>
      <c r="F65" t="n">
        <v>650</v>
      </c>
      <c r="G65" t="n">
        <v>650</v>
      </c>
      <c r="H65" t="n">
        <v>650</v>
      </c>
      <c r="I65" t="n">
        <v>650</v>
      </c>
      <c r="J65" t="n">
        <v>650</v>
      </c>
      <c r="K65" t="n">
        <v>800</v>
      </c>
      <c r="L65" t="n">
        <v>901.6</v>
      </c>
      <c r="M65" t="n">
        <v>901.6</v>
      </c>
      <c r="N65" t="n">
        <v>901.6</v>
      </c>
      <c r="O65" t="n">
        <v>901.6</v>
      </c>
      <c r="P65" t="n">
        <v>901.6</v>
      </c>
      <c r="Q65" t="n">
        <v>901.6</v>
      </c>
      <c r="R65" t="n">
        <v>901.6</v>
      </c>
      <c r="S65" t="n">
        <v>901.6</v>
      </c>
      <c r="T65" t="n">
        <v>901.6</v>
      </c>
      <c r="U65" t="n">
        <v>901.6</v>
      </c>
      <c r="V65" t="n">
        <v>901.6</v>
      </c>
      <c r="W65" t="n">
        <v>901.6</v>
      </c>
      <c r="X65" t="n">
        <v>901.6</v>
      </c>
      <c r="Y65" t="n">
        <v>901.6</v>
      </c>
      <c r="Z65" t="n">
        <v>901.6</v>
      </c>
      <c r="AA65" t="n">
        <v>901.6</v>
      </c>
      <c r="AB65" t="n">
        <v>901.6</v>
      </c>
      <c r="AC65" t="n">
        <v>901.6</v>
      </c>
      <c r="AD65" t="n">
        <v>901.6</v>
      </c>
      <c r="AE65" t="n">
        <v>901.6</v>
      </c>
      <c r="AF65" t="n">
        <v>901.6</v>
      </c>
      <c r="AG65" t="n">
        <v>901.6</v>
      </c>
      <c r="AH65" t="n">
        <v>901.6</v>
      </c>
      <c r="AI65" t="n">
        <v>901.6</v>
      </c>
      <c r="AJ65" t="n">
        <v>901.6</v>
      </c>
      <c r="AK65" t="n">
        <v>901.6</v>
      </c>
      <c r="AL65" t="n">
        <v>901.6</v>
      </c>
      <c r="AM65" t="n">
        <v>901.6</v>
      </c>
      <c r="AN65" t="n">
        <v>901.6</v>
      </c>
      <c r="AO65" t="n">
        <v>901.6</v>
      </c>
      <c r="AP65" t="n">
        <v>901.6</v>
      </c>
      <c r="AQ65" t="n">
        <v>901.6</v>
      </c>
      <c r="AR65" t="n">
        <v>901.6</v>
      </c>
      <c r="AS65" t="n">
        <v>901.6</v>
      </c>
      <c r="AT65" t="n">
        <v>901.6</v>
      </c>
      <c r="AU65" t="n">
        <v>901.6</v>
      </c>
      <c r="AV65" t="n">
        <v>901.6</v>
      </c>
      <c r="AW65" t="n">
        <v>901.6</v>
      </c>
      <c r="AX65" t="n">
        <v>901.6</v>
      </c>
    </row>
    <row r="66">
      <c r="A66" t="inlineStr">
        <is>
          <t>PLTU JAWA 7 #2</t>
        </is>
      </c>
      <c r="B66" t="n">
        <v>991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PLTU JAWA #09</t>
        </is>
      </c>
      <c r="B68" t="n">
        <v>1000</v>
      </c>
      <c r="C68" t="n">
        <v>980</v>
      </c>
      <c r="D68" t="n">
        <v>882</v>
      </c>
      <c r="E68" t="n">
        <v>833</v>
      </c>
      <c r="F68" t="n">
        <v>833</v>
      </c>
      <c r="G68" t="n">
        <v>850</v>
      </c>
      <c r="H68" t="n">
        <v>850</v>
      </c>
      <c r="I68" t="n">
        <v>850</v>
      </c>
      <c r="J68" t="n">
        <v>850</v>
      </c>
      <c r="K68" t="n">
        <v>882</v>
      </c>
      <c r="L68" t="n">
        <v>931</v>
      </c>
      <c r="M68" t="n">
        <v>980</v>
      </c>
      <c r="N68" t="n">
        <v>980</v>
      </c>
      <c r="O68" t="n">
        <v>980</v>
      </c>
      <c r="P68" t="n">
        <v>980</v>
      </c>
      <c r="Q68" t="n">
        <v>980</v>
      </c>
      <c r="R68" t="n">
        <v>980</v>
      </c>
      <c r="S68" t="n">
        <v>980</v>
      </c>
      <c r="T68" t="n">
        <v>980</v>
      </c>
      <c r="U68" t="n">
        <v>980</v>
      </c>
      <c r="V68" t="n">
        <v>980</v>
      </c>
      <c r="W68" t="n">
        <v>980</v>
      </c>
      <c r="X68" t="n">
        <v>980</v>
      </c>
      <c r="Y68" t="n">
        <v>980</v>
      </c>
      <c r="Z68" t="n">
        <v>980</v>
      </c>
      <c r="AA68" t="n">
        <v>980</v>
      </c>
      <c r="AB68" t="n">
        <v>980</v>
      </c>
      <c r="AC68" t="n">
        <v>980</v>
      </c>
      <c r="AD68" t="n">
        <v>980</v>
      </c>
      <c r="AE68" t="n">
        <v>980</v>
      </c>
      <c r="AF68" t="n">
        <v>980</v>
      </c>
      <c r="AG68" t="n">
        <v>980</v>
      </c>
      <c r="AH68" t="n">
        <v>980</v>
      </c>
      <c r="AI68" t="n">
        <v>980</v>
      </c>
      <c r="AJ68" t="n">
        <v>980</v>
      </c>
      <c r="AK68" t="n">
        <v>980</v>
      </c>
      <c r="AL68" t="n">
        <v>980</v>
      </c>
      <c r="AM68" t="n">
        <v>980</v>
      </c>
      <c r="AN68" t="n">
        <v>980</v>
      </c>
      <c r="AO68" t="n">
        <v>980</v>
      </c>
      <c r="AP68" t="n">
        <v>980</v>
      </c>
      <c r="AQ68" t="n">
        <v>980</v>
      </c>
      <c r="AR68" t="n">
        <v>980</v>
      </c>
      <c r="AS68" t="n">
        <v>980</v>
      </c>
      <c r="AT68" t="n">
        <v>980</v>
      </c>
      <c r="AU68" t="n">
        <v>980</v>
      </c>
      <c r="AV68" t="n">
        <v>980</v>
      </c>
      <c r="AW68" t="n">
        <v>980</v>
      </c>
      <c r="AX68" t="n">
        <v>980</v>
      </c>
    </row>
    <row r="69">
      <c r="A69" t="inlineStr">
        <is>
          <t>PLTU JAWA #10</t>
        </is>
      </c>
      <c r="B69" t="n">
        <v>1000</v>
      </c>
      <c r="C69" t="n">
        <v>980</v>
      </c>
      <c r="D69" t="n">
        <v>882</v>
      </c>
      <c r="E69" t="n">
        <v>833</v>
      </c>
      <c r="F69" t="n">
        <v>833</v>
      </c>
      <c r="G69" t="n">
        <v>850</v>
      </c>
      <c r="H69" t="n">
        <v>850</v>
      </c>
      <c r="I69" t="n">
        <v>850</v>
      </c>
      <c r="J69" t="n">
        <v>850</v>
      </c>
      <c r="K69" t="n">
        <v>882</v>
      </c>
      <c r="L69" t="n">
        <v>931</v>
      </c>
      <c r="M69" t="n">
        <v>980</v>
      </c>
      <c r="N69" t="n">
        <v>980</v>
      </c>
      <c r="O69" t="n">
        <v>980</v>
      </c>
      <c r="P69" t="n">
        <v>980</v>
      </c>
      <c r="Q69" t="n">
        <v>980</v>
      </c>
      <c r="R69" t="n">
        <v>980</v>
      </c>
      <c r="S69" t="n">
        <v>980</v>
      </c>
      <c r="T69" t="n">
        <v>980</v>
      </c>
      <c r="U69" t="n">
        <v>980</v>
      </c>
      <c r="V69" t="n">
        <v>980</v>
      </c>
      <c r="W69" t="n">
        <v>980</v>
      </c>
      <c r="X69" t="n">
        <v>980</v>
      </c>
      <c r="Y69" t="n">
        <v>980</v>
      </c>
      <c r="Z69" t="n">
        <v>980</v>
      </c>
      <c r="AA69" t="n">
        <v>980</v>
      </c>
      <c r="AB69" t="n">
        <v>980</v>
      </c>
      <c r="AC69" t="n">
        <v>980</v>
      </c>
      <c r="AD69" t="n">
        <v>980</v>
      </c>
      <c r="AE69" t="n">
        <v>980</v>
      </c>
      <c r="AF69" t="n">
        <v>980</v>
      </c>
      <c r="AG69" t="n">
        <v>980</v>
      </c>
      <c r="AH69" t="n">
        <v>980</v>
      </c>
      <c r="AI69" t="n">
        <v>980</v>
      </c>
      <c r="AJ69" t="n">
        <v>980</v>
      </c>
      <c r="AK69" t="n">
        <v>980</v>
      </c>
      <c r="AL69" t="n">
        <v>980</v>
      </c>
      <c r="AM69" t="n">
        <v>980</v>
      </c>
      <c r="AN69" t="n">
        <v>980</v>
      </c>
      <c r="AO69" t="n">
        <v>980</v>
      </c>
      <c r="AP69" t="n">
        <v>980</v>
      </c>
      <c r="AQ69" t="n">
        <v>980</v>
      </c>
      <c r="AR69" t="n">
        <v>980</v>
      </c>
      <c r="AS69" t="n">
        <v>980</v>
      </c>
      <c r="AT69" t="n">
        <v>980</v>
      </c>
      <c r="AU69" t="n">
        <v>980</v>
      </c>
      <c r="AV69" t="n">
        <v>980</v>
      </c>
      <c r="AW69" t="n">
        <v>980</v>
      </c>
      <c r="AX69" t="n">
        <v>980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</row>
    <row r="71">
      <c r="A71" t="inlineStr">
        <is>
          <t>PLTP SALAK BINARY</t>
        </is>
      </c>
      <c r="B71" t="n">
        <v>14.48911</v>
      </c>
      <c r="C71" t="n">
        <v>13</v>
      </c>
      <c r="D71" t="n">
        <v>13</v>
      </c>
      <c r="E71" t="n">
        <v>13</v>
      </c>
      <c r="F71" t="n">
        <v>13</v>
      </c>
      <c r="G71" t="n">
        <v>13</v>
      </c>
      <c r="H71" t="n">
        <v>13</v>
      </c>
      <c r="I71" t="n">
        <v>13</v>
      </c>
      <c r="J71" t="n">
        <v>13</v>
      </c>
      <c r="K71" t="n">
        <v>13</v>
      </c>
      <c r="L71" t="n">
        <v>13</v>
      </c>
      <c r="M71" t="n">
        <v>13</v>
      </c>
      <c r="N71" t="n">
        <v>13</v>
      </c>
      <c r="O71" t="n">
        <v>13</v>
      </c>
      <c r="P71" t="n">
        <v>13</v>
      </c>
      <c r="Q71" t="n">
        <v>13</v>
      </c>
      <c r="R71" t="n">
        <v>13</v>
      </c>
      <c r="S71" t="n">
        <v>13</v>
      </c>
      <c r="T71" t="n">
        <v>13</v>
      </c>
      <c r="U71" t="n">
        <v>13</v>
      </c>
      <c r="V71" t="n">
        <v>13</v>
      </c>
      <c r="W71" t="n">
        <v>13</v>
      </c>
      <c r="X71" t="n">
        <v>13</v>
      </c>
      <c r="Y71" t="n">
        <v>13</v>
      </c>
      <c r="Z71" t="n">
        <v>13</v>
      </c>
      <c r="AA71" t="n">
        <v>13</v>
      </c>
      <c r="AB71" t="n">
        <v>13</v>
      </c>
      <c r="AC71" t="n">
        <v>13</v>
      </c>
      <c r="AD71" t="n">
        <v>13</v>
      </c>
      <c r="AE71" t="n">
        <v>13</v>
      </c>
      <c r="AF71" t="n">
        <v>13</v>
      </c>
      <c r="AG71" t="n">
        <v>13</v>
      </c>
      <c r="AH71" t="n">
        <v>13</v>
      </c>
      <c r="AI71" t="n">
        <v>13</v>
      </c>
      <c r="AJ71" t="n">
        <v>13</v>
      </c>
      <c r="AK71" t="n">
        <v>13</v>
      </c>
      <c r="AL71" t="n">
        <v>13</v>
      </c>
      <c r="AM71" t="n">
        <v>13</v>
      </c>
      <c r="AN71" t="n">
        <v>13</v>
      </c>
      <c r="AO71" t="n">
        <v>13</v>
      </c>
      <c r="AP71" t="n">
        <v>13</v>
      </c>
      <c r="AQ71" t="n">
        <v>13</v>
      </c>
      <c r="AR71" t="n">
        <v>13</v>
      </c>
      <c r="AS71" t="n">
        <v>13</v>
      </c>
      <c r="AT71" t="n">
        <v>13</v>
      </c>
      <c r="AU71" t="n">
        <v>13</v>
      </c>
      <c r="AV71" t="n">
        <v>13</v>
      </c>
      <c r="AW71" t="n">
        <v>13</v>
      </c>
      <c r="AX71" t="n">
        <v>13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</row>
    <row r="73">
      <c r="A73" t="inlineStr">
        <is>
          <t>Pembangkitan Area</t>
        </is>
      </c>
      <c r="B73" t="inlineStr"/>
      <c r="C73" t="n">
        <v>9612.719999999999</v>
      </c>
      <c r="D73" t="n">
        <v>9383.440000000001</v>
      </c>
      <c r="E73" t="n">
        <v>9255.440000000001</v>
      </c>
      <c r="F73" t="n">
        <v>9255.440000000001</v>
      </c>
      <c r="G73" t="n">
        <v>9318.59</v>
      </c>
      <c r="H73" t="n">
        <v>9318.59</v>
      </c>
      <c r="I73" t="n">
        <v>9318.59</v>
      </c>
      <c r="J73" t="n">
        <v>9318.59</v>
      </c>
      <c r="K73" t="n">
        <v>9521.83</v>
      </c>
      <c r="L73" t="n">
        <v>9782.190000000001</v>
      </c>
      <c r="M73" t="n">
        <v>9929.41</v>
      </c>
      <c r="N73" t="n">
        <v>9965.67</v>
      </c>
      <c r="O73" t="n">
        <v>9982.799999999999</v>
      </c>
      <c r="P73" t="n">
        <v>10295.24</v>
      </c>
      <c r="Q73" t="n">
        <v>10487.97</v>
      </c>
      <c r="R73" t="n">
        <v>10608.51</v>
      </c>
      <c r="S73" t="n">
        <v>10804.43</v>
      </c>
      <c r="T73" t="n">
        <v>11528.65</v>
      </c>
      <c r="U73" t="n">
        <v>11645.29</v>
      </c>
      <c r="V73" t="n">
        <v>11690.44</v>
      </c>
      <c r="W73" t="n">
        <v>11744.12</v>
      </c>
      <c r="X73" t="n">
        <v>11788.28</v>
      </c>
      <c r="Y73" t="n">
        <v>11769.61</v>
      </c>
      <c r="Z73" t="n">
        <v>11723.64</v>
      </c>
      <c r="AA73" t="n">
        <v>11698.71</v>
      </c>
      <c r="AB73" t="n">
        <v>11775.75</v>
      </c>
      <c r="AC73" t="n">
        <v>11885.17</v>
      </c>
      <c r="AD73" t="n">
        <v>11910.91</v>
      </c>
      <c r="AE73" t="n">
        <v>11972.18</v>
      </c>
      <c r="AF73" t="n">
        <v>11973.01</v>
      </c>
      <c r="AG73" t="n">
        <v>11969.47</v>
      </c>
      <c r="AH73" t="n">
        <v>11811.76</v>
      </c>
      <c r="AI73" t="n">
        <v>11707.74</v>
      </c>
      <c r="AJ73" t="n">
        <v>11675.17</v>
      </c>
      <c r="AK73" t="n">
        <v>11710.27</v>
      </c>
      <c r="AL73" t="n">
        <v>12228.48</v>
      </c>
      <c r="AM73" t="n">
        <v>12063.74</v>
      </c>
      <c r="AN73" t="n">
        <v>11721.63</v>
      </c>
      <c r="AO73" t="n">
        <v>11721.63</v>
      </c>
      <c r="AP73" t="n">
        <v>11706.99</v>
      </c>
      <c r="AQ73" t="n">
        <v>11548.84</v>
      </c>
      <c r="AR73" t="n">
        <v>11370.06</v>
      </c>
      <c r="AS73" t="n">
        <v>10842.87</v>
      </c>
      <c r="AT73" t="n">
        <v>10652.2</v>
      </c>
      <c r="AU73" t="n">
        <v>10571.6</v>
      </c>
      <c r="AV73" t="n">
        <v>10442.02</v>
      </c>
      <c r="AW73" t="n">
        <v>10188.79</v>
      </c>
      <c r="AX73" t="n">
        <v>10426.38</v>
      </c>
    </row>
    <row r="74">
      <c r="A74" t="inlineStr">
        <is>
          <t>Beban Area</t>
        </is>
      </c>
      <c r="B74" t="inlineStr"/>
      <c r="C74" t="n">
        <v>9608.709999999999</v>
      </c>
      <c r="D74" t="n">
        <v>9521.75</v>
      </c>
      <c r="E74" t="n">
        <v>9361.02</v>
      </c>
      <c r="F74" t="n">
        <v>9297.09</v>
      </c>
      <c r="G74" t="n">
        <v>9260.48</v>
      </c>
      <c r="H74" t="n">
        <v>9155.5</v>
      </c>
      <c r="I74" t="n">
        <v>9107.01</v>
      </c>
      <c r="J74" t="n">
        <v>9099.280000000001</v>
      </c>
      <c r="K74" t="n">
        <v>9214.799999999999</v>
      </c>
      <c r="L74" t="n">
        <v>9437.120000000001</v>
      </c>
      <c r="M74" t="n">
        <v>9690.809999999999</v>
      </c>
      <c r="N74" t="n">
        <v>9721.190000000001</v>
      </c>
      <c r="O74" t="n">
        <v>9839.25</v>
      </c>
      <c r="P74" t="n">
        <v>10072.65</v>
      </c>
      <c r="Q74" t="n">
        <v>10597.14</v>
      </c>
      <c r="R74" t="n">
        <v>10980.11</v>
      </c>
      <c r="S74" t="n">
        <v>11566.82</v>
      </c>
      <c r="T74" t="n">
        <v>11807.98</v>
      </c>
      <c r="U74" t="n">
        <v>12096.13</v>
      </c>
      <c r="V74" t="n">
        <v>12224.89</v>
      </c>
      <c r="W74" t="n">
        <v>12412.45</v>
      </c>
      <c r="X74" t="n">
        <v>12484.3</v>
      </c>
      <c r="Y74" t="n">
        <v>12443.81</v>
      </c>
      <c r="Z74" t="n">
        <v>12229.03</v>
      </c>
      <c r="AA74" t="n">
        <v>12161.38</v>
      </c>
      <c r="AB74" t="n">
        <v>12481.66</v>
      </c>
      <c r="AC74" t="n">
        <v>13019.4</v>
      </c>
      <c r="AD74" t="n">
        <v>12961.77</v>
      </c>
      <c r="AE74" t="n">
        <v>12985.36</v>
      </c>
      <c r="AF74" t="n">
        <v>12985.48</v>
      </c>
      <c r="AG74" t="n">
        <v>12973.9</v>
      </c>
      <c r="AH74" t="n">
        <v>12767.49</v>
      </c>
      <c r="AI74" t="n">
        <v>12637.31</v>
      </c>
      <c r="AJ74" t="n">
        <v>12440.29</v>
      </c>
      <c r="AK74" t="n">
        <v>12267.71</v>
      </c>
      <c r="AL74" t="n">
        <v>12486.36</v>
      </c>
      <c r="AM74" t="n">
        <v>12450.01</v>
      </c>
      <c r="AN74" t="n">
        <v>12300.02</v>
      </c>
      <c r="AO74" t="n">
        <v>12305.57</v>
      </c>
      <c r="AP74" t="n">
        <v>12190.56</v>
      </c>
      <c r="AQ74" t="n">
        <v>12108.52</v>
      </c>
      <c r="AR74" t="n">
        <v>12000.44</v>
      </c>
      <c r="AS74" t="n">
        <v>11916.61</v>
      </c>
      <c r="AT74" t="n">
        <v>11740.59</v>
      </c>
      <c r="AU74" t="n">
        <v>11431.75</v>
      </c>
      <c r="AV74" t="n">
        <v>11058.44</v>
      </c>
      <c r="AW74" t="n">
        <v>10968.96</v>
      </c>
      <c r="AX74" t="n">
        <v>10713.62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</row>
    <row r="76">
      <c r="A76" t="inlineStr">
        <is>
          <t>RJBR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</row>
    <row r="77">
      <c r="A77" t="inlineStr"/>
      <c r="B77" t="inlineStr"/>
      <c r="C77" t="inlineStr">
        <is>
          <t>PT. INDONESIA POWER</t>
        </is>
      </c>
      <c r="D77" t="inlineStr">
        <is>
          <t>PT. INDONESIA POWER</t>
        </is>
      </c>
      <c r="E77" t="inlineStr">
        <is>
          <t>PT. INDONESIA POWER</t>
        </is>
      </c>
      <c r="F77" t="inlineStr">
        <is>
          <t>PT. INDONESIA POWER</t>
        </is>
      </c>
      <c r="G77" t="inlineStr">
        <is>
          <t>PT. INDONESIA POWER</t>
        </is>
      </c>
      <c r="H77" t="inlineStr">
        <is>
          <t>PT. INDONESIA POWER</t>
        </is>
      </c>
      <c r="I77" t="inlineStr">
        <is>
          <t>PT. INDONESIA POWER</t>
        </is>
      </c>
      <c r="J77" t="inlineStr">
        <is>
          <t>PT. INDONESIA POWER</t>
        </is>
      </c>
      <c r="K77" t="inlineStr">
        <is>
          <t>PT. INDONESIA POWER</t>
        </is>
      </c>
      <c r="L77" t="inlineStr">
        <is>
          <t>PT. INDONESIA POWER</t>
        </is>
      </c>
      <c r="M77" t="inlineStr">
        <is>
          <t>PT. INDONESIA POWER</t>
        </is>
      </c>
      <c r="N77" t="inlineStr">
        <is>
          <t>PT. INDONESIA POWER</t>
        </is>
      </c>
      <c r="O77" t="inlineStr">
        <is>
          <t>PT. INDONESIA POWER</t>
        </is>
      </c>
      <c r="P77" t="inlineStr">
        <is>
          <t>PT. INDONESIA POWER</t>
        </is>
      </c>
      <c r="Q77" t="inlineStr">
        <is>
          <t>PT. INDONESIA POWER</t>
        </is>
      </c>
      <c r="R77" t="inlineStr">
        <is>
          <t>PT. INDONESIA POWER</t>
        </is>
      </c>
      <c r="S77" t="inlineStr">
        <is>
          <t>PT. INDONESIA POWER</t>
        </is>
      </c>
      <c r="T77" t="inlineStr">
        <is>
          <t>PT. INDONESIA POWER</t>
        </is>
      </c>
      <c r="U77" t="inlineStr">
        <is>
          <t>PT. INDONESIA POWER</t>
        </is>
      </c>
      <c r="V77" t="inlineStr">
        <is>
          <t>PT. INDONESIA POWER</t>
        </is>
      </c>
      <c r="W77" t="inlineStr">
        <is>
          <t>PT. INDONESIA POWER</t>
        </is>
      </c>
      <c r="X77" t="inlineStr">
        <is>
          <t>PT. INDONESIA POWER</t>
        </is>
      </c>
      <c r="Y77" t="inlineStr">
        <is>
          <t>PT. INDONESIA POWER</t>
        </is>
      </c>
      <c r="Z77" t="inlineStr">
        <is>
          <t>PT. INDONESIA POWER</t>
        </is>
      </c>
      <c r="AA77" t="inlineStr">
        <is>
          <t>PT. INDONESIA POWER</t>
        </is>
      </c>
      <c r="AB77" t="inlineStr">
        <is>
          <t>PT. INDONESIA POWER</t>
        </is>
      </c>
      <c r="AC77" t="inlineStr">
        <is>
          <t>PT. INDONESIA POWER</t>
        </is>
      </c>
      <c r="AD77" t="inlineStr">
        <is>
          <t>PT. INDONESIA POWER</t>
        </is>
      </c>
      <c r="AE77" t="inlineStr">
        <is>
          <t>PT. INDONESIA POWER</t>
        </is>
      </c>
      <c r="AF77" t="inlineStr">
        <is>
          <t>PT. INDONESIA POWER</t>
        </is>
      </c>
      <c r="AG77" t="inlineStr">
        <is>
          <t>PT. INDONESIA POWER</t>
        </is>
      </c>
      <c r="AH77" t="inlineStr">
        <is>
          <t>PT. INDONESIA POWER</t>
        </is>
      </c>
      <c r="AI77" t="inlineStr">
        <is>
          <t>PT. INDONESIA POWER</t>
        </is>
      </c>
      <c r="AJ77" t="inlineStr">
        <is>
          <t>PT. INDONESIA POWER</t>
        </is>
      </c>
      <c r="AK77" t="inlineStr">
        <is>
          <t>PT. INDONESIA POWER</t>
        </is>
      </c>
      <c r="AL77" t="inlineStr">
        <is>
          <t>PT. INDONESIA POWER</t>
        </is>
      </c>
      <c r="AM77" t="inlineStr">
        <is>
          <t>PT. INDONESIA POWER</t>
        </is>
      </c>
      <c r="AN77" t="inlineStr">
        <is>
          <t>PT. INDONESIA POWER</t>
        </is>
      </c>
      <c r="AO77" t="inlineStr">
        <is>
          <t>PT. INDONESIA POWER</t>
        </is>
      </c>
      <c r="AP77" t="inlineStr">
        <is>
          <t>PT. INDONESIA POWER</t>
        </is>
      </c>
      <c r="AQ77" t="inlineStr">
        <is>
          <t>PT. INDONESIA POWER</t>
        </is>
      </c>
      <c r="AR77" t="inlineStr">
        <is>
          <t>PT. INDONESIA POWER</t>
        </is>
      </c>
      <c r="AS77" t="inlineStr">
        <is>
          <t>PT. INDONESIA POWER</t>
        </is>
      </c>
      <c r="AT77" t="inlineStr">
        <is>
          <t>PT. INDONESIA POWER</t>
        </is>
      </c>
      <c r="AU77" t="inlineStr">
        <is>
          <t>PT. INDONESIA POWER</t>
        </is>
      </c>
      <c r="AV77" t="inlineStr">
        <is>
          <t>PT. INDONESIA POWER</t>
        </is>
      </c>
      <c r="AW77" t="inlineStr">
        <is>
          <t>PT. INDONESIA POWER</t>
        </is>
      </c>
      <c r="AX77" t="inlineStr">
        <is>
          <t>PT. INDONESIA POWER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</row>
    <row r="79">
      <c r="A79" t="inlineStr">
        <is>
          <t>PLTA Region 2</t>
        </is>
      </c>
      <c r="B79" t="inlineStr"/>
      <c r="C79" t="n">
        <v>17</v>
      </c>
      <c r="D79" t="n">
        <v>17</v>
      </c>
      <c r="E79" t="n">
        <v>17</v>
      </c>
      <c r="F79" t="n">
        <v>17</v>
      </c>
      <c r="G79" t="n">
        <v>17</v>
      </c>
      <c r="H79" t="n">
        <v>17</v>
      </c>
      <c r="I79" t="n">
        <v>17</v>
      </c>
      <c r="J79" t="n">
        <v>17</v>
      </c>
      <c r="K79" t="n">
        <v>18</v>
      </c>
      <c r="L79" t="n">
        <v>18</v>
      </c>
      <c r="M79" t="n">
        <v>18</v>
      </c>
      <c r="N79" t="n">
        <v>18</v>
      </c>
      <c r="O79" t="n">
        <v>19</v>
      </c>
      <c r="P79" t="n">
        <v>19</v>
      </c>
      <c r="Q79" t="n">
        <v>19</v>
      </c>
      <c r="R79" t="n">
        <v>19</v>
      </c>
      <c r="S79" t="n">
        <v>19</v>
      </c>
      <c r="T79" t="n">
        <v>19</v>
      </c>
      <c r="U79" t="n">
        <v>19</v>
      </c>
      <c r="V79" t="n">
        <v>19</v>
      </c>
      <c r="W79" t="n">
        <v>19</v>
      </c>
      <c r="X79" t="n">
        <v>19</v>
      </c>
      <c r="Y79" t="n">
        <v>19</v>
      </c>
      <c r="Z79" t="n">
        <v>19</v>
      </c>
      <c r="AA79" t="n">
        <v>19</v>
      </c>
      <c r="AB79" t="n">
        <v>19</v>
      </c>
      <c r="AC79" t="n">
        <v>19</v>
      </c>
      <c r="AD79" t="n">
        <v>19</v>
      </c>
      <c r="AE79" t="n">
        <v>21</v>
      </c>
      <c r="AF79" t="n">
        <v>17</v>
      </c>
      <c r="AG79" t="n">
        <v>17</v>
      </c>
      <c r="AH79" t="n">
        <v>14</v>
      </c>
      <c r="AI79" t="n">
        <v>14</v>
      </c>
      <c r="AJ79" t="n">
        <v>14</v>
      </c>
      <c r="AK79" t="n">
        <v>14</v>
      </c>
      <c r="AL79" t="n">
        <v>14</v>
      </c>
      <c r="AM79" t="n">
        <v>14</v>
      </c>
      <c r="AN79" t="n">
        <v>14</v>
      </c>
      <c r="AO79" t="n">
        <v>14</v>
      </c>
      <c r="AP79" t="n">
        <v>14</v>
      </c>
      <c r="AQ79" t="n">
        <v>14</v>
      </c>
      <c r="AR79" t="n">
        <v>17</v>
      </c>
      <c r="AS79" t="n">
        <v>17</v>
      </c>
      <c r="AT79" t="n">
        <v>17</v>
      </c>
      <c r="AU79" t="n">
        <v>17</v>
      </c>
      <c r="AV79" t="n">
        <v>17</v>
      </c>
      <c r="AW79" t="n">
        <v>17</v>
      </c>
      <c r="AX79" t="n">
        <v>17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</row>
    <row r="81">
      <c r="A81" t="inlineStr">
        <is>
          <t>PLTA SGLNG #1</t>
        </is>
      </c>
      <c r="B81" t="n">
        <v>174.6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100</v>
      </c>
      <c r="U81" t="n">
        <v>100</v>
      </c>
      <c r="V81" t="n">
        <v>116.15</v>
      </c>
      <c r="W81" t="n">
        <v>101.88</v>
      </c>
      <c r="X81" t="n">
        <v>120</v>
      </c>
      <c r="Y81" t="n">
        <v>140</v>
      </c>
      <c r="Z81" t="n">
        <v>0</v>
      </c>
      <c r="AA81" t="n">
        <v>50</v>
      </c>
      <c r="AB81" t="n">
        <v>110</v>
      </c>
      <c r="AC81" t="n">
        <v>150</v>
      </c>
      <c r="AD81" t="n">
        <v>150</v>
      </c>
      <c r="AE81" t="n">
        <v>150</v>
      </c>
      <c r="AF81" t="n">
        <v>148</v>
      </c>
      <c r="AG81" t="n">
        <v>150</v>
      </c>
      <c r="AH81" t="n">
        <v>150</v>
      </c>
      <c r="AI81" t="n">
        <v>150</v>
      </c>
      <c r="AJ81" t="n">
        <v>150</v>
      </c>
      <c r="AK81" t="n">
        <v>150</v>
      </c>
      <c r="AL81" t="n">
        <v>150</v>
      </c>
      <c r="AM81" t="n">
        <v>150</v>
      </c>
      <c r="AN81" t="n">
        <v>150</v>
      </c>
      <c r="AO81" t="n">
        <v>150</v>
      </c>
      <c r="AP81" t="n">
        <v>150</v>
      </c>
      <c r="AQ81" t="n">
        <v>150</v>
      </c>
      <c r="AR81" t="n">
        <v>150</v>
      </c>
      <c r="AS81" t="n">
        <v>150</v>
      </c>
      <c r="AT81" t="n">
        <v>150</v>
      </c>
      <c r="AU81" t="n">
        <v>150</v>
      </c>
      <c r="AV81" t="n">
        <v>150</v>
      </c>
      <c r="AW81" t="n">
        <v>150</v>
      </c>
      <c r="AX81" t="n">
        <v>0</v>
      </c>
    </row>
    <row r="82">
      <c r="A82" t="inlineStr">
        <is>
          <t>PLTA SGLNG #2</t>
        </is>
      </c>
      <c r="B82" t="n">
        <v>174.6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116.15</v>
      </c>
      <c r="W82" t="n">
        <v>101.88</v>
      </c>
      <c r="X82" t="n">
        <v>120</v>
      </c>
      <c r="Y82" t="n">
        <v>140</v>
      </c>
      <c r="Z82" t="n">
        <v>0</v>
      </c>
      <c r="AA82" t="n">
        <v>0</v>
      </c>
      <c r="AB82" t="n">
        <v>110</v>
      </c>
      <c r="AC82" t="n">
        <v>150</v>
      </c>
      <c r="AD82" t="n">
        <v>150</v>
      </c>
      <c r="AE82" t="n">
        <v>150</v>
      </c>
      <c r="AF82" t="n">
        <v>148</v>
      </c>
      <c r="AG82" t="n">
        <v>150</v>
      </c>
      <c r="AH82" t="n">
        <v>150</v>
      </c>
      <c r="AI82" t="n">
        <v>150</v>
      </c>
      <c r="AJ82" t="n">
        <v>150</v>
      </c>
      <c r="AK82" t="n">
        <v>150</v>
      </c>
      <c r="AL82" t="n">
        <v>150</v>
      </c>
      <c r="AM82" t="n">
        <v>150</v>
      </c>
      <c r="AN82" t="n">
        <v>150</v>
      </c>
      <c r="AO82" t="n">
        <v>150</v>
      </c>
      <c r="AP82" t="n">
        <v>150</v>
      </c>
      <c r="AQ82" t="n">
        <v>150</v>
      </c>
      <c r="AR82" t="n">
        <v>150</v>
      </c>
      <c r="AS82" t="n">
        <v>150</v>
      </c>
      <c r="AT82" t="n">
        <v>150</v>
      </c>
      <c r="AU82" t="n">
        <v>150</v>
      </c>
      <c r="AV82" t="n">
        <v>150</v>
      </c>
      <c r="AW82" t="n">
        <v>150</v>
      </c>
      <c r="AX82" t="n">
        <v>0</v>
      </c>
    </row>
    <row r="83">
      <c r="A83" t="inlineStr">
        <is>
          <t>PLTA SGLNG #3</t>
        </is>
      </c>
      <c r="B83" t="n">
        <v>174.6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101.88</v>
      </c>
      <c r="X83" t="n">
        <v>120</v>
      </c>
      <c r="Y83" t="n">
        <v>0</v>
      </c>
      <c r="Z83" t="n">
        <v>0</v>
      </c>
      <c r="AA83" t="n">
        <v>0</v>
      </c>
      <c r="AB83" t="n">
        <v>0</v>
      </c>
      <c r="AC83" t="n">
        <v>150</v>
      </c>
      <c r="AD83" t="n">
        <v>150</v>
      </c>
      <c r="AE83" t="n">
        <v>150</v>
      </c>
      <c r="AF83" t="n">
        <v>148</v>
      </c>
      <c r="AG83" t="n">
        <v>150</v>
      </c>
      <c r="AH83" t="n">
        <v>150</v>
      </c>
      <c r="AI83" t="n">
        <v>150</v>
      </c>
      <c r="AJ83" t="n">
        <v>150</v>
      </c>
      <c r="AK83" t="n">
        <v>150</v>
      </c>
      <c r="AL83" t="n">
        <v>150</v>
      </c>
      <c r="AM83" t="n">
        <v>150</v>
      </c>
      <c r="AN83" t="n">
        <v>150</v>
      </c>
      <c r="AO83" t="n">
        <v>150</v>
      </c>
      <c r="AP83" t="n">
        <v>150</v>
      </c>
      <c r="AQ83" t="n">
        <v>150</v>
      </c>
      <c r="AR83" t="n">
        <v>150</v>
      </c>
      <c r="AS83" t="n">
        <v>150</v>
      </c>
      <c r="AT83" t="n">
        <v>150</v>
      </c>
      <c r="AU83" t="n">
        <v>150</v>
      </c>
      <c r="AV83" t="n">
        <v>150</v>
      </c>
      <c r="AW83" t="n">
        <v>150</v>
      </c>
      <c r="AX83" t="n">
        <v>0</v>
      </c>
    </row>
    <row r="84">
      <c r="A84" t="inlineStr">
        <is>
          <t>PLTA SGLNG #4</t>
        </is>
      </c>
      <c r="B84" t="n">
        <v>174.6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150</v>
      </c>
      <c r="AD84" t="n">
        <v>150</v>
      </c>
      <c r="AE84" t="n">
        <v>150</v>
      </c>
      <c r="AF84" t="n">
        <v>148</v>
      </c>
      <c r="AG84" t="n">
        <v>150</v>
      </c>
      <c r="AH84" t="n">
        <v>150</v>
      </c>
      <c r="AI84" t="n">
        <v>150</v>
      </c>
      <c r="AJ84" t="n">
        <v>150</v>
      </c>
      <c r="AK84" t="n">
        <v>150</v>
      </c>
      <c r="AL84" t="n">
        <v>150</v>
      </c>
      <c r="AM84" t="n">
        <v>150</v>
      </c>
      <c r="AN84" t="n">
        <v>150</v>
      </c>
      <c r="AO84" t="n">
        <v>150</v>
      </c>
      <c r="AP84" t="n">
        <v>150</v>
      </c>
      <c r="AQ84" t="n">
        <v>150</v>
      </c>
      <c r="AR84" t="n">
        <v>150</v>
      </c>
      <c r="AS84" t="n">
        <v>150</v>
      </c>
      <c r="AT84" t="n">
        <v>150</v>
      </c>
      <c r="AU84" t="n">
        <v>150</v>
      </c>
      <c r="AV84" t="n">
        <v>0</v>
      </c>
      <c r="AW84" t="n">
        <v>0</v>
      </c>
      <c r="AX84" t="n">
        <v>0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</row>
    <row r="86">
      <c r="A86" t="inlineStr">
        <is>
          <t>PLTP KMJNG #1</t>
        </is>
      </c>
      <c r="B86" t="n">
        <v>30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inlineStr">
        <is>
          <t>PLTP KMJNG #2</t>
        </is>
      </c>
      <c r="B87" t="n">
        <v>52.3</v>
      </c>
      <c r="C87" t="n">
        <v>52.3</v>
      </c>
      <c r="D87" t="n">
        <v>52.3</v>
      </c>
      <c r="E87" t="n">
        <v>52.3</v>
      </c>
      <c r="F87" t="n">
        <v>52.3</v>
      </c>
      <c r="G87" t="n">
        <v>52.3</v>
      </c>
      <c r="H87" t="n">
        <v>52.3</v>
      </c>
      <c r="I87" t="n">
        <v>52.3</v>
      </c>
      <c r="J87" t="n">
        <v>52.3</v>
      </c>
      <c r="K87" t="n">
        <v>52.3</v>
      </c>
      <c r="L87" t="n">
        <v>52.3</v>
      </c>
      <c r="M87" t="n">
        <v>52.3</v>
      </c>
      <c r="N87" t="n">
        <v>52.3</v>
      </c>
      <c r="O87" t="n">
        <v>52.3</v>
      </c>
      <c r="P87" t="n">
        <v>52.3</v>
      </c>
      <c r="Q87" t="n">
        <v>52.3</v>
      </c>
      <c r="R87" t="n">
        <v>52.3</v>
      </c>
      <c r="S87" t="n">
        <v>52.3</v>
      </c>
      <c r="T87" t="n">
        <v>52.3</v>
      </c>
      <c r="U87" t="n">
        <v>52.3</v>
      </c>
      <c r="V87" t="n">
        <v>52.3</v>
      </c>
      <c r="W87" t="n">
        <v>52.3</v>
      </c>
      <c r="X87" t="n">
        <v>52.3</v>
      </c>
      <c r="Y87" t="n">
        <v>52.3</v>
      </c>
      <c r="Z87" t="n">
        <v>52.3</v>
      </c>
      <c r="AA87" t="n">
        <v>52.3</v>
      </c>
      <c r="AB87" t="n">
        <v>52.3</v>
      </c>
      <c r="AC87" t="n">
        <v>52.3</v>
      </c>
      <c r="AD87" t="n">
        <v>52.3</v>
      </c>
      <c r="AE87" t="n">
        <v>52.3</v>
      </c>
      <c r="AF87" t="n">
        <v>52.3</v>
      </c>
      <c r="AG87" t="n">
        <v>52.3</v>
      </c>
      <c r="AH87" t="n">
        <v>52.3</v>
      </c>
      <c r="AI87" t="n">
        <v>52.3</v>
      </c>
      <c r="AJ87" t="n">
        <v>52.3</v>
      </c>
      <c r="AK87" t="n">
        <v>52.3</v>
      </c>
      <c r="AL87" t="n">
        <v>52.3</v>
      </c>
      <c r="AM87" t="n">
        <v>52.3</v>
      </c>
      <c r="AN87" t="n">
        <v>52.3</v>
      </c>
      <c r="AO87" t="n">
        <v>52.3</v>
      </c>
      <c r="AP87" t="n">
        <v>52.3</v>
      </c>
      <c r="AQ87" t="n">
        <v>52.3</v>
      </c>
      <c r="AR87" t="n">
        <v>52.3</v>
      </c>
      <c r="AS87" t="n">
        <v>52.3</v>
      </c>
      <c r="AT87" t="n">
        <v>52.3</v>
      </c>
      <c r="AU87" t="n">
        <v>52.3</v>
      </c>
      <c r="AV87" t="n">
        <v>52.3</v>
      </c>
      <c r="AW87" t="n">
        <v>52.3</v>
      </c>
      <c r="AX87" t="n">
        <v>52.3</v>
      </c>
    </row>
    <row r="88">
      <c r="A88" t="inlineStr">
        <is>
          <t>PLTP KMJNG #3</t>
        </is>
      </c>
      <c r="B88" t="n">
        <v>52.3</v>
      </c>
      <c r="C88" t="n">
        <v>52.3</v>
      </c>
      <c r="D88" t="n">
        <v>52.3</v>
      </c>
      <c r="E88" t="n">
        <v>52.3</v>
      </c>
      <c r="F88" t="n">
        <v>52.3</v>
      </c>
      <c r="G88" t="n">
        <v>52.3</v>
      </c>
      <c r="H88" t="n">
        <v>52.3</v>
      </c>
      <c r="I88" t="n">
        <v>52.3</v>
      </c>
      <c r="J88" t="n">
        <v>52.3</v>
      </c>
      <c r="K88" t="n">
        <v>52.3</v>
      </c>
      <c r="L88" t="n">
        <v>52.3</v>
      </c>
      <c r="M88" t="n">
        <v>52.3</v>
      </c>
      <c r="N88" t="n">
        <v>52.3</v>
      </c>
      <c r="O88" t="n">
        <v>52.3</v>
      </c>
      <c r="P88" t="n">
        <v>52.3</v>
      </c>
      <c r="Q88" t="n">
        <v>52.3</v>
      </c>
      <c r="R88" t="n">
        <v>52.3</v>
      </c>
      <c r="S88" t="n">
        <v>52.3</v>
      </c>
      <c r="T88" t="n">
        <v>52.3</v>
      </c>
      <c r="U88" t="n">
        <v>52.3</v>
      </c>
      <c r="V88" t="n">
        <v>52.3</v>
      </c>
      <c r="W88" t="n">
        <v>52.3</v>
      </c>
      <c r="X88" t="n">
        <v>47.3</v>
      </c>
      <c r="Y88" t="n">
        <v>47.3</v>
      </c>
      <c r="Z88" t="n">
        <v>52.3</v>
      </c>
      <c r="AA88" t="n">
        <v>52.3</v>
      </c>
      <c r="AB88" t="n">
        <v>52.3</v>
      </c>
      <c r="AC88" t="n">
        <v>52.3</v>
      </c>
      <c r="AD88" t="n">
        <v>52.3</v>
      </c>
      <c r="AE88" t="n">
        <v>52.3</v>
      </c>
      <c r="AF88" t="n">
        <v>52.3</v>
      </c>
      <c r="AG88" t="n">
        <v>52.3</v>
      </c>
      <c r="AH88" t="n">
        <v>52.3</v>
      </c>
      <c r="AI88" t="n">
        <v>52.3</v>
      </c>
      <c r="AJ88" t="n">
        <v>52.3</v>
      </c>
      <c r="AK88" t="n">
        <v>52.3</v>
      </c>
      <c r="AL88" t="n">
        <v>52.3</v>
      </c>
      <c r="AM88" t="n">
        <v>52.3</v>
      </c>
      <c r="AN88" t="n">
        <v>52.3</v>
      </c>
      <c r="AO88" t="n">
        <v>52.3</v>
      </c>
      <c r="AP88" t="n">
        <v>52.3</v>
      </c>
      <c r="AQ88" t="n">
        <v>52.3</v>
      </c>
      <c r="AR88" t="n">
        <v>52.3</v>
      </c>
      <c r="AS88" t="n">
        <v>52.3</v>
      </c>
      <c r="AT88" t="n">
        <v>52.3</v>
      </c>
      <c r="AU88" t="n">
        <v>52.3</v>
      </c>
      <c r="AV88" t="n">
        <v>52.3</v>
      </c>
      <c r="AW88" t="n">
        <v>52.3</v>
      </c>
      <c r="AX88" t="n">
        <v>52.3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</row>
    <row r="90">
      <c r="A90" t="inlineStr">
        <is>
          <t>PLTP DRJAT #1</t>
        </is>
      </c>
      <c r="B90" t="n">
        <v>52</v>
      </c>
      <c r="C90" t="n">
        <v>46</v>
      </c>
      <c r="D90" t="n">
        <v>46</v>
      </c>
      <c r="E90" t="n">
        <v>46</v>
      </c>
      <c r="F90" t="n">
        <v>46</v>
      </c>
      <c r="G90" t="n">
        <v>46</v>
      </c>
      <c r="H90" t="n">
        <v>46</v>
      </c>
      <c r="I90" t="n">
        <v>46</v>
      </c>
      <c r="J90" t="n">
        <v>46</v>
      </c>
      <c r="K90" t="n">
        <v>46</v>
      </c>
      <c r="L90" t="n">
        <v>46</v>
      </c>
      <c r="M90" t="n">
        <v>46</v>
      </c>
      <c r="N90" t="n">
        <v>46</v>
      </c>
      <c r="O90" t="n">
        <v>46</v>
      </c>
      <c r="P90" t="n">
        <v>46</v>
      </c>
      <c r="Q90" t="n">
        <v>46</v>
      </c>
      <c r="R90" t="n">
        <v>46</v>
      </c>
      <c r="S90" t="n">
        <v>46</v>
      </c>
      <c r="T90" t="n">
        <v>46</v>
      </c>
      <c r="U90" t="n">
        <v>46</v>
      </c>
      <c r="V90" t="n">
        <v>46</v>
      </c>
      <c r="W90" t="n">
        <v>46</v>
      </c>
      <c r="X90" t="n">
        <v>47</v>
      </c>
      <c r="Y90" t="n">
        <v>47</v>
      </c>
      <c r="Z90" t="n">
        <v>46</v>
      </c>
      <c r="AA90" t="n">
        <v>46</v>
      </c>
      <c r="AB90" t="n">
        <v>46</v>
      </c>
      <c r="AC90" t="n">
        <v>46</v>
      </c>
      <c r="AD90" t="n">
        <v>46</v>
      </c>
      <c r="AE90" t="n">
        <v>46</v>
      </c>
      <c r="AF90" t="n">
        <v>46</v>
      </c>
      <c r="AG90" t="n">
        <v>46</v>
      </c>
      <c r="AH90" t="n">
        <v>46</v>
      </c>
      <c r="AI90" t="n">
        <v>46</v>
      </c>
      <c r="AJ90" t="n">
        <v>46</v>
      </c>
      <c r="AK90" t="n">
        <v>46</v>
      </c>
      <c r="AL90" t="n">
        <v>46</v>
      </c>
      <c r="AM90" t="n">
        <v>46</v>
      </c>
      <c r="AN90" t="n">
        <v>46</v>
      </c>
      <c r="AO90" t="n">
        <v>46</v>
      </c>
      <c r="AP90" t="n">
        <v>46</v>
      </c>
      <c r="AQ90" t="n">
        <v>46</v>
      </c>
      <c r="AR90" t="n">
        <v>46</v>
      </c>
      <c r="AS90" t="n">
        <v>46</v>
      </c>
      <c r="AT90" t="n">
        <v>46</v>
      </c>
      <c r="AU90" t="n">
        <v>46</v>
      </c>
      <c r="AV90" t="n">
        <v>46</v>
      </c>
      <c r="AW90" t="n">
        <v>46</v>
      </c>
      <c r="AX90" t="n">
        <v>46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</row>
    <row r="92">
      <c r="A92" t="inlineStr">
        <is>
          <t>PLTA JATIGEDE #1</t>
        </is>
      </c>
      <c r="B92" t="n">
        <v>55</v>
      </c>
      <c r="C92" t="n">
        <v>45</v>
      </c>
      <c r="D92" t="n">
        <v>45</v>
      </c>
      <c r="E92" t="n">
        <v>45</v>
      </c>
      <c r="F92" t="n">
        <v>45</v>
      </c>
      <c r="G92" t="n">
        <v>45</v>
      </c>
      <c r="H92" t="n">
        <v>45</v>
      </c>
      <c r="I92" t="n">
        <v>45</v>
      </c>
      <c r="J92" t="n">
        <v>45</v>
      </c>
      <c r="K92" t="n">
        <v>45</v>
      </c>
      <c r="L92" t="n">
        <v>45</v>
      </c>
      <c r="M92" t="n">
        <v>45</v>
      </c>
      <c r="N92" t="n">
        <v>45</v>
      </c>
      <c r="O92" t="n">
        <v>45</v>
      </c>
      <c r="P92" t="n">
        <v>45</v>
      </c>
      <c r="Q92" t="n">
        <v>45</v>
      </c>
      <c r="R92" t="n">
        <v>45</v>
      </c>
      <c r="S92" t="n">
        <v>45</v>
      </c>
      <c r="T92" t="n">
        <v>45</v>
      </c>
      <c r="U92" t="n">
        <v>45</v>
      </c>
      <c r="V92" t="n">
        <v>45</v>
      </c>
      <c r="W92" t="n">
        <v>45</v>
      </c>
      <c r="X92" t="n">
        <v>45</v>
      </c>
      <c r="Y92" t="n">
        <v>45</v>
      </c>
      <c r="Z92" t="n">
        <v>45</v>
      </c>
      <c r="AA92" t="n">
        <v>45</v>
      </c>
      <c r="AB92" t="n">
        <v>45</v>
      </c>
      <c r="AC92" t="n">
        <v>45</v>
      </c>
      <c r="AD92" t="n">
        <v>45</v>
      </c>
      <c r="AE92" t="n">
        <v>45</v>
      </c>
      <c r="AF92" t="n">
        <v>45</v>
      </c>
      <c r="AG92" t="n">
        <v>45</v>
      </c>
      <c r="AH92" t="n">
        <v>52</v>
      </c>
      <c r="AI92" t="n">
        <v>52</v>
      </c>
      <c r="AJ92" t="n">
        <v>52</v>
      </c>
      <c r="AK92" t="n">
        <v>52</v>
      </c>
      <c r="AL92" t="n">
        <v>52</v>
      </c>
      <c r="AM92" t="n">
        <v>52</v>
      </c>
      <c r="AN92" t="n">
        <v>52</v>
      </c>
      <c r="AO92" t="n">
        <v>52</v>
      </c>
      <c r="AP92" t="n">
        <v>52</v>
      </c>
      <c r="AQ92" t="n">
        <v>52</v>
      </c>
      <c r="AR92" t="n">
        <v>45</v>
      </c>
      <c r="AS92" t="n">
        <v>45</v>
      </c>
      <c r="AT92" t="n">
        <v>45</v>
      </c>
      <c r="AU92" t="n">
        <v>45</v>
      </c>
      <c r="AV92" t="n">
        <v>45</v>
      </c>
      <c r="AW92" t="n">
        <v>45</v>
      </c>
      <c r="AX92" t="n">
        <v>45</v>
      </c>
    </row>
    <row r="93">
      <c r="A93" t="inlineStr">
        <is>
          <t>PLTA JATIGEDE #2</t>
        </is>
      </c>
      <c r="B93" t="n">
        <v>55</v>
      </c>
      <c r="C93" t="n">
        <v>45</v>
      </c>
      <c r="D93" t="n">
        <v>45</v>
      </c>
      <c r="E93" t="n">
        <v>45</v>
      </c>
      <c r="F93" t="n">
        <v>45</v>
      </c>
      <c r="G93" t="n">
        <v>45</v>
      </c>
      <c r="H93" t="n">
        <v>45</v>
      </c>
      <c r="I93" t="n">
        <v>45</v>
      </c>
      <c r="J93" t="n">
        <v>45</v>
      </c>
      <c r="K93" t="n">
        <v>45</v>
      </c>
      <c r="L93" t="n">
        <v>45</v>
      </c>
      <c r="M93" t="n">
        <v>45</v>
      </c>
      <c r="N93" t="n">
        <v>45</v>
      </c>
      <c r="O93" t="n">
        <v>45</v>
      </c>
      <c r="P93" t="n">
        <v>45</v>
      </c>
      <c r="Q93" t="n">
        <v>45</v>
      </c>
      <c r="R93" t="n">
        <v>45</v>
      </c>
      <c r="S93" t="n">
        <v>45</v>
      </c>
      <c r="T93" t="n">
        <v>45</v>
      </c>
      <c r="U93" t="n">
        <v>45</v>
      </c>
      <c r="V93" t="n">
        <v>45</v>
      </c>
      <c r="W93" t="n">
        <v>45</v>
      </c>
      <c r="X93" t="n">
        <v>45</v>
      </c>
      <c r="Y93" t="n">
        <v>45</v>
      </c>
      <c r="Z93" t="n">
        <v>45</v>
      </c>
      <c r="AA93" t="n">
        <v>45</v>
      </c>
      <c r="AB93" t="n">
        <v>45</v>
      </c>
      <c r="AC93" t="n">
        <v>45</v>
      </c>
      <c r="AD93" t="n">
        <v>45</v>
      </c>
      <c r="AE93" t="n">
        <v>45</v>
      </c>
      <c r="AF93" t="n">
        <v>45</v>
      </c>
      <c r="AG93" t="n">
        <v>45</v>
      </c>
      <c r="AH93" t="n">
        <v>52</v>
      </c>
      <c r="AI93" t="n">
        <v>52</v>
      </c>
      <c r="AJ93" t="n">
        <v>52</v>
      </c>
      <c r="AK93" t="n">
        <v>52</v>
      </c>
      <c r="AL93" t="n">
        <v>52</v>
      </c>
      <c r="AM93" t="n">
        <v>52</v>
      </c>
      <c r="AN93" t="n">
        <v>52</v>
      </c>
      <c r="AO93" t="n">
        <v>52</v>
      </c>
      <c r="AP93" t="n">
        <v>52</v>
      </c>
      <c r="AQ93" t="n">
        <v>52</v>
      </c>
      <c r="AR93" t="n">
        <v>45</v>
      </c>
      <c r="AS93" t="n">
        <v>45</v>
      </c>
      <c r="AT93" t="n">
        <v>45</v>
      </c>
      <c r="AU93" t="n">
        <v>45</v>
      </c>
      <c r="AV93" t="n">
        <v>45</v>
      </c>
      <c r="AW93" t="n">
        <v>45</v>
      </c>
      <c r="AX93" t="n">
        <v>45</v>
      </c>
    </row>
    <row r="94">
      <c r="A94" t="inlineStr"/>
      <c r="B94" t="inlineStr"/>
      <c r="C94" t="inlineStr">
        <is>
          <t>PT. PEMBANGKITAN JAWA-BALI</t>
        </is>
      </c>
      <c r="D94" t="inlineStr">
        <is>
          <t>PT. PEMBANGKITAN JAWA-BALI</t>
        </is>
      </c>
      <c r="E94" t="inlineStr">
        <is>
          <t>PT. PEMBANGKITAN JAWA-BALI</t>
        </is>
      </c>
      <c r="F94" t="inlineStr">
        <is>
          <t>PT. PEMBANGKITAN JAWA-BALI</t>
        </is>
      </c>
      <c r="G94" t="inlineStr">
        <is>
          <t>PT. PEMBANGKITAN JAWA-BALI</t>
        </is>
      </c>
      <c r="H94" t="inlineStr">
        <is>
          <t>PT. PEMBANGKITAN JAWA-BALI</t>
        </is>
      </c>
      <c r="I94" t="inlineStr">
        <is>
          <t>PT. PEMBANGKITAN JAWA-BALI</t>
        </is>
      </c>
      <c r="J94" t="inlineStr">
        <is>
          <t>PT. PEMBANGKITAN JAWA-BALI</t>
        </is>
      </c>
      <c r="K94" t="inlineStr">
        <is>
          <t>PT. PEMBANGKITAN JAWA-BALI</t>
        </is>
      </c>
      <c r="L94" t="inlineStr">
        <is>
          <t>PT. PEMBANGKITAN JAWA-BALI</t>
        </is>
      </c>
      <c r="M94" t="inlineStr">
        <is>
          <t>PT. PEMBANGKITAN JAWA-BALI</t>
        </is>
      </c>
      <c r="N94" t="inlineStr">
        <is>
          <t>PT. PEMBANGKITAN JAWA-BALI</t>
        </is>
      </c>
      <c r="O94" t="inlineStr">
        <is>
          <t>PT. PEMBANGKITAN JAWA-BALI</t>
        </is>
      </c>
      <c r="P94" t="inlineStr">
        <is>
          <t>PT. PEMBANGKITAN JAWA-BALI</t>
        </is>
      </c>
      <c r="Q94" t="inlineStr">
        <is>
          <t>PT. PEMBANGKITAN JAWA-BALI</t>
        </is>
      </c>
      <c r="R94" t="inlineStr">
        <is>
          <t>PT. PEMBANGKITAN JAWA-BALI</t>
        </is>
      </c>
      <c r="S94" t="inlineStr">
        <is>
          <t>PT. PEMBANGKITAN JAWA-BALI</t>
        </is>
      </c>
      <c r="T94" t="inlineStr">
        <is>
          <t>PT. PEMBANGKITAN JAWA-BALI</t>
        </is>
      </c>
      <c r="U94" t="inlineStr">
        <is>
          <t>PT. PEMBANGKITAN JAWA-BALI</t>
        </is>
      </c>
      <c r="V94" t="inlineStr">
        <is>
          <t>PT. PEMBANGKITAN JAWA-BALI</t>
        </is>
      </c>
      <c r="W94" t="inlineStr">
        <is>
          <t>PT. PEMBANGKITAN JAWA-BALI</t>
        </is>
      </c>
      <c r="X94" t="inlineStr">
        <is>
          <t>PT. PEMBANGKITAN JAWA-BALI</t>
        </is>
      </c>
      <c r="Y94" t="inlineStr">
        <is>
          <t>PT. PEMBANGKITAN JAWA-BALI</t>
        </is>
      </c>
      <c r="Z94" t="inlineStr">
        <is>
          <t>PT. PEMBANGKITAN JAWA-BALI</t>
        </is>
      </c>
      <c r="AA94" t="inlineStr">
        <is>
          <t>PT. PEMBANGKITAN JAWA-BALI</t>
        </is>
      </c>
      <c r="AB94" t="inlineStr">
        <is>
          <t>PT. PEMBANGKITAN JAWA-BALI</t>
        </is>
      </c>
      <c r="AC94" t="inlineStr">
        <is>
          <t>PT. PEMBANGKITAN JAWA-BALI</t>
        </is>
      </c>
      <c r="AD94" t="inlineStr">
        <is>
          <t>PT. PEMBANGKITAN JAWA-BALI</t>
        </is>
      </c>
      <c r="AE94" t="inlineStr">
        <is>
          <t>PT. PEMBANGKITAN JAWA-BALI</t>
        </is>
      </c>
      <c r="AF94" t="inlineStr">
        <is>
          <t>PT. PEMBANGKITAN JAWA-BALI</t>
        </is>
      </c>
      <c r="AG94" t="inlineStr">
        <is>
          <t>PT. PEMBANGKITAN JAWA-BALI</t>
        </is>
      </c>
      <c r="AH94" t="inlineStr">
        <is>
          <t>PT. PEMBANGKITAN JAWA-BALI</t>
        </is>
      </c>
      <c r="AI94" t="inlineStr">
        <is>
          <t>PT. PEMBANGKITAN JAWA-BALI</t>
        </is>
      </c>
      <c r="AJ94" t="inlineStr">
        <is>
          <t>PT. PEMBANGKITAN JAWA-BALI</t>
        </is>
      </c>
      <c r="AK94" t="inlineStr">
        <is>
          <t>PT. PEMBANGKITAN JAWA-BALI</t>
        </is>
      </c>
      <c r="AL94" t="inlineStr">
        <is>
          <t>PT. PEMBANGKITAN JAWA-BALI</t>
        </is>
      </c>
      <c r="AM94" t="inlineStr">
        <is>
          <t>PT. PEMBANGKITAN JAWA-BALI</t>
        </is>
      </c>
      <c r="AN94" t="inlineStr">
        <is>
          <t>PT. PEMBANGKITAN JAWA-BALI</t>
        </is>
      </c>
      <c r="AO94" t="inlineStr">
        <is>
          <t>PT. PEMBANGKITAN JAWA-BALI</t>
        </is>
      </c>
      <c r="AP94" t="inlineStr">
        <is>
          <t>PT. PEMBANGKITAN JAWA-BALI</t>
        </is>
      </c>
      <c r="AQ94" t="inlineStr">
        <is>
          <t>PT. PEMBANGKITAN JAWA-BALI</t>
        </is>
      </c>
      <c r="AR94" t="inlineStr">
        <is>
          <t>PT. PEMBANGKITAN JAWA-BALI</t>
        </is>
      </c>
      <c r="AS94" t="inlineStr">
        <is>
          <t>PT. PEMBANGKITAN JAWA-BALI</t>
        </is>
      </c>
      <c r="AT94" t="inlineStr">
        <is>
          <t>PT. PEMBANGKITAN JAWA-BALI</t>
        </is>
      </c>
      <c r="AU94" t="inlineStr">
        <is>
          <t>PT. PEMBANGKITAN JAWA-BALI</t>
        </is>
      </c>
      <c r="AV94" t="inlineStr">
        <is>
          <t>PT. PEMBANGKITAN JAWA-BALI</t>
        </is>
      </c>
      <c r="AW94" t="inlineStr">
        <is>
          <t>PT. PEMBANGKITAN JAWA-BALI</t>
        </is>
      </c>
      <c r="AX94" t="inlineStr">
        <is>
          <t>PT. PEMBANGKITAN JAWA-BALI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</row>
    <row r="96">
      <c r="A96" t="inlineStr">
        <is>
          <t>PLTGU MTWAR #1</t>
        </is>
      </c>
      <c r="B96" t="inlineStr"/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44</v>
      </c>
      <c r="AI96" t="n">
        <v>88</v>
      </c>
      <c r="AJ96" t="n">
        <v>88</v>
      </c>
      <c r="AK96" t="n">
        <v>88</v>
      </c>
      <c r="AL96" t="n">
        <v>88</v>
      </c>
      <c r="AM96" t="n">
        <v>88</v>
      </c>
      <c r="AN96" t="n">
        <v>88</v>
      </c>
      <c r="AO96" t="n">
        <v>88</v>
      </c>
      <c r="AP96" t="n">
        <v>88</v>
      </c>
      <c r="AQ96" t="n">
        <v>88</v>
      </c>
      <c r="AR96" t="n">
        <v>88</v>
      </c>
      <c r="AS96" t="n">
        <v>30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inlineStr">
        <is>
          <t>PLTGU MTWAR #2 .0</t>
        </is>
      </c>
      <c r="B97" t="n">
        <v>144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inlineStr">
        <is>
          <t>PLTGU MTWAR #2 .1</t>
        </is>
      </c>
      <c r="B98" t="n">
        <v>137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inlineStr">
        <is>
          <t>PLTGU MTWAR #2 .2</t>
        </is>
      </c>
      <c r="B99" t="n">
        <v>137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</row>
    <row r="101">
      <c r="A101" t="inlineStr">
        <is>
          <t>PLTA CRATA #1</t>
        </is>
      </c>
      <c r="B101" t="n">
        <v>123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96.56</v>
      </c>
      <c r="T101" t="n">
        <v>100</v>
      </c>
      <c r="U101" t="n">
        <v>100</v>
      </c>
      <c r="V101" t="n">
        <v>100</v>
      </c>
      <c r="W101" t="n">
        <v>100</v>
      </c>
      <c r="X101" t="n">
        <v>100</v>
      </c>
      <c r="Y101" t="n">
        <v>100</v>
      </c>
      <c r="Z101" t="n">
        <v>0</v>
      </c>
      <c r="AA101" t="n">
        <v>0</v>
      </c>
      <c r="AB101" t="n">
        <v>100</v>
      </c>
      <c r="AC101" t="n">
        <v>100</v>
      </c>
      <c r="AD101" t="n">
        <v>100</v>
      </c>
      <c r="AE101" t="n">
        <v>100</v>
      </c>
      <c r="AF101" t="n">
        <v>100</v>
      </c>
      <c r="AG101" t="n">
        <v>100</v>
      </c>
      <c r="AH101" t="n">
        <v>100</v>
      </c>
      <c r="AI101" t="n">
        <v>91.42</v>
      </c>
      <c r="AJ101" t="n">
        <v>113.99</v>
      </c>
      <c r="AK101" t="n">
        <v>100</v>
      </c>
      <c r="AL101" t="n">
        <v>100</v>
      </c>
      <c r="AM101" t="n">
        <v>100</v>
      </c>
      <c r="AN101" t="n">
        <v>100</v>
      </c>
      <c r="AO101" t="n">
        <v>100</v>
      </c>
      <c r="AP101" t="n">
        <v>100</v>
      </c>
      <c r="AQ101" t="n">
        <v>100</v>
      </c>
      <c r="AR101" t="n">
        <v>100</v>
      </c>
      <c r="AS101" t="n">
        <v>100</v>
      </c>
      <c r="AT101" t="n">
        <v>100</v>
      </c>
      <c r="AU101" t="n">
        <v>100</v>
      </c>
      <c r="AV101" t="n">
        <v>96.95999999999999</v>
      </c>
      <c r="AW101" t="n">
        <v>62.51</v>
      </c>
      <c r="AX101" t="n">
        <v>0</v>
      </c>
    </row>
    <row r="102">
      <c r="A102" t="inlineStr">
        <is>
          <t>PLTA CRATA #2</t>
        </is>
      </c>
      <c r="B102" t="n">
        <v>123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96.56</v>
      </c>
      <c r="T102" t="n">
        <v>100</v>
      </c>
      <c r="U102" t="n">
        <v>100</v>
      </c>
      <c r="V102" t="n">
        <v>0</v>
      </c>
      <c r="W102" t="n">
        <v>100</v>
      </c>
      <c r="X102" t="n">
        <v>100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100</v>
      </c>
      <c r="AE102" t="n">
        <v>100</v>
      </c>
      <c r="AF102" t="n">
        <v>100</v>
      </c>
      <c r="AG102" t="n">
        <v>100</v>
      </c>
      <c r="AH102" t="n">
        <v>100</v>
      </c>
      <c r="AI102" t="n">
        <v>91.42</v>
      </c>
      <c r="AJ102" t="n">
        <v>113.99</v>
      </c>
      <c r="AK102" t="n">
        <v>100</v>
      </c>
      <c r="AL102" t="n">
        <v>100</v>
      </c>
      <c r="AM102" t="n">
        <v>100</v>
      </c>
      <c r="AN102" t="n">
        <v>100</v>
      </c>
      <c r="AO102" t="n">
        <v>100</v>
      </c>
      <c r="AP102" t="n">
        <v>100</v>
      </c>
      <c r="AQ102" t="n">
        <v>100</v>
      </c>
      <c r="AR102" t="n">
        <v>100</v>
      </c>
      <c r="AS102" t="n">
        <v>100</v>
      </c>
      <c r="AT102" t="n">
        <v>100</v>
      </c>
      <c r="AU102" t="n">
        <v>100</v>
      </c>
      <c r="AV102" t="n">
        <v>96.95999999999999</v>
      </c>
      <c r="AW102" t="n">
        <v>62.51</v>
      </c>
      <c r="AX102" t="n">
        <v>0</v>
      </c>
    </row>
    <row r="103">
      <c r="A103" t="inlineStr">
        <is>
          <t>PLTA CRATA #3</t>
        </is>
      </c>
      <c r="B103" t="n">
        <v>123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100</v>
      </c>
      <c r="AD103" t="n">
        <v>100</v>
      </c>
      <c r="AE103" t="n">
        <v>100</v>
      </c>
      <c r="AF103" t="n">
        <v>100</v>
      </c>
      <c r="AG103" t="n">
        <v>100</v>
      </c>
      <c r="AH103" t="n">
        <v>100</v>
      </c>
      <c r="AI103" t="n">
        <v>91.42</v>
      </c>
      <c r="AJ103" t="n">
        <v>113.99</v>
      </c>
      <c r="AK103" t="n">
        <v>100</v>
      </c>
      <c r="AL103" t="n">
        <v>100</v>
      </c>
      <c r="AM103" t="n">
        <v>100</v>
      </c>
      <c r="AN103" t="n">
        <v>100</v>
      </c>
      <c r="AO103" t="n">
        <v>100</v>
      </c>
      <c r="AP103" t="n">
        <v>100</v>
      </c>
      <c r="AQ103" t="n">
        <v>100</v>
      </c>
      <c r="AR103" t="n">
        <v>100</v>
      </c>
      <c r="AS103" t="n">
        <v>100</v>
      </c>
      <c r="AT103" t="n">
        <v>100</v>
      </c>
      <c r="AU103" t="n">
        <v>100</v>
      </c>
      <c r="AV103" t="n">
        <v>96.95999999999999</v>
      </c>
      <c r="AW103" t="n">
        <v>0</v>
      </c>
      <c r="AX103" t="n">
        <v>0</v>
      </c>
    </row>
    <row r="104">
      <c r="A104" t="inlineStr">
        <is>
          <t>PLTA CRATA #4</t>
        </is>
      </c>
      <c r="B104" t="n">
        <v>123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100</v>
      </c>
      <c r="AE104" t="n">
        <v>100</v>
      </c>
      <c r="AF104" t="n">
        <v>100</v>
      </c>
      <c r="AG104" t="n">
        <v>100</v>
      </c>
      <c r="AH104" t="n">
        <v>100</v>
      </c>
      <c r="AI104" t="n">
        <v>91.42</v>
      </c>
      <c r="AJ104" t="n">
        <v>0</v>
      </c>
      <c r="AK104" t="n">
        <v>100</v>
      </c>
      <c r="AL104" t="n">
        <v>100</v>
      </c>
      <c r="AM104" t="n">
        <v>100</v>
      </c>
      <c r="AN104" t="n">
        <v>100</v>
      </c>
      <c r="AO104" t="n">
        <v>100</v>
      </c>
      <c r="AP104" t="n">
        <v>100</v>
      </c>
      <c r="AQ104" t="n">
        <v>100</v>
      </c>
      <c r="AR104" t="n">
        <v>100</v>
      </c>
      <c r="AS104" t="n">
        <v>100</v>
      </c>
      <c r="AT104" t="n">
        <v>100</v>
      </c>
      <c r="AU104" t="n">
        <v>100</v>
      </c>
      <c r="AV104" t="n">
        <v>0</v>
      </c>
      <c r="AW104" t="n">
        <v>0</v>
      </c>
      <c r="AX104" t="n">
        <v>0</v>
      </c>
    </row>
    <row r="105">
      <c r="A105" t="inlineStr">
        <is>
          <t>PLTA CRATA #5</t>
        </is>
      </c>
      <c r="B105" t="n">
        <v>123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100</v>
      </c>
      <c r="AL105" t="n">
        <v>100</v>
      </c>
      <c r="AM105" t="n">
        <v>100</v>
      </c>
      <c r="AN105" t="n">
        <v>100</v>
      </c>
      <c r="AO105" t="n">
        <v>100</v>
      </c>
      <c r="AP105" t="n">
        <v>100</v>
      </c>
      <c r="AQ105" t="n">
        <v>100</v>
      </c>
      <c r="AR105" t="n">
        <v>100</v>
      </c>
      <c r="AS105" t="n">
        <v>100</v>
      </c>
      <c r="AT105" t="n">
        <v>100</v>
      </c>
      <c r="AU105" t="n">
        <v>100</v>
      </c>
      <c r="AV105" t="n">
        <v>0</v>
      </c>
      <c r="AW105" t="n">
        <v>0</v>
      </c>
      <c r="AX105" t="n">
        <v>0</v>
      </c>
    </row>
    <row r="106">
      <c r="A106" t="inlineStr">
        <is>
          <t>PLTA CRATA #6</t>
        </is>
      </c>
      <c r="B106" t="n">
        <v>123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inlineStr">
        <is>
          <t>PLTA CRATA #7</t>
        </is>
      </c>
      <c r="B107" t="n">
        <v>123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inlineStr">
        <is>
          <t>PLTA CRATA #8</t>
        </is>
      </c>
      <c r="B108" t="n">
        <v>123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</row>
    <row r="110">
      <c r="A110" t="inlineStr">
        <is>
          <t>PLTGU MRTWR #3 .0</t>
        </is>
      </c>
      <c r="B110" t="n">
        <v>239.55</v>
      </c>
      <c r="C110" t="n">
        <v>57.14</v>
      </c>
      <c r="D110" t="n">
        <v>57.14</v>
      </c>
      <c r="E110" t="n">
        <v>57.14</v>
      </c>
      <c r="F110" t="n">
        <v>57.14</v>
      </c>
      <c r="G110" t="n">
        <v>57.14</v>
      </c>
      <c r="H110" t="n">
        <v>57.14</v>
      </c>
      <c r="I110" t="n">
        <v>57.14</v>
      </c>
      <c r="J110" t="n">
        <v>57.14</v>
      </c>
      <c r="K110" t="n">
        <v>57.14</v>
      </c>
      <c r="L110" t="n">
        <v>57.14</v>
      </c>
      <c r="M110" t="n">
        <v>57.14</v>
      </c>
      <c r="N110" t="n">
        <v>57.14</v>
      </c>
      <c r="O110" t="n">
        <v>57.14</v>
      </c>
      <c r="P110" t="n">
        <v>57.14</v>
      </c>
      <c r="Q110" t="n">
        <v>57.14</v>
      </c>
      <c r="R110" t="n">
        <v>57.14</v>
      </c>
      <c r="S110" t="n">
        <v>57.14</v>
      </c>
      <c r="T110" t="n">
        <v>57.14</v>
      </c>
      <c r="U110" t="n">
        <v>57.14</v>
      </c>
      <c r="V110" t="n">
        <v>114.29</v>
      </c>
      <c r="W110" t="n">
        <v>114.29</v>
      </c>
      <c r="X110" t="n">
        <v>114.29</v>
      </c>
      <c r="Y110" t="n">
        <v>114.29</v>
      </c>
      <c r="Z110" t="n">
        <v>114.29</v>
      </c>
      <c r="AA110" t="n">
        <v>114.29</v>
      </c>
      <c r="AB110" t="n">
        <v>114.29</v>
      </c>
      <c r="AC110" t="n">
        <v>136.77</v>
      </c>
      <c r="AD110" t="n">
        <v>136.77</v>
      </c>
      <c r="AE110" t="n">
        <v>136.77</v>
      </c>
      <c r="AF110" t="n">
        <v>136.77</v>
      </c>
      <c r="AG110" t="n">
        <v>136.77</v>
      </c>
      <c r="AH110" t="n">
        <v>136.77</v>
      </c>
      <c r="AI110" t="n">
        <v>171.43</v>
      </c>
      <c r="AJ110" t="n">
        <v>171.43</v>
      </c>
      <c r="AK110" t="n">
        <v>193.91</v>
      </c>
      <c r="AL110" t="n">
        <v>201.35</v>
      </c>
      <c r="AM110" t="n">
        <v>194.29</v>
      </c>
      <c r="AN110" t="n">
        <v>193.91</v>
      </c>
      <c r="AO110" t="n">
        <v>193.91</v>
      </c>
      <c r="AP110" t="n">
        <v>193.91</v>
      </c>
      <c r="AQ110" t="n">
        <v>193.91</v>
      </c>
      <c r="AR110" t="n">
        <v>193.91</v>
      </c>
      <c r="AS110" t="n">
        <v>193.91</v>
      </c>
      <c r="AT110" t="n">
        <v>136.77</v>
      </c>
      <c r="AU110" t="n">
        <v>79.62</v>
      </c>
      <c r="AV110" t="n">
        <v>60.09</v>
      </c>
      <c r="AW110" t="n">
        <v>57.14</v>
      </c>
      <c r="AX110" t="n">
        <v>76.87</v>
      </c>
    </row>
    <row r="111">
      <c r="A111" t="inlineStr">
        <is>
          <t>PLTGU MRTWR #3 .1</t>
        </is>
      </c>
      <c r="B111" t="n">
        <v>140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100</v>
      </c>
      <c r="AK111" t="n">
        <v>100</v>
      </c>
      <c r="AL111" t="n">
        <v>106.18</v>
      </c>
      <c r="AM111" t="n">
        <v>100</v>
      </c>
      <c r="AN111" t="n">
        <v>100</v>
      </c>
      <c r="AO111" t="n">
        <v>100</v>
      </c>
      <c r="AP111" t="n">
        <v>100</v>
      </c>
      <c r="AQ111" t="n">
        <v>100</v>
      </c>
      <c r="AR111" t="n">
        <v>100</v>
      </c>
      <c r="AS111" t="n">
        <v>100</v>
      </c>
      <c r="AT111" t="n">
        <v>100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inlineStr">
        <is>
          <t>PLTGU MRTWR #3 .2</t>
        </is>
      </c>
      <c r="B112" t="n">
        <v>140</v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  <c r="H112" t="n">
        <v>100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139.34</v>
      </c>
      <c r="AD112" t="n">
        <v>139.34</v>
      </c>
      <c r="AE112" t="n">
        <v>139.34</v>
      </c>
      <c r="AF112" t="n">
        <v>139.34</v>
      </c>
      <c r="AG112" t="n">
        <v>139.34</v>
      </c>
      <c r="AH112" t="n">
        <v>139.34</v>
      </c>
      <c r="AI112" t="n">
        <v>100</v>
      </c>
      <c r="AJ112" t="n">
        <v>100</v>
      </c>
      <c r="AK112" t="n">
        <v>139.34</v>
      </c>
      <c r="AL112" t="n">
        <v>140</v>
      </c>
      <c r="AM112" t="n">
        <v>140</v>
      </c>
      <c r="AN112" t="n">
        <v>139.34</v>
      </c>
      <c r="AO112" t="n">
        <v>139.34</v>
      </c>
      <c r="AP112" t="n">
        <v>139.34</v>
      </c>
      <c r="AQ112" t="n">
        <v>139.34</v>
      </c>
      <c r="AR112" t="n">
        <v>139.34</v>
      </c>
      <c r="AS112" t="n">
        <v>139.34</v>
      </c>
      <c r="AT112" t="n">
        <v>139.34</v>
      </c>
      <c r="AU112" t="n">
        <v>139.34</v>
      </c>
      <c r="AV112" t="n">
        <v>105.15</v>
      </c>
      <c r="AW112" t="n">
        <v>100</v>
      </c>
      <c r="AX112" t="n">
        <v>134.52</v>
      </c>
    </row>
    <row r="113">
      <c r="A113" t="inlineStr">
        <is>
          <t>PLTGU MRTWR #3 .3</t>
        </is>
      </c>
      <c r="B113" t="n">
        <v>140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100</v>
      </c>
      <c r="X113" t="n">
        <v>100</v>
      </c>
      <c r="Y113" t="n">
        <v>100</v>
      </c>
      <c r="Z113" t="n">
        <v>100</v>
      </c>
      <c r="AA113" t="n">
        <v>100</v>
      </c>
      <c r="AB113" t="n">
        <v>100</v>
      </c>
      <c r="AC113" t="n">
        <v>100</v>
      </c>
      <c r="AD113" t="n">
        <v>100</v>
      </c>
      <c r="AE113" t="n">
        <v>100</v>
      </c>
      <c r="AF113" t="n">
        <v>100</v>
      </c>
      <c r="AG113" t="n">
        <v>100</v>
      </c>
      <c r="AH113" t="n">
        <v>100</v>
      </c>
      <c r="AI113" t="n">
        <v>100</v>
      </c>
      <c r="AJ113" t="n">
        <v>100</v>
      </c>
      <c r="AK113" t="n">
        <v>100</v>
      </c>
      <c r="AL113" t="n">
        <v>106.18</v>
      </c>
      <c r="AM113" t="n">
        <v>100</v>
      </c>
      <c r="AN113" t="n">
        <v>100</v>
      </c>
      <c r="AO113" t="n">
        <v>100</v>
      </c>
      <c r="AP113" t="n">
        <v>100</v>
      </c>
      <c r="AQ113" t="n">
        <v>100</v>
      </c>
      <c r="AR113" t="n">
        <v>100</v>
      </c>
      <c r="AS113" t="n">
        <v>100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inlineStr">
        <is>
          <t>PLTGU MRTWR #4 .0</t>
        </is>
      </c>
      <c r="B114" t="n">
        <v>232.79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inlineStr">
        <is>
          <t>PLTGU MRTWR #4 .1</t>
        </is>
      </c>
      <c r="B115" t="n">
        <v>140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inlineStr">
        <is>
          <t>PLTGU MRTWR #4 .2</t>
        </is>
      </c>
      <c r="B116" t="n">
        <v>140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inlineStr">
        <is>
          <t>PLTGU MRTWR #4 .3</t>
        </is>
      </c>
      <c r="B117" t="n">
        <v>140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</row>
    <row r="119">
      <c r="A119" t="inlineStr">
        <is>
          <t>PLTGU MTWAR #5 .0</t>
        </is>
      </c>
      <c r="B119" t="n">
        <v>71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inlineStr">
        <is>
          <t>PLTGU MTWAR #5 .1</t>
        </is>
      </c>
      <c r="B120" t="n">
        <v>143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</row>
    <row r="122">
      <c r="A122" t="inlineStr">
        <is>
          <t>PLTU INDRAMAYU #1</t>
        </is>
      </c>
      <c r="B122" t="n">
        <v>290</v>
      </c>
      <c r="C122" t="n">
        <v>180</v>
      </c>
      <c r="D122" t="n">
        <v>180</v>
      </c>
      <c r="E122" t="n">
        <v>180</v>
      </c>
      <c r="F122" t="n">
        <v>180</v>
      </c>
      <c r="G122" t="n">
        <v>180</v>
      </c>
      <c r="H122" t="n">
        <v>180</v>
      </c>
      <c r="I122" t="n">
        <v>180</v>
      </c>
      <c r="J122" t="n">
        <v>180</v>
      </c>
      <c r="K122" t="n">
        <v>180</v>
      </c>
      <c r="L122" t="n">
        <v>200</v>
      </c>
      <c r="M122" t="n">
        <v>200</v>
      </c>
      <c r="N122" t="n">
        <v>200</v>
      </c>
      <c r="O122" t="n">
        <v>200</v>
      </c>
      <c r="P122" t="n">
        <v>200</v>
      </c>
      <c r="Q122" t="n">
        <v>230</v>
      </c>
      <c r="R122" t="n">
        <v>250</v>
      </c>
      <c r="S122" t="n">
        <v>270</v>
      </c>
      <c r="T122" t="n">
        <v>290</v>
      </c>
      <c r="U122" t="n">
        <v>290</v>
      </c>
      <c r="V122" t="n">
        <v>290</v>
      </c>
      <c r="W122" t="n">
        <v>290</v>
      </c>
      <c r="X122" t="n">
        <v>290</v>
      </c>
      <c r="Y122" t="n">
        <v>290</v>
      </c>
      <c r="Z122" t="n">
        <v>290</v>
      </c>
      <c r="AA122" t="n">
        <v>290</v>
      </c>
      <c r="AB122" t="n">
        <v>290</v>
      </c>
      <c r="AC122" t="n">
        <v>290</v>
      </c>
      <c r="AD122" t="n">
        <v>290</v>
      </c>
      <c r="AE122" t="n">
        <v>290</v>
      </c>
      <c r="AF122" t="n">
        <v>290</v>
      </c>
      <c r="AG122" t="n">
        <v>290</v>
      </c>
      <c r="AH122" t="n">
        <v>290</v>
      </c>
      <c r="AI122" t="n">
        <v>290</v>
      </c>
      <c r="AJ122" t="n">
        <v>290</v>
      </c>
      <c r="AK122" t="n">
        <v>290</v>
      </c>
      <c r="AL122" t="n">
        <v>290</v>
      </c>
      <c r="AM122" t="n">
        <v>290</v>
      </c>
      <c r="AN122" t="n">
        <v>290</v>
      </c>
      <c r="AO122" t="n">
        <v>290</v>
      </c>
      <c r="AP122" t="n">
        <v>290</v>
      </c>
      <c r="AQ122" t="n">
        <v>290</v>
      </c>
      <c r="AR122" t="n">
        <v>290</v>
      </c>
      <c r="AS122" t="n">
        <v>290</v>
      </c>
      <c r="AT122" t="n">
        <v>290</v>
      </c>
      <c r="AU122" t="n">
        <v>290</v>
      </c>
      <c r="AV122" t="n">
        <v>290</v>
      </c>
      <c r="AW122" t="n">
        <v>290</v>
      </c>
      <c r="AX122" t="n">
        <v>290</v>
      </c>
    </row>
    <row r="123">
      <c r="A123" t="inlineStr">
        <is>
          <t>PLTU INDRAMAYU #2</t>
        </is>
      </c>
      <c r="B123" t="n">
        <v>290</v>
      </c>
      <c r="C123" t="n">
        <v>180</v>
      </c>
      <c r="D123" t="n">
        <v>180</v>
      </c>
      <c r="E123" t="n">
        <v>180</v>
      </c>
      <c r="F123" t="n">
        <v>180</v>
      </c>
      <c r="G123" t="n">
        <v>180</v>
      </c>
      <c r="H123" t="n">
        <v>180</v>
      </c>
      <c r="I123" t="n">
        <v>180</v>
      </c>
      <c r="J123" t="n">
        <v>180</v>
      </c>
      <c r="K123" t="n">
        <v>180</v>
      </c>
      <c r="L123" t="n">
        <v>200</v>
      </c>
      <c r="M123" t="n">
        <v>200</v>
      </c>
      <c r="N123" t="n">
        <v>200</v>
      </c>
      <c r="O123" t="n">
        <v>200</v>
      </c>
      <c r="P123" t="n">
        <v>200</v>
      </c>
      <c r="Q123" t="n">
        <v>230</v>
      </c>
      <c r="R123" t="n">
        <v>250</v>
      </c>
      <c r="S123" t="n">
        <v>270</v>
      </c>
      <c r="T123" t="n">
        <v>290</v>
      </c>
      <c r="U123" t="n">
        <v>290</v>
      </c>
      <c r="V123" t="n">
        <v>290</v>
      </c>
      <c r="W123" t="n">
        <v>290</v>
      </c>
      <c r="X123" t="n">
        <v>290</v>
      </c>
      <c r="Y123" t="n">
        <v>290</v>
      </c>
      <c r="Z123" t="n">
        <v>290</v>
      </c>
      <c r="AA123" t="n">
        <v>290</v>
      </c>
      <c r="AB123" t="n">
        <v>290</v>
      </c>
      <c r="AC123" t="n">
        <v>290</v>
      </c>
      <c r="AD123" t="n">
        <v>290</v>
      </c>
      <c r="AE123" t="n">
        <v>290</v>
      </c>
      <c r="AF123" t="n">
        <v>290</v>
      </c>
      <c r="AG123" t="n">
        <v>290</v>
      </c>
      <c r="AH123" t="n">
        <v>290</v>
      </c>
      <c r="AI123" t="n">
        <v>290</v>
      </c>
      <c r="AJ123" t="n">
        <v>290</v>
      </c>
      <c r="AK123" t="n">
        <v>290</v>
      </c>
      <c r="AL123" t="n">
        <v>290</v>
      </c>
      <c r="AM123" t="n">
        <v>290</v>
      </c>
      <c r="AN123" t="n">
        <v>290</v>
      </c>
      <c r="AO123" t="n">
        <v>290</v>
      </c>
      <c r="AP123" t="n">
        <v>290</v>
      </c>
      <c r="AQ123" t="n">
        <v>290</v>
      </c>
      <c r="AR123" t="n">
        <v>290</v>
      </c>
      <c r="AS123" t="n">
        <v>290</v>
      </c>
      <c r="AT123" t="n">
        <v>290</v>
      </c>
      <c r="AU123" t="n">
        <v>290</v>
      </c>
      <c r="AV123" t="n">
        <v>290</v>
      </c>
      <c r="AW123" t="n">
        <v>290</v>
      </c>
      <c r="AX123" t="n">
        <v>290</v>
      </c>
    </row>
    <row r="124">
      <c r="A124" t="inlineStr">
        <is>
          <t>PLTU INDRAMAYU #3</t>
        </is>
      </c>
      <c r="B124" t="n">
        <v>290</v>
      </c>
      <c r="C124" t="n">
        <v>180</v>
      </c>
      <c r="D124" t="n">
        <v>180</v>
      </c>
      <c r="E124" t="n">
        <v>180</v>
      </c>
      <c r="F124" t="n">
        <v>180</v>
      </c>
      <c r="G124" t="n">
        <v>180</v>
      </c>
      <c r="H124" t="n">
        <v>180</v>
      </c>
      <c r="I124" t="n">
        <v>180</v>
      </c>
      <c r="J124" t="n">
        <v>180</v>
      </c>
      <c r="K124" t="n">
        <v>180</v>
      </c>
      <c r="L124" t="n">
        <v>200</v>
      </c>
      <c r="M124" t="n">
        <v>200</v>
      </c>
      <c r="N124" t="n">
        <v>200</v>
      </c>
      <c r="O124" t="n">
        <v>200</v>
      </c>
      <c r="P124" t="n">
        <v>200</v>
      </c>
      <c r="Q124" t="n">
        <v>230</v>
      </c>
      <c r="R124" t="n">
        <v>250</v>
      </c>
      <c r="S124" t="n">
        <v>270</v>
      </c>
      <c r="T124" t="n">
        <v>290</v>
      </c>
      <c r="U124" t="n">
        <v>290</v>
      </c>
      <c r="V124" t="n">
        <v>290</v>
      </c>
      <c r="W124" t="n">
        <v>290</v>
      </c>
      <c r="X124" t="n">
        <v>290</v>
      </c>
      <c r="Y124" t="n">
        <v>290</v>
      </c>
      <c r="Z124" t="n">
        <v>290</v>
      </c>
      <c r="AA124" t="n">
        <v>290</v>
      </c>
      <c r="AB124" t="n">
        <v>290</v>
      </c>
      <c r="AC124" t="n">
        <v>290</v>
      </c>
      <c r="AD124" t="n">
        <v>290</v>
      </c>
      <c r="AE124" t="n">
        <v>290</v>
      </c>
      <c r="AF124" t="n">
        <v>290</v>
      </c>
      <c r="AG124" t="n">
        <v>290</v>
      </c>
      <c r="AH124" t="n">
        <v>290</v>
      </c>
      <c r="AI124" t="n">
        <v>290</v>
      </c>
      <c r="AJ124" t="n">
        <v>290</v>
      </c>
      <c r="AK124" t="n">
        <v>290</v>
      </c>
      <c r="AL124" t="n">
        <v>290</v>
      </c>
      <c r="AM124" t="n">
        <v>290</v>
      </c>
      <c r="AN124" t="n">
        <v>290</v>
      </c>
      <c r="AO124" t="n">
        <v>290</v>
      </c>
      <c r="AP124" t="n">
        <v>290</v>
      </c>
      <c r="AQ124" t="n">
        <v>290</v>
      </c>
      <c r="AR124" t="n">
        <v>290</v>
      </c>
      <c r="AS124" t="n">
        <v>290</v>
      </c>
      <c r="AT124" t="n">
        <v>290</v>
      </c>
      <c r="AU124" t="n">
        <v>290</v>
      </c>
      <c r="AV124" t="n">
        <v>290</v>
      </c>
      <c r="AW124" t="n">
        <v>290</v>
      </c>
      <c r="AX124" t="n">
        <v>290</v>
      </c>
    </row>
    <row r="125">
      <c r="A125" t="inlineStr"/>
      <c r="B125" t="inlineStr"/>
      <c r="C125" t="inlineStr">
        <is>
          <t>IPP</t>
        </is>
      </c>
      <c r="D125" t="inlineStr">
        <is>
          <t>IPP</t>
        </is>
      </c>
      <c r="E125" t="inlineStr">
        <is>
          <t>IPP</t>
        </is>
      </c>
      <c r="F125" t="inlineStr">
        <is>
          <t>IPP</t>
        </is>
      </c>
      <c r="G125" t="inlineStr">
        <is>
          <t>IPP</t>
        </is>
      </c>
      <c r="H125" t="inlineStr">
        <is>
          <t>IPP</t>
        </is>
      </c>
      <c r="I125" t="inlineStr">
        <is>
          <t>IPP</t>
        </is>
      </c>
      <c r="J125" t="inlineStr">
        <is>
          <t>IPP</t>
        </is>
      </c>
      <c r="K125" t="inlineStr">
        <is>
          <t>IPP</t>
        </is>
      </c>
      <c r="L125" t="inlineStr">
        <is>
          <t>IPP</t>
        </is>
      </c>
      <c r="M125" t="inlineStr">
        <is>
          <t>IPP</t>
        </is>
      </c>
      <c r="N125" t="inlineStr">
        <is>
          <t>IPP</t>
        </is>
      </c>
      <c r="O125" t="inlineStr">
        <is>
          <t>IPP</t>
        </is>
      </c>
      <c r="P125" t="inlineStr">
        <is>
          <t>IPP</t>
        </is>
      </c>
      <c r="Q125" t="inlineStr">
        <is>
          <t>IPP</t>
        </is>
      </c>
      <c r="R125" t="inlineStr">
        <is>
          <t>IPP</t>
        </is>
      </c>
      <c r="S125" t="inlineStr">
        <is>
          <t>IPP</t>
        </is>
      </c>
      <c r="T125" t="inlineStr">
        <is>
          <t>IPP</t>
        </is>
      </c>
      <c r="U125" t="inlineStr">
        <is>
          <t>IPP</t>
        </is>
      </c>
      <c r="V125" t="inlineStr">
        <is>
          <t>IPP</t>
        </is>
      </c>
      <c r="W125" t="inlineStr">
        <is>
          <t>IPP</t>
        </is>
      </c>
      <c r="X125" t="inlineStr">
        <is>
          <t>IPP</t>
        </is>
      </c>
      <c r="Y125" t="inlineStr">
        <is>
          <t>IPP</t>
        </is>
      </c>
      <c r="Z125" t="inlineStr">
        <is>
          <t>IPP</t>
        </is>
      </c>
      <c r="AA125" t="inlineStr">
        <is>
          <t>IPP</t>
        </is>
      </c>
      <c r="AB125" t="inlineStr">
        <is>
          <t>IPP</t>
        </is>
      </c>
      <c r="AC125" t="inlineStr">
        <is>
          <t>IPP</t>
        </is>
      </c>
      <c r="AD125" t="inlineStr">
        <is>
          <t>IPP</t>
        </is>
      </c>
      <c r="AE125" t="inlineStr">
        <is>
          <t>IPP</t>
        </is>
      </c>
      <c r="AF125" t="inlineStr">
        <is>
          <t>IPP</t>
        </is>
      </c>
      <c r="AG125" t="inlineStr">
        <is>
          <t>IPP</t>
        </is>
      </c>
      <c r="AH125" t="inlineStr">
        <is>
          <t>IPP</t>
        </is>
      </c>
      <c r="AI125" t="inlineStr">
        <is>
          <t>IPP</t>
        </is>
      </c>
      <c r="AJ125" t="inlineStr">
        <is>
          <t>IPP</t>
        </is>
      </c>
      <c r="AK125" t="inlineStr">
        <is>
          <t>IPP</t>
        </is>
      </c>
      <c r="AL125" t="inlineStr">
        <is>
          <t>IPP</t>
        </is>
      </c>
      <c r="AM125" t="inlineStr">
        <is>
          <t>IPP</t>
        </is>
      </c>
      <c r="AN125" t="inlineStr">
        <is>
          <t>IPP</t>
        </is>
      </c>
      <c r="AO125" t="inlineStr">
        <is>
          <t>IPP</t>
        </is>
      </c>
      <c r="AP125" t="inlineStr">
        <is>
          <t>IPP</t>
        </is>
      </c>
      <c r="AQ125" t="inlineStr">
        <is>
          <t>IPP</t>
        </is>
      </c>
      <c r="AR125" t="inlineStr">
        <is>
          <t>IPP</t>
        </is>
      </c>
      <c r="AS125" t="inlineStr">
        <is>
          <t>IPP</t>
        </is>
      </c>
      <c r="AT125" t="inlineStr">
        <is>
          <t>IPP</t>
        </is>
      </c>
      <c r="AU125" t="inlineStr">
        <is>
          <t>IPP</t>
        </is>
      </c>
      <c r="AV125" t="inlineStr">
        <is>
          <t>IPP</t>
        </is>
      </c>
      <c r="AW125" t="inlineStr">
        <is>
          <t>IPP</t>
        </is>
      </c>
      <c r="AX125" t="inlineStr">
        <is>
          <t>IPP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</row>
    <row r="127">
      <c r="A127" t="inlineStr">
        <is>
          <t>PLTA JTLHR</t>
        </is>
      </c>
      <c r="B127" t="inlineStr"/>
      <c r="C127" t="n">
        <v>120.4</v>
      </c>
      <c r="D127" t="n">
        <v>120.4</v>
      </c>
      <c r="E127" t="n">
        <v>120.4</v>
      </c>
      <c r="F127" t="n">
        <v>120.4</v>
      </c>
      <c r="G127" t="n">
        <v>120.4</v>
      </c>
      <c r="H127" t="n">
        <v>120.4</v>
      </c>
      <c r="I127" t="n">
        <v>120.4</v>
      </c>
      <c r="J127" t="n">
        <v>120.4</v>
      </c>
      <c r="K127" t="n">
        <v>120.4</v>
      </c>
      <c r="L127" t="n">
        <v>120.4</v>
      </c>
      <c r="M127" t="n">
        <v>120.4</v>
      </c>
      <c r="N127" t="n">
        <v>120.4</v>
      </c>
      <c r="O127" t="n">
        <v>120.4</v>
      </c>
      <c r="P127" t="n">
        <v>120.4</v>
      </c>
      <c r="Q127" t="n">
        <v>120.4</v>
      </c>
      <c r="R127" t="n">
        <v>120.4</v>
      </c>
      <c r="S127" t="n">
        <v>120.4</v>
      </c>
      <c r="T127" t="n">
        <v>118</v>
      </c>
      <c r="U127" t="n">
        <v>134</v>
      </c>
      <c r="V127" t="n">
        <v>132</v>
      </c>
      <c r="W127" t="n">
        <v>132</v>
      </c>
      <c r="X127" t="n">
        <v>132</v>
      </c>
      <c r="Y127" t="n">
        <v>132</v>
      </c>
      <c r="Z127" t="n">
        <v>132</v>
      </c>
      <c r="AA127" t="n">
        <v>127</v>
      </c>
      <c r="AB127" t="n">
        <v>127</v>
      </c>
      <c r="AC127" t="n">
        <v>127</v>
      </c>
      <c r="AD127" t="n">
        <v>127</v>
      </c>
      <c r="AE127" t="n">
        <v>127</v>
      </c>
      <c r="AF127" t="n">
        <v>127</v>
      </c>
      <c r="AG127" t="n">
        <v>127</v>
      </c>
      <c r="AH127" t="n">
        <v>127</v>
      </c>
      <c r="AI127" t="n">
        <v>127</v>
      </c>
      <c r="AJ127" t="n">
        <v>127</v>
      </c>
      <c r="AK127" t="n">
        <v>127</v>
      </c>
      <c r="AL127" t="n">
        <v>127</v>
      </c>
      <c r="AM127" t="n">
        <v>127</v>
      </c>
      <c r="AN127" t="n">
        <v>127</v>
      </c>
      <c r="AO127" t="n">
        <v>124</v>
      </c>
      <c r="AP127" t="n">
        <v>124</v>
      </c>
      <c r="AQ127" t="n">
        <v>124</v>
      </c>
      <c r="AR127" t="n">
        <v>124</v>
      </c>
      <c r="AS127" t="n">
        <v>124</v>
      </c>
      <c r="AT127" t="n">
        <v>124</v>
      </c>
      <c r="AU127" t="n">
        <v>124</v>
      </c>
      <c r="AV127" t="n">
        <v>124</v>
      </c>
      <c r="AW127" t="n">
        <v>124</v>
      </c>
      <c r="AX127" t="n">
        <v>124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</row>
    <row r="129">
      <c r="A129" t="inlineStr">
        <is>
          <t>PLTP DRJAT #2</t>
        </is>
      </c>
      <c r="B129" t="n">
        <v>91.7287</v>
      </c>
      <c r="C129" t="n">
        <v>87.14</v>
      </c>
      <c r="D129" t="n">
        <v>87.14</v>
      </c>
      <c r="E129" t="n">
        <v>87.14</v>
      </c>
      <c r="F129" t="n">
        <v>87.14</v>
      </c>
      <c r="G129" t="n">
        <v>87.14</v>
      </c>
      <c r="H129" t="n">
        <v>87.14</v>
      </c>
      <c r="I129" t="n">
        <v>87.14</v>
      </c>
      <c r="J129" t="n">
        <v>87.14</v>
      </c>
      <c r="K129" t="n">
        <v>87.14</v>
      </c>
      <c r="L129" t="n">
        <v>87.14</v>
      </c>
      <c r="M129" t="n">
        <v>87.14</v>
      </c>
      <c r="N129" t="n">
        <v>87.14</v>
      </c>
      <c r="O129" t="n">
        <v>87.14</v>
      </c>
      <c r="P129" t="n">
        <v>87.14</v>
      </c>
      <c r="Q129" t="n">
        <v>87.14</v>
      </c>
      <c r="R129" t="n">
        <v>87.14</v>
      </c>
      <c r="S129" t="n">
        <v>91.73</v>
      </c>
      <c r="T129" t="n">
        <v>91.73</v>
      </c>
      <c r="U129" t="n">
        <v>91.73</v>
      </c>
      <c r="V129" t="n">
        <v>91.73</v>
      </c>
      <c r="W129" t="n">
        <v>91.73</v>
      </c>
      <c r="X129" t="n">
        <v>90.42</v>
      </c>
      <c r="Y129" t="n">
        <v>90.47</v>
      </c>
      <c r="Z129" t="n">
        <v>91.73</v>
      </c>
      <c r="AA129" t="n">
        <v>91.73</v>
      </c>
      <c r="AB129" t="n">
        <v>91.73</v>
      </c>
      <c r="AC129" t="n">
        <v>91.73</v>
      </c>
      <c r="AD129" t="n">
        <v>91.73</v>
      </c>
      <c r="AE129" t="n">
        <v>91.73</v>
      </c>
      <c r="AF129" t="n">
        <v>91.73</v>
      </c>
      <c r="AG129" t="n">
        <v>91.73</v>
      </c>
      <c r="AH129" t="n">
        <v>91.73</v>
      </c>
      <c r="AI129" t="n">
        <v>91.73</v>
      </c>
      <c r="AJ129" t="n">
        <v>91.73</v>
      </c>
      <c r="AK129" t="n">
        <v>91.73</v>
      </c>
      <c r="AL129" t="n">
        <v>91.73</v>
      </c>
      <c r="AM129" t="n">
        <v>91.73</v>
      </c>
      <c r="AN129" t="n">
        <v>91.73</v>
      </c>
      <c r="AO129" t="n">
        <v>91.73</v>
      </c>
      <c r="AP129" t="n">
        <v>91.73</v>
      </c>
      <c r="AQ129" t="n">
        <v>91.73</v>
      </c>
      <c r="AR129" t="n">
        <v>91.73</v>
      </c>
      <c r="AS129" t="n">
        <v>88.83</v>
      </c>
      <c r="AT129" t="n">
        <v>87.14</v>
      </c>
      <c r="AU129" t="n">
        <v>87.14</v>
      </c>
      <c r="AV129" t="n">
        <v>87.14</v>
      </c>
      <c r="AW129" t="n">
        <v>87.14</v>
      </c>
      <c r="AX129" t="n">
        <v>87.14</v>
      </c>
    </row>
    <row r="130">
      <c r="A130" t="inlineStr">
        <is>
          <t>PLTP DRJAT #3</t>
        </is>
      </c>
      <c r="B130" t="n">
        <v>126.78023</v>
      </c>
      <c r="C130" t="n">
        <v>120.44</v>
      </c>
      <c r="D130" t="n">
        <v>120.44</v>
      </c>
      <c r="E130" t="n">
        <v>120.44</v>
      </c>
      <c r="F130" t="n">
        <v>120.44</v>
      </c>
      <c r="G130" t="n">
        <v>120.44</v>
      </c>
      <c r="H130" t="n">
        <v>120.44</v>
      </c>
      <c r="I130" t="n">
        <v>120.44</v>
      </c>
      <c r="J130" t="n">
        <v>120.44</v>
      </c>
      <c r="K130" t="n">
        <v>120.44</v>
      </c>
      <c r="L130" t="n">
        <v>120.44</v>
      </c>
      <c r="M130" t="n">
        <v>120.44</v>
      </c>
      <c r="N130" t="n">
        <v>120.44</v>
      </c>
      <c r="O130" t="n">
        <v>120.44</v>
      </c>
      <c r="P130" t="n">
        <v>120.44</v>
      </c>
      <c r="Q130" t="n">
        <v>120.44</v>
      </c>
      <c r="R130" t="n">
        <v>120.44</v>
      </c>
      <c r="S130" t="n">
        <v>120.44</v>
      </c>
      <c r="T130" t="n">
        <v>120.44</v>
      </c>
      <c r="U130" t="n">
        <v>120.44</v>
      </c>
      <c r="V130" t="n">
        <v>120.44</v>
      </c>
      <c r="W130" t="n">
        <v>120.44</v>
      </c>
      <c r="X130" t="n">
        <v>120.44</v>
      </c>
      <c r="Y130" t="n">
        <v>120.44</v>
      </c>
      <c r="Z130" t="n">
        <v>120.44</v>
      </c>
      <c r="AA130" t="n">
        <v>120.44</v>
      </c>
      <c r="AB130" t="n">
        <v>120.44</v>
      </c>
      <c r="AC130" t="n">
        <v>120.44</v>
      </c>
      <c r="AD130" t="n">
        <v>120.44</v>
      </c>
      <c r="AE130" t="n">
        <v>120.44</v>
      </c>
      <c r="AF130" t="n">
        <v>120.44</v>
      </c>
      <c r="AG130" t="n">
        <v>120.44</v>
      </c>
      <c r="AH130" t="n">
        <v>120.44</v>
      </c>
      <c r="AI130" t="n">
        <v>120.44</v>
      </c>
      <c r="AJ130" t="n">
        <v>120.44</v>
      </c>
      <c r="AK130" t="n">
        <v>120.44</v>
      </c>
      <c r="AL130" t="n">
        <v>126.78</v>
      </c>
      <c r="AM130" t="n">
        <v>123.94</v>
      </c>
      <c r="AN130" t="n">
        <v>120.44</v>
      </c>
      <c r="AO130" t="n">
        <v>120.44</v>
      </c>
      <c r="AP130" t="n">
        <v>120.44</v>
      </c>
      <c r="AQ130" t="n">
        <v>120.44</v>
      </c>
      <c r="AR130" t="n">
        <v>120.44</v>
      </c>
      <c r="AS130" t="n">
        <v>120.44</v>
      </c>
      <c r="AT130" t="n">
        <v>120.44</v>
      </c>
      <c r="AU130" t="n">
        <v>120.44</v>
      </c>
      <c r="AV130" t="n">
        <v>120.44</v>
      </c>
      <c r="AW130" t="n">
        <v>120.44</v>
      </c>
      <c r="AX130" t="n">
        <v>120.44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</row>
    <row r="132">
      <c r="A132" t="inlineStr">
        <is>
          <t>PLTP WYNDU #1</t>
        </is>
      </c>
      <c r="B132" t="n">
        <v>123.36635</v>
      </c>
      <c r="C132" t="n">
        <v>105</v>
      </c>
      <c r="D132" t="n">
        <v>105</v>
      </c>
      <c r="E132" t="n">
        <v>105</v>
      </c>
      <c r="F132" t="n">
        <v>105</v>
      </c>
      <c r="G132" t="n">
        <v>105</v>
      </c>
      <c r="H132" t="n">
        <v>105</v>
      </c>
      <c r="I132" t="n">
        <v>105</v>
      </c>
      <c r="J132" t="n">
        <v>105</v>
      </c>
      <c r="K132" t="n">
        <v>105</v>
      </c>
      <c r="L132" t="n">
        <v>105</v>
      </c>
      <c r="M132" t="n">
        <v>105</v>
      </c>
      <c r="N132" t="n">
        <v>105</v>
      </c>
      <c r="O132" t="n">
        <v>105</v>
      </c>
      <c r="P132" t="n">
        <v>105</v>
      </c>
      <c r="Q132" t="n">
        <v>105</v>
      </c>
      <c r="R132" t="n">
        <v>105</v>
      </c>
      <c r="S132" t="n">
        <v>105</v>
      </c>
      <c r="T132" t="n">
        <v>105</v>
      </c>
      <c r="U132" t="n">
        <v>105</v>
      </c>
      <c r="V132" t="n">
        <v>105</v>
      </c>
      <c r="W132" t="n">
        <v>105</v>
      </c>
      <c r="X132" t="n">
        <v>105</v>
      </c>
      <c r="Y132" t="n">
        <v>105</v>
      </c>
      <c r="Z132" t="n">
        <v>105</v>
      </c>
      <c r="AA132" t="n">
        <v>105</v>
      </c>
      <c r="AB132" t="n">
        <v>105</v>
      </c>
      <c r="AC132" t="n">
        <v>105</v>
      </c>
      <c r="AD132" t="n">
        <v>105</v>
      </c>
      <c r="AE132" t="n">
        <v>105</v>
      </c>
      <c r="AF132" t="n">
        <v>105</v>
      </c>
      <c r="AG132" t="n">
        <v>105</v>
      </c>
      <c r="AH132" t="n">
        <v>105</v>
      </c>
      <c r="AI132" t="n">
        <v>105</v>
      </c>
      <c r="AJ132" t="n">
        <v>105</v>
      </c>
      <c r="AK132" t="n">
        <v>105</v>
      </c>
      <c r="AL132" t="n">
        <v>105</v>
      </c>
      <c r="AM132" t="n">
        <v>105</v>
      </c>
      <c r="AN132" t="n">
        <v>105</v>
      </c>
      <c r="AO132" t="n">
        <v>105</v>
      </c>
      <c r="AP132" t="n">
        <v>105</v>
      </c>
      <c r="AQ132" t="n">
        <v>105</v>
      </c>
      <c r="AR132" t="n">
        <v>105</v>
      </c>
      <c r="AS132" t="n">
        <v>105</v>
      </c>
      <c r="AT132" t="n">
        <v>105</v>
      </c>
      <c r="AU132" t="n">
        <v>105</v>
      </c>
      <c r="AV132" t="n">
        <v>105</v>
      </c>
      <c r="AW132" t="n">
        <v>105</v>
      </c>
      <c r="AX132" t="n">
        <v>105</v>
      </c>
    </row>
    <row r="133">
      <c r="A133" t="inlineStr">
        <is>
          <t>PLTP WYNDU #2</t>
        </is>
      </c>
      <c r="B133" t="n">
        <v>122.32919</v>
      </c>
      <c r="C133" t="n">
        <v>115</v>
      </c>
      <c r="D133" t="n">
        <v>115</v>
      </c>
      <c r="E133" t="n">
        <v>115</v>
      </c>
      <c r="F133" t="n">
        <v>115</v>
      </c>
      <c r="G133" t="n">
        <v>115</v>
      </c>
      <c r="H133" t="n">
        <v>115</v>
      </c>
      <c r="I133" t="n">
        <v>115</v>
      </c>
      <c r="J133" t="n">
        <v>115</v>
      </c>
      <c r="K133" t="n">
        <v>115</v>
      </c>
      <c r="L133" t="n">
        <v>115</v>
      </c>
      <c r="M133" t="n">
        <v>115</v>
      </c>
      <c r="N133" t="n">
        <v>115</v>
      </c>
      <c r="O133" t="n">
        <v>115</v>
      </c>
      <c r="P133" t="n">
        <v>115</v>
      </c>
      <c r="Q133" t="n">
        <v>115</v>
      </c>
      <c r="R133" t="n">
        <v>115</v>
      </c>
      <c r="S133" t="n">
        <v>115</v>
      </c>
      <c r="T133" t="n">
        <v>115</v>
      </c>
      <c r="U133" t="n">
        <v>115</v>
      </c>
      <c r="V133" t="n">
        <v>115</v>
      </c>
      <c r="W133" t="n">
        <v>115</v>
      </c>
      <c r="X133" t="n">
        <v>115</v>
      </c>
      <c r="Y133" t="n">
        <v>115</v>
      </c>
      <c r="Z133" t="n">
        <v>115</v>
      </c>
      <c r="AA133" t="n">
        <v>115</v>
      </c>
      <c r="AB133" t="n">
        <v>115</v>
      </c>
      <c r="AC133" t="n">
        <v>115</v>
      </c>
      <c r="AD133" t="n">
        <v>115</v>
      </c>
      <c r="AE133" t="n">
        <v>115</v>
      </c>
      <c r="AF133" t="n">
        <v>115</v>
      </c>
      <c r="AG133" t="n">
        <v>115</v>
      </c>
      <c r="AH133" t="n">
        <v>115</v>
      </c>
      <c r="AI133" t="n">
        <v>115</v>
      </c>
      <c r="AJ133" t="n">
        <v>115</v>
      </c>
      <c r="AK133" t="n">
        <v>115</v>
      </c>
      <c r="AL133" t="n">
        <v>115</v>
      </c>
      <c r="AM133" t="n">
        <v>115</v>
      </c>
      <c r="AN133" t="n">
        <v>115</v>
      </c>
      <c r="AO133" t="n">
        <v>115</v>
      </c>
      <c r="AP133" t="n">
        <v>115</v>
      </c>
      <c r="AQ133" t="n">
        <v>115</v>
      </c>
      <c r="AR133" t="n">
        <v>115</v>
      </c>
      <c r="AS133" t="n">
        <v>115</v>
      </c>
      <c r="AT133" t="n">
        <v>115</v>
      </c>
      <c r="AU133" t="n">
        <v>115</v>
      </c>
      <c r="AV133" t="n">
        <v>115</v>
      </c>
      <c r="AW133" t="n">
        <v>115</v>
      </c>
      <c r="AX133" t="n">
        <v>115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</row>
    <row r="135">
      <c r="A135" t="inlineStr">
        <is>
          <t>PLTGU CIKARANG</t>
        </is>
      </c>
      <c r="B135" t="n">
        <v>150</v>
      </c>
      <c r="C135" t="n">
        <v>35</v>
      </c>
      <c r="D135" t="n">
        <v>35</v>
      </c>
      <c r="E135" t="n">
        <v>35</v>
      </c>
      <c r="F135" t="n">
        <v>35</v>
      </c>
      <c r="G135" t="n">
        <v>35</v>
      </c>
      <c r="H135" t="n">
        <v>35</v>
      </c>
      <c r="I135" t="n">
        <v>35</v>
      </c>
      <c r="J135" t="n">
        <v>35</v>
      </c>
      <c r="K135" t="n">
        <v>35</v>
      </c>
      <c r="L135" t="n">
        <v>35</v>
      </c>
      <c r="M135" t="n">
        <v>35</v>
      </c>
      <c r="N135" t="n">
        <v>35</v>
      </c>
      <c r="O135" t="n">
        <v>35</v>
      </c>
      <c r="P135" t="n">
        <v>35</v>
      </c>
      <c r="Q135" t="n">
        <v>35</v>
      </c>
      <c r="R135" t="n">
        <v>35</v>
      </c>
      <c r="S135" t="n">
        <v>35</v>
      </c>
      <c r="T135" t="n">
        <v>35</v>
      </c>
      <c r="U135" t="n">
        <v>35</v>
      </c>
      <c r="V135" t="n">
        <v>35</v>
      </c>
      <c r="W135" t="n">
        <v>35</v>
      </c>
      <c r="X135" t="n">
        <v>35</v>
      </c>
      <c r="Y135" t="n">
        <v>35</v>
      </c>
      <c r="Z135" t="n">
        <v>35</v>
      </c>
      <c r="AA135" t="n">
        <v>35</v>
      </c>
      <c r="AB135" t="n">
        <v>35</v>
      </c>
      <c r="AC135" t="n">
        <v>35</v>
      </c>
      <c r="AD135" t="n">
        <v>35</v>
      </c>
      <c r="AE135" t="n">
        <v>35</v>
      </c>
      <c r="AF135" t="n">
        <v>35</v>
      </c>
      <c r="AG135" t="n">
        <v>35</v>
      </c>
      <c r="AH135" t="n">
        <v>35</v>
      </c>
      <c r="AI135" t="n">
        <v>35</v>
      </c>
      <c r="AJ135" t="n">
        <v>35</v>
      </c>
      <c r="AK135" t="n">
        <v>35</v>
      </c>
      <c r="AL135" t="n">
        <v>35</v>
      </c>
      <c r="AM135" t="n">
        <v>35</v>
      </c>
      <c r="AN135" t="n">
        <v>35</v>
      </c>
      <c r="AO135" t="n">
        <v>35</v>
      </c>
      <c r="AP135" t="n">
        <v>35</v>
      </c>
      <c r="AQ135" t="n">
        <v>35</v>
      </c>
      <c r="AR135" t="n">
        <v>35</v>
      </c>
      <c r="AS135" t="n">
        <v>35</v>
      </c>
      <c r="AT135" t="n">
        <v>35</v>
      </c>
      <c r="AU135" t="n">
        <v>35</v>
      </c>
      <c r="AV135" t="n">
        <v>35</v>
      </c>
      <c r="AW135" t="n">
        <v>35</v>
      </c>
      <c r="AX135" t="n">
        <v>35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</row>
    <row r="137">
      <c r="A137" t="inlineStr">
        <is>
          <t>PLTP KMJNG #4</t>
        </is>
      </c>
      <c r="B137" t="n">
        <v>61.2732</v>
      </c>
      <c r="C137" t="n">
        <v>55.15</v>
      </c>
      <c r="D137" t="n">
        <v>55.15</v>
      </c>
      <c r="E137" t="n">
        <v>55.15</v>
      </c>
      <c r="F137" t="n">
        <v>55.15</v>
      </c>
      <c r="G137" t="n">
        <v>55.15</v>
      </c>
      <c r="H137" t="n">
        <v>55.15</v>
      </c>
      <c r="I137" t="n">
        <v>55.15</v>
      </c>
      <c r="J137" t="n">
        <v>55.15</v>
      </c>
      <c r="K137" t="n">
        <v>55.15</v>
      </c>
      <c r="L137" t="n">
        <v>55.15</v>
      </c>
      <c r="M137" t="n">
        <v>55.15</v>
      </c>
      <c r="N137" t="n">
        <v>55.15</v>
      </c>
      <c r="O137" t="n">
        <v>55.15</v>
      </c>
      <c r="P137" t="n">
        <v>55.15</v>
      </c>
      <c r="Q137" t="n">
        <v>55.15</v>
      </c>
      <c r="R137" t="n">
        <v>55.15</v>
      </c>
      <c r="S137" t="n">
        <v>58.01</v>
      </c>
      <c r="T137" t="n">
        <v>55.15</v>
      </c>
      <c r="U137" t="n">
        <v>55.23</v>
      </c>
      <c r="V137" t="n">
        <v>60.03</v>
      </c>
      <c r="W137" t="n">
        <v>59.91</v>
      </c>
      <c r="X137" t="n">
        <v>55.15</v>
      </c>
      <c r="Y137" t="n">
        <v>55.15</v>
      </c>
      <c r="Z137" t="n">
        <v>60.14</v>
      </c>
      <c r="AA137" t="n">
        <v>56.93</v>
      </c>
      <c r="AB137" t="n">
        <v>56.6</v>
      </c>
      <c r="AC137" t="n">
        <v>56.29</v>
      </c>
      <c r="AD137" t="n">
        <v>56.27</v>
      </c>
      <c r="AE137" t="n">
        <v>56.1</v>
      </c>
      <c r="AF137" t="n">
        <v>56.13</v>
      </c>
      <c r="AG137" t="n">
        <v>59.34</v>
      </c>
      <c r="AH137" t="n">
        <v>59.21</v>
      </c>
      <c r="AI137" t="n">
        <v>59.72</v>
      </c>
      <c r="AJ137" t="n">
        <v>59.74</v>
      </c>
      <c r="AK137" t="n">
        <v>59.7</v>
      </c>
      <c r="AL137" t="n">
        <v>61.27</v>
      </c>
      <c r="AM137" t="n">
        <v>59.56</v>
      </c>
      <c r="AN137" t="n">
        <v>59.7</v>
      </c>
      <c r="AO137" t="n">
        <v>59.77</v>
      </c>
      <c r="AP137" t="n">
        <v>59.84</v>
      </c>
      <c r="AQ137" t="n">
        <v>59.95</v>
      </c>
      <c r="AR137" t="n">
        <v>60.26</v>
      </c>
      <c r="AS137" t="n">
        <v>55.15</v>
      </c>
      <c r="AT137" t="n">
        <v>55.15</v>
      </c>
      <c r="AU137" t="n">
        <v>55.15</v>
      </c>
      <c r="AV137" t="n">
        <v>55.15</v>
      </c>
      <c r="AW137" t="n">
        <v>55.15</v>
      </c>
      <c r="AX137" t="n">
        <v>55.15</v>
      </c>
    </row>
    <row r="138">
      <c r="A138" t="inlineStr">
        <is>
          <t>PLTP KMJNG #5</t>
        </is>
      </c>
      <c r="B138" t="n">
        <v>33</v>
      </c>
      <c r="C138" t="n">
        <v>29.7</v>
      </c>
      <c r="D138" t="n">
        <v>29.7</v>
      </c>
      <c r="E138" t="n">
        <v>29.7</v>
      </c>
      <c r="F138" t="n">
        <v>29.7</v>
      </c>
      <c r="G138" t="n">
        <v>29.7</v>
      </c>
      <c r="H138" t="n">
        <v>29.7</v>
      </c>
      <c r="I138" t="n">
        <v>29.7</v>
      </c>
      <c r="J138" t="n">
        <v>29.7</v>
      </c>
      <c r="K138" t="n">
        <v>29.7</v>
      </c>
      <c r="L138" t="n">
        <v>29.7</v>
      </c>
      <c r="M138" t="n">
        <v>29.7</v>
      </c>
      <c r="N138" t="n">
        <v>29.7</v>
      </c>
      <c r="O138" t="n">
        <v>29.7</v>
      </c>
      <c r="P138" t="n">
        <v>29.7</v>
      </c>
      <c r="Q138" t="n">
        <v>29.7</v>
      </c>
      <c r="R138" t="n">
        <v>29.7</v>
      </c>
      <c r="S138" t="n">
        <v>29.7</v>
      </c>
      <c r="T138" t="n">
        <v>32.29</v>
      </c>
      <c r="U138" t="n">
        <v>33</v>
      </c>
      <c r="V138" t="n">
        <v>29.7</v>
      </c>
      <c r="W138" t="n">
        <v>29.7</v>
      </c>
      <c r="X138" t="n">
        <v>29.7</v>
      </c>
      <c r="Y138" t="n">
        <v>29.7</v>
      </c>
      <c r="Z138" t="n">
        <v>29.7</v>
      </c>
      <c r="AA138" t="n">
        <v>33</v>
      </c>
      <c r="AB138" t="n">
        <v>33</v>
      </c>
      <c r="AC138" t="n">
        <v>33</v>
      </c>
      <c r="AD138" t="n">
        <v>33</v>
      </c>
      <c r="AE138" t="n">
        <v>33</v>
      </c>
      <c r="AF138" t="n">
        <v>33</v>
      </c>
      <c r="AG138" t="n">
        <v>29.7</v>
      </c>
      <c r="AH138" t="n">
        <v>29.7</v>
      </c>
      <c r="AI138" t="n">
        <v>29.7</v>
      </c>
      <c r="AJ138" t="n">
        <v>29.7</v>
      </c>
      <c r="AK138" t="n">
        <v>29.7</v>
      </c>
      <c r="AL138" t="n">
        <v>33</v>
      </c>
      <c r="AM138" t="n">
        <v>29.7</v>
      </c>
      <c r="AN138" t="n">
        <v>29.7</v>
      </c>
      <c r="AO138" t="n">
        <v>29.7</v>
      </c>
      <c r="AP138" t="n">
        <v>29.7</v>
      </c>
      <c r="AQ138" t="n">
        <v>29.7</v>
      </c>
      <c r="AR138" t="n">
        <v>29.7</v>
      </c>
      <c r="AS138" t="n">
        <v>29.7</v>
      </c>
      <c r="AT138" t="n">
        <v>29.7</v>
      </c>
      <c r="AU138" t="n">
        <v>29.7</v>
      </c>
      <c r="AV138" t="n">
        <v>29.7</v>
      </c>
      <c r="AW138" t="n">
        <v>29.7</v>
      </c>
      <c r="AX138" t="n">
        <v>29.7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</row>
    <row r="140">
      <c r="A140" t="inlineStr">
        <is>
          <t>PLTU IPP CIREBON #1</t>
        </is>
      </c>
      <c r="B140" t="n">
        <v>660</v>
      </c>
      <c r="C140" t="n">
        <v>450</v>
      </c>
      <c r="D140" t="n">
        <v>450</v>
      </c>
      <c r="E140" t="n">
        <v>450</v>
      </c>
      <c r="F140" t="n">
        <v>450</v>
      </c>
      <c r="G140" t="n">
        <v>450</v>
      </c>
      <c r="H140" t="n">
        <v>450</v>
      </c>
      <c r="I140" t="n">
        <v>450</v>
      </c>
      <c r="J140" t="n">
        <v>450</v>
      </c>
      <c r="K140" t="n">
        <v>450</v>
      </c>
      <c r="L140" t="n">
        <v>500</v>
      </c>
      <c r="M140" t="n">
        <v>500</v>
      </c>
      <c r="N140" t="n">
        <v>500</v>
      </c>
      <c r="O140" t="n">
        <v>500</v>
      </c>
      <c r="P140" t="n">
        <v>500</v>
      </c>
      <c r="Q140" t="n">
        <v>550</v>
      </c>
      <c r="R140" t="n">
        <v>600</v>
      </c>
      <c r="S140" t="n">
        <v>645</v>
      </c>
      <c r="T140" t="n">
        <v>645</v>
      </c>
      <c r="U140" t="n">
        <v>645</v>
      </c>
      <c r="V140" t="n">
        <v>645</v>
      </c>
      <c r="W140" t="n">
        <v>645</v>
      </c>
      <c r="X140" t="n">
        <v>645</v>
      </c>
      <c r="Y140" t="n">
        <v>645</v>
      </c>
      <c r="Z140" t="n">
        <v>645</v>
      </c>
      <c r="AA140" t="n">
        <v>646.8</v>
      </c>
      <c r="AB140" t="n">
        <v>646.8</v>
      </c>
      <c r="AC140" t="n">
        <v>646.8</v>
      </c>
      <c r="AD140" t="n">
        <v>646.8</v>
      </c>
      <c r="AE140" t="n">
        <v>646.8</v>
      </c>
      <c r="AF140" t="n">
        <v>646.8</v>
      </c>
      <c r="AG140" t="n">
        <v>646.8</v>
      </c>
      <c r="AH140" t="n">
        <v>646.8</v>
      </c>
      <c r="AI140" t="n">
        <v>646.8</v>
      </c>
      <c r="AJ140" t="n">
        <v>646.8</v>
      </c>
      <c r="AK140" t="n">
        <v>646.8</v>
      </c>
      <c r="AL140" t="n">
        <v>646.8</v>
      </c>
      <c r="AM140" t="n">
        <v>646.8</v>
      </c>
      <c r="AN140" t="n">
        <v>646.8</v>
      </c>
      <c r="AO140" t="n">
        <v>646.8</v>
      </c>
      <c r="AP140" t="n">
        <v>646.8</v>
      </c>
      <c r="AQ140" t="n">
        <v>646.8</v>
      </c>
      <c r="AR140" t="n">
        <v>646.8</v>
      </c>
      <c r="AS140" t="n">
        <v>646.8</v>
      </c>
      <c r="AT140" t="n">
        <v>646.8</v>
      </c>
      <c r="AU140" t="n">
        <v>646.8</v>
      </c>
      <c r="AV140" t="n">
        <v>646.8</v>
      </c>
      <c r="AW140" t="n">
        <v>646.8</v>
      </c>
      <c r="AX140" t="n">
        <v>646.8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</row>
    <row r="142">
      <c r="A142" t="inlineStr">
        <is>
          <t>PLTGU BEKASI POWER #1</t>
        </is>
      </c>
      <c r="B142" t="inlineStr"/>
      <c r="C142" t="n">
        <v>50</v>
      </c>
      <c r="D142" t="n">
        <v>50</v>
      </c>
      <c r="E142" t="n">
        <v>50</v>
      </c>
      <c r="F142" t="n">
        <v>50</v>
      </c>
      <c r="G142" t="n">
        <v>50</v>
      </c>
      <c r="H142" t="n">
        <v>50</v>
      </c>
      <c r="I142" t="n">
        <v>50</v>
      </c>
      <c r="J142" t="n">
        <v>50</v>
      </c>
      <c r="K142" t="n">
        <v>50</v>
      </c>
      <c r="L142" t="n">
        <v>50</v>
      </c>
      <c r="M142" t="n">
        <v>50</v>
      </c>
      <c r="N142" t="n">
        <v>50</v>
      </c>
      <c r="O142" t="n">
        <v>50</v>
      </c>
      <c r="P142" t="n">
        <v>50</v>
      </c>
      <c r="Q142" t="n">
        <v>50</v>
      </c>
      <c r="R142" t="n">
        <v>50</v>
      </c>
      <c r="S142" t="n">
        <v>50</v>
      </c>
      <c r="T142" t="n">
        <v>50</v>
      </c>
      <c r="U142" t="n">
        <v>50</v>
      </c>
      <c r="V142" t="n">
        <v>50</v>
      </c>
      <c r="W142" t="n">
        <v>50</v>
      </c>
      <c r="X142" t="n">
        <v>50</v>
      </c>
      <c r="Y142" t="n">
        <v>50</v>
      </c>
      <c r="Z142" t="n">
        <v>50</v>
      </c>
      <c r="AA142" t="n">
        <v>50</v>
      </c>
      <c r="AB142" t="n">
        <v>50</v>
      </c>
      <c r="AC142" t="n">
        <v>50</v>
      </c>
      <c r="AD142" t="n">
        <v>50</v>
      </c>
      <c r="AE142" t="n">
        <v>50</v>
      </c>
      <c r="AF142" t="n">
        <v>50</v>
      </c>
      <c r="AG142" t="n">
        <v>50</v>
      </c>
      <c r="AH142" t="n">
        <v>50</v>
      </c>
      <c r="AI142" t="n">
        <v>50</v>
      </c>
      <c r="AJ142" t="n">
        <v>50</v>
      </c>
      <c r="AK142" t="n">
        <v>50</v>
      </c>
      <c r="AL142" t="n">
        <v>50</v>
      </c>
      <c r="AM142" t="n">
        <v>50</v>
      </c>
      <c r="AN142" t="n">
        <v>50</v>
      </c>
      <c r="AO142" t="n">
        <v>50</v>
      </c>
      <c r="AP142" t="n">
        <v>50</v>
      </c>
      <c r="AQ142" t="n">
        <v>50</v>
      </c>
      <c r="AR142" t="n">
        <v>50</v>
      </c>
      <c r="AS142" t="n">
        <v>50</v>
      </c>
      <c r="AT142" t="n">
        <v>50</v>
      </c>
      <c r="AU142" t="n">
        <v>50</v>
      </c>
      <c r="AV142" t="n">
        <v>50</v>
      </c>
      <c r="AW142" t="n">
        <v>50</v>
      </c>
      <c r="AX142" t="n">
        <v>50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</row>
    <row r="144">
      <c r="A144" t="inlineStr">
        <is>
          <t>PLTP PATUHA #1</t>
        </is>
      </c>
      <c r="B144" t="n">
        <v>59.57282</v>
      </c>
      <c r="C144" t="n">
        <v>56.59</v>
      </c>
      <c r="D144" t="n">
        <v>56.59</v>
      </c>
      <c r="E144" t="n">
        <v>56.59</v>
      </c>
      <c r="F144" t="n">
        <v>56.59</v>
      </c>
      <c r="G144" t="n">
        <v>56.59</v>
      </c>
      <c r="H144" t="n">
        <v>56.59</v>
      </c>
      <c r="I144" t="n">
        <v>56.59</v>
      </c>
      <c r="J144" t="n">
        <v>56.59</v>
      </c>
      <c r="K144" t="n">
        <v>56.59</v>
      </c>
      <c r="L144" t="n">
        <v>56.59</v>
      </c>
      <c r="M144" t="n">
        <v>56.59</v>
      </c>
      <c r="N144" t="n">
        <v>56.59</v>
      </c>
      <c r="O144" t="n">
        <v>56.59</v>
      </c>
      <c r="P144" t="n">
        <v>56.59</v>
      </c>
      <c r="Q144" t="n">
        <v>56.59</v>
      </c>
      <c r="R144" t="n">
        <v>56.59</v>
      </c>
      <c r="S144" t="n">
        <v>56.59</v>
      </c>
      <c r="T144" t="n">
        <v>56.59</v>
      </c>
      <c r="U144" t="n">
        <v>56.59</v>
      </c>
      <c r="V144" t="n">
        <v>56.59</v>
      </c>
      <c r="W144" t="n">
        <v>56.59</v>
      </c>
      <c r="X144" t="n">
        <v>56.59</v>
      </c>
      <c r="Y144" t="n">
        <v>56.59</v>
      </c>
      <c r="Z144" t="n">
        <v>56.59</v>
      </c>
      <c r="AA144" t="n">
        <v>56.59</v>
      </c>
      <c r="AB144" t="n">
        <v>56.59</v>
      </c>
      <c r="AC144" t="n">
        <v>56.59</v>
      </c>
      <c r="AD144" t="n">
        <v>56.59</v>
      </c>
      <c r="AE144" t="n">
        <v>56.59</v>
      </c>
      <c r="AF144" t="n">
        <v>56.59</v>
      </c>
      <c r="AG144" t="n">
        <v>56.59</v>
      </c>
      <c r="AH144" t="n">
        <v>56.59</v>
      </c>
      <c r="AI144" t="n">
        <v>56.59</v>
      </c>
      <c r="AJ144" t="n">
        <v>56.59</v>
      </c>
      <c r="AK144" t="n">
        <v>56.59</v>
      </c>
      <c r="AL144" t="n">
        <v>59.57</v>
      </c>
      <c r="AM144" t="n">
        <v>56.59</v>
      </c>
      <c r="AN144" t="n">
        <v>56.59</v>
      </c>
      <c r="AO144" t="n">
        <v>56.59</v>
      </c>
      <c r="AP144" t="n">
        <v>56.59</v>
      </c>
      <c r="AQ144" t="n">
        <v>56.59</v>
      </c>
      <c r="AR144" t="n">
        <v>56.59</v>
      </c>
      <c r="AS144" t="n">
        <v>56.59</v>
      </c>
      <c r="AT144" t="n">
        <v>56.59</v>
      </c>
      <c r="AU144" t="n">
        <v>56.59</v>
      </c>
      <c r="AV144" t="n">
        <v>56.59</v>
      </c>
      <c r="AW144" t="n">
        <v>56.59</v>
      </c>
      <c r="AX144" t="n">
        <v>56.59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</row>
    <row r="146">
      <c r="A146" t="inlineStr">
        <is>
          <t>PLTP KARAHA #1</t>
        </is>
      </c>
      <c r="B146" t="n">
        <v>18.5378</v>
      </c>
      <c r="C146" t="n">
        <v>16.68</v>
      </c>
      <c r="D146" t="n">
        <v>16.68</v>
      </c>
      <c r="E146" t="n">
        <v>16.68</v>
      </c>
      <c r="F146" t="n">
        <v>16.68</v>
      </c>
      <c r="G146" t="n">
        <v>16.68</v>
      </c>
      <c r="H146" t="n">
        <v>16.68</v>
      </c>
      <c r="I146" t="n">
        <v>16.68</v>
      </c>
      <c r="J146" t="n">
        <v>16.68</v>
      </c>
      <c r="K146" t="n">
        <v>16.68</v>
      </c>
      <c r="L146" t="n">
        <v>16.68</v>
      </c>
      <c r="M146" t="n">
        <v>16.68</v>
      </c>
      <c r="N146" t="n">
        <v>16.68</v>
      </c>
      <c r="O146" t="n">
        <v>16.68</v>
      </c>
      <c r="P146" t="n">
        <v>16.68</v>
      </c>
      <c r="Q146" t="n">
        <v>16.68</v>
      </c>
      <c r="R146" t="n">
        <v>16.68</v>
      </c>
      <c r="S146" t="n">
        <v>16.68</v>
      </c>
      <c r="T146" t="n">
        <v>16.54</v>
      </c>
      <c r="U146" t="n">
        <v>16.68</v>
      </c>
      <c r="V146" t="n">
        <v>16.68</v>
      </c>
      <c r="W146" t="n">
        <v>16.68</v>
      </c>
      <c r="X146" t="n">
        <v>16.68</v>
      </c>
      <c r="Y146" t="n">
        <v>16.68</v>
      </c>
      <c r="Z146" t="n">
        <v>16.68</v>
      </c>
      <c r="AA146" t="n">
        <v>16.68</v>
      </c>
      <c r="AB146" t="n">
        <v>16.68</v>
      </c>
      <c r="AC146" t="n">
        <v>16.68</v>
      </c>
      <c r="AD146" t="n">
        <v>16.68</v>
      </c>
      <c r="AE146" t="n">
        <v>16.68</v>
      </c>
      <c r="AF146" t="n">
        <v>16.68</v>
      </c>
      <c r="AG146" t="n">
        <v>16.68</v>
      </c>
      <c r="AH146" t="n">
        <v>16.68</v>
      </c>
      <c r="AI146" t="n">
        <v>16.68</v>
      </c>
      <c r="AJ146" t="n">
        <v>16.68</v>
      </c>
      <c r="AK146" t="n">
        <v>16.68</v>
      </c>
      <c r="AL146" t="n">
        <v>18.54</v>
      </c>
      <c r="AM146" t="n">
        <v>16.68</v>
      </c>
      <c r="AN146" t="n">
        <v>16.68</v>
      </c>
      <c r="AO146" t="n">
        <v>16.68</v>
      </c>
      <c r="AP146" t="n">
        <v>16.68</v>
      </c>
      <c r="AQ146" t="n">
        <v>16.68</v>
      </c>
      <c r="AR146" t="n">
        <v>16.68</v>
      </c>
      <c r="AS146" t="n">
        <v>16.68</v>
      </c>
      <c r="AT146" t="n">
        <v>16.68</v>
      </c>
      <c r="AU146" t="n">
        <v>16.68</v>
      </c>
      <c r="AV146" t="n">
        <v>16.68</v>
      </c>
      <c r="AW146" t="n">
        <v>16.68</v>
      </c>
      <c r="AX146" t="n">
        <v>16.68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</row>
    <row r="148">
      <c r="A148" t="inlineStr">
        <is>
          <t>PLTA RAJAMANDALA #1</t>
        </is>
      </c>
      <c r="B148" t="n">
        <v>46.6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</row>
    <row r="150">
      <c r="A150" t="inlineStr">
        <is>
          <t>PLTGU JAWA 1 CILAMAYA #1</t>
        </is>
      </c>
      <c r="B150" t="n">
        <v>880</v>
      </c>
      <c r="C150" t="n">
        <v>380</v>
      </c>
      <c r="D150" t="n">
        <v>380</v>
      </c>
      <c r="E150" t="n">
        <v>565.88</v>
      </c>
      <c r="F150" t="n">
        <v>560.91</v>
      </c>
      <c r="G150" t="n">
        <v>587.0599999999999</v>
      </c>
      <c r="H150" t="n">
        <v>450</v>
      </c>
      <c r="I150" t="n">
        <v>450</v>
      </c>
      <c r="J150" t="n">
        <v>527.71</v>
      </c>
      <c r="K150" t="n">
        <v>440</v>
      </c>
      <c r="L150" t="n">
        <v>440</v>
      </c>
      <c r="M150" t="n">
        <v>574.85</v>
      </c>
      <c r="N150" t="n">
        <v>420</v>
      </c>
      <c r="O150" t="n">
        <v>380</v>
      </c>
      <c r="P150" t="n">
        <v>380</v>
      </c>
      <c r="Q150" t="n">
        <v>380</v>
      </c>
      <c r="R150" t="n">
        <v>704</v>
      </c>
      <c r="S150" t="n">
        <v>704</v>
      </c>
      <c r="T150" t="n">
        <v>541.13</v>
      </c>
      <c r="U150" t="n">
        <v>574.88</v>
      </c>
      <c r="V150" t="n">
        <v>704</v>
      </c>
      <c r="W150" t="n">
        <v>704</v>
      </c>
      <c r="X150" t="n">
        <v>704</v>
      </c>
      <c r="Y150" t="n">
        <v>704</v>
      </c>
      <c r="Z150" t="n">
        <v>380</v>
      </c>
      <c r="AA150" t="n">
        <v>556.4299999999999</v>
      </c>
      <c r="AB150" t="n">
        <v>499.28</v>
      </c>
      <c r="AC150" t="n">
        <v>725.29</v>
      </c>
      <c r="AD150" t="n">
        <v>826.64</v>
      </c>
      <c r="AE150" t="n">
        <v>843.95</v>
      </c>
      <c r="AF150" t="n">
        <v>842.27</v>
      </c>
      <c r="AG150" t="n">
        <v>862.4</v>
      </c>
      <c r="AH150" t="n">
        <v>862.4</v>
      </c>
      <c r="AI150" t="n">
        <v>704</v>
      </c>
      <c r="AJ150" t="n">
        <v>704</v>
      </c>
      <c r="AK150" t="n">
        <v>704</v>
      </c>
      <c r="AL150" t="n">
        <v>862.4</v>
      </c>
      <c r="AM150" t="n">
        <v>862.4</v>
      </c>
      <c r="AN150" t="n">
        <v>857.99</v>
      </c>
      <c r="AO150" t="n">
        <v>862.4</v>
      </c>
      <c r="AP150" t="n">
        <v>862.4</v>
      </c>
      <c r="AQ150" t="n">
        <v>803.5700000000001</v>
      </c>
      <c r="AR150" t="n">
        <v>704</v>
      </c>
      <c r="AS150" t="n">
        <v>836.72</v>
      </c>
      <c r="AT150" t="n">
        <v>862.4</v>
      </c>
      <c r="AU150" t="n">
        <v>862.4</v>
      </c>
      <c r="AV150" t="n">
        <v>704</v>
      </c>
      <c r="AW150" t="n">
        <v>704</v>
      </c>
      <c r="AX150" t="n">
        <v>380</v>
      </c>
    </row>
    <row r="151">
      <c r="A151" t="inlineStr">
        <is>
          <t>PLTGU JAWA 1 CILAMAYA #2</t>
        </is>
      </c>
      <c r="B151" t="n">
        <v>880</v>
      </c>
      <c r="C151" t="n">
        <v>380</v>
      </c>
      <c r="D151" t="n">
        <v>468.1</v>
      </c>
      <c r="E151" t="n">
        <v>380</v>
      </c>
      <c r="F151" t="n">
        <v>400</v>
      </c>
      <c r="G151" t="n">
        <v>480</v>
      </c>
      <c r="H151" t="n">
        <v>450</v>
      </c>
      <c r="I151" t="n">
        <v>450</v>
      </c>
      <c r="J151" t="n">
        <v>500</v>
      </c>
      <c r="K151" t="n">
        <v>450</v>
      </c>
      <c r="L151" t="n">
        <v>440</v>
      </c>
      <c r="M151" t="n">
        <v>450</v>
      </c>
      <c r="N151" t="n">
        <v>420</v>
      </c>
      <c r="O151" t="n">
        <v>380</v>
      </c>
      <c r="P151" t="n">
        <v>380</v>
      </c>
      <c r="Q151" t="n">
        <v>528.9</v>
      </c>
      <c r="R151" t="n">
        <v>506.57</v>
      </c>
      <c r="S151" t="n">
        <v>704</v>
      </c>
      <c r="T151" t="n">
        <v>704</v>
      </c>
      <c r="U151" t="n">
        <v>704</v>
      </c>
      <c r="V151" t="n">
        <v>704</v>
      </c>
      <c r="W151" t="n">
        <v>704</v>
      </c>
      <c r="X151" t="n">
        <v>695.12</v>
      </c>
      <c r="Y151" t="n">
        <v>626.9299999999999</v>
      </c>
      <c r="Z151" t="n">
        <v>602.53</v>
      </c>
      <c r="AA151" t="n">
        <v>380</v>
      </c>
      <c r="AB151" t="n">
        <v>704</v>
      </c>
      <c r="AC151" t="n">
        <v>862.4</v>
      </c>
      <c r="AD151" t="n">
        <v>862.4</v>
      </c>
      <c r="AE151" t="n">
        <v>862.4</v>
      </c>
      <c r="AF151" t="n">
        <v>862.4</v>
      </c>
      <c r="AG151" t="n">
        <v>844.59</v>
      </c>
      <c r="AH151" t="n">
        <v>729.5</v>
      </c>
      <c r="AI151" t="n">
        <v>704</v>
      </c>
      <c r="AJ151" t="n">
        <v>639.26</v>
      </c>
      <c r="AK151" t="n">
        <v>704</v>
      </c>
      <c r="AL151" t="n">
        <v>862.4</v>
      </c>
      <c r="AM151" t="n">
        <v>862.4</v>
      </c>
      <c r="AN151" t="n">
        <v>862.4</v>
      </c>
      <c r="AO151" t="n">
        <v>719.71</v>
      </c>
      <c r="AP151" t="n">
        <v>826.9299999999999</v>
      </c>
      <c r="AQ151" t="n">
        <v>862.4</v>
      </c>
      <c r="AR151" t="n">
        <v>704</v>
      </c>
      <c r="AS151" t="n">
        <v>862.4</v>
      </c>
      <c r="AT151" t="n">
        <v>816.35</v>
      </c>
      <c r="AU151" t="n">
        <v>734.5</v>
      </c>
      <c r="AV151" t="n">
        <v>704</v>
      </c>
      <c r="AW151" t="n">
        <v>704</v>
      </c>
      <c r="AX151" t="n">
        <v>633.76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</row>
    <row r="153">
      <c r="A153" t="inlineStr">
        <is>
          <t>PLTU CEPR #1</t>
        </is>
      </c>
      <c r="B153" t="n">
        <v>924</v>
      </c>
      <c r="C153" t="n">
        <v>685.1900000000001</v>
      </c>
      <c r="D153" t="n">
        <v>833</v>
      </c>
      <c r="E153" t="n">
        <v>833</v>
      </c>
      <c r="F153" t="n">
        <v>833</v>
      </c>
      <c r="G153" t="n">
        <v>833</v>
      </c>
      <c r="H153" t="n">
        <v>833</v>
      </c>
      <c r="I153" t="n">
        <v>833</v>
      </c>
      <c r="J153" t="n">
        <v>833</v>
      </c>
      <c r="K153" t="n">
        <v>882</v>
      </c>
      <c r="L153" t="n">
        <v>905.52</v>
      </c>
      <c r="M153" t="n">
        <v>905.52</v>
      </c>
      <c r="N153" t="n">
        <v>905.52</v>
      </c>
      <c r="O153" t="n">
        <v>905.52</v>
      </c>
      <c r="P153" t="n">
        <v>689.83</v>
      </c>
      <c r="Q153" t="n">
        <v>905.52</v>
      </c>
      <c r="R153" t="n">
        <v>905.52</v>
      </c>
      <c r="S153" t="n">
        <v>905.52</v>
      </c>
      <c r="T153" t="n">
        <v>905.52</v>
      </c>
      <c r="U153" t="n">
        <v>905.52</v>
      </c>
      <c r="V153" t="n">
        <v>905.52</v>
      </c>
      <c r="W153" t="n">
        <v>905.52</v>
      </c>
      <c r="X153" t="n">
        <v>905.52</v>
      </c>
      <c r="Y153" t="n">
        <v>905.52</v>
      </c>
      <c r="Z153" t="n">
        <v>905.52</v>
      </c>
      <c r="AA153" t="n">
        <v>905.52</v>
      </c>
      <c r="AB153" t="n">
        <v>905.52</v>
      </c>
      <c r="AC153" t="n">
        <v>905.52</v>
      </c>
      <c r="AD153" t="n">
        <v>905.52</v>
      </c>
      <c r="AE153" t="n">
        <v>905.52</v>
      </c>
      <c r="AF153" t="n">
        <v>905.52</v>
      </c>
      <c r="AG153" t="n">
        <v>905.52</v>
      </c>
      <c r="AH153" t="n">
        <v>905.52</v>
      </c>
      <c r="AI153" t="n">
        <v>905.52</v>
      </c>
      <c r="AJ153" t="n">
        <v>905.52</v>
      </c>
      <c r="AK153" t="n">
        <v>905.52</v>
      </c>
      <c r="AL153" t="n">
        <v>905.52</v>
      </c>
      <c r="AM153" t="n">
        <v>905.52</v>
      </c>
      <c r="AN153" t="n">
        <v>905.52</v>
      </c>
      <c r="AO153" t="n">
        <v>905.52</v>
      </c>
      <c r="AP153" t="n">
        <v>905.52</v>
      </c>
      <c r="AQ153" t="n">
        <v>905.52</v>
      </c>
      <c r="AR153" t="n">
        <v>905.52</v>
      </c>
      <c r="AS153" t="n">
        <v>905.52</v>
      </c>
      <c r="AT153" t="n">
        <v>905.52</v>
      </c>
      <c r="AU153" t="n">
        <v>905.52</v>
      </c>
      <c r="AV153" t="n">
        <v>905.52</v>
      </c>
      <c r="AW153" t="n">
        <v>905.52</v>
      </c>
      <c r="AX153" t="n">
        <v>905.52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</row>
    <row r="155">
      <c r="A155" t="inlineStr">
        <is>
          <t>PLTS CRATA #1</t>
        </is>
      </c>
      <c r="B155" t="n">
        <v>145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1.1</v>
      </c>
      <c r="O155" t="n">
        <v>12.64</v>
      </c>
      <c r="P155" t="n">
        <v>26.94</v>
      </c>
      <c r="Q155" t="n">
        <v>48.64</v>
      </c>
      <c r="R155" t="n">
        <v>62.68</v>
      </c>
      <c r="S155" t="n">
        <v>70.87</v>
      </c>
      <c r="T155" t="n">
        <v>83.8</v>
      </c>
      <c r="U155" t="n">
        <v>92.5</v>
      </c>
      <c r="V155" t="n">
        <v>101.67</v>
      </c>
      <c r="W155" t="n">
        <v>107.96</v>
      </c>
      <c r="X155" t="n">
        <v>112.43</v>
      </c>
      <c r="Y155" t="n">
        <v>114.41</v>
      </c>
      <c r="Z155" t="n">
        <v>114.46</v>
      </c>
      <c r="AA155" t="n">
        <v>110.68</v>
      </c>
      <c r="AB155" t="n">
        <v>106.8</v>
      </c>
      <c r="AC155" t="n">
        <v>98.36</v>
      </c>
      <c r="AD155" t="n">
        <v>83.41</v>
      </c>
      <c r="AE155" t="n">
        <v>82.20999999999999</v>
      </c>
      <c r="AF155" t="n">
        <v>80.27</v>
      </c>
      <c r="AG155" t="n">
        <v>48.2</v>
      </c>
      <c r="AH155" t="n">
        <v>30.98</v>
      </c>
      <c r="AI155" t="n">
        <v>31.89</v>
      </c>
      <c r="AJ155" t="n">
        <v>15.27</v>
      </c>
      <c r="AK155" t="n">
        <v>1.97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inlineStr">
        <is>
          <t>PLTS CRATA #1</t>
        </is>
      </c>
      <c r="B156" t="n">
        <v>1e-05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</row>
    <row r="158">
      <c r="A158" t="inlineStr">
        <is>
          <t>PLTA ENS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</row>
    <row r="160">
      <c r="A160" t="inlineStr">
        <is>
          <t>Pembangkitan Area</t>
        </is>
      </c>
      <c r="B160" t="inlineStr"/>
      <c r="C160" t="n">
        <v>3641.03</v>
      </c>
      <c r="D160" t="n">
        <v>3876.94</v>
      </c>
      <c r="E160" t="n">
        <v>3974.72</v>
      </c>
      <c r="F160" t="n">
        <v>3989.75</v>
      </c>
      <c r="G160" t="n">
        <v>4095.9</v>
      </c>
      <c r="H160" t="n">
        <v>3928.84</v>
      </c>
      <c r="I160" t="n">
        <v>3928.84</v>
      </c>
      <c r="J160" t="n">
        <v>4056.55</v>
      </c>
      <c r="K160" t="n">
        <v>3968.84</v>
      </c>
      <c r="L160" t="n">
        <v>4092.36</v>
      </c>
      <c r="M160" t="n">
        <v>4237.21</v>
      </c>
      <c r="N160" t="n">
        <v>4053.46</v>
      </c>
      <c r="O160" t="n">
        <v>3986</v>
      </c>
      <c r="P160" t="n">
        <v>3784.61</v>
      </c>
      <c r="Q160" t="n">
        <v>4310.9</v>
      </c>
      <c r="R160" t="n">
        <v>4736.61</v>
      </c>
      <c r="S160" t="n">
        <v>5247.8</v>
      </c>
      <c r="T160" t="n">
        <v>5261.93</v>
      </c>
      <c r="U160" t="n">
        <v>5521.31</v>
      </c>
      <c r="V160" t="n">
        <v>5648.55</v>
      </c>
      <c r="W160" t="n">
        <v>5828.06</v>
      </c>
      <c r="X160" t="n">
        <v>5867.94</v>
      </c>
      <c r="Y160" t="n">
        <v>5621.78</v>
      </c>
      <c r="Z160" t="n">
        <v>4903.68</v>
      </c>
      <c r="AA160" t="n">
        <v>4900.69</v>
      </c>
      <c r="AB160" t="n">
        <v>5433.33</v>
      </c>
      <c r="AC160" t="n">
        <v>6550.81</v>
      </c>
      <c r="AD160" t="n">
        <v>6637.19</v>
      </c>
      <c r="AE160" t="n">
        <v>6655.13</v>
      </c>
      <c r="AF160" t="n">
        <v>6639.54</v>
      </c>
      <c r="AG160" t="n">
        <v>6617.7</v>
      </c>
      <c r="AH160" t="n">
        <v>6540.26</v>
      </c>
      <c r="AI160" t="n">
        <v>6462.78</v>
      </c>
      <c r="AJ160" t="n">
        <v>6357.73</v>
      </c>
      <c r="AK160" t="n">
        <v>6628.98</v>
      </c>
      <c r="AL160" t="n">
        <v>6980.32</v>
      </c>
      <c r="AM160" t="n">
        <v>6948.21</v>
      </c>
      <c r="AN160" t="n">
        <v>6939.4</v>
      </c>
      <c r="AO160" t="n">
        <v>6798.19</v>
      </c>
      <c r="AP160" t="n">
        <v>6905.48</v>
      </c>
      <c r="AQ160" t="n">
        <v>6882.23</v>
      </c>
      <c r="AR160" t="n">
        <v>6613.57</v>
      </c>
      <c r="AS160" t="n">
        <v>6838.68</v>
      </c>
      <c r="AT160" t="n">
        <v>6629.48</v>
      </c>
      <c r="AU160" t="n">
        <v>6390.48</v>
      </c>
      <c r="AV160" t="n">
        <v>5788.74</v>
      </c>
      <c r="AW160" t="n">
        <v>5614.78</v>
      </c>
      <c r="AX160" t="n">
        <v>4699.77</v>
      </c>
    </row>
    <row r="161">
      <c r="A161" t="inlineStr">
        <is>
          <t>Beban Area</t>
        </is>
      </c>
      <c r="B161" t="inlineStr"/>
      <c r="C161" t="n">
        <v>5611.22</v>
      </c>
      <c r="D161" t="n">
        <v>5556.5</v>
      </c>
      <c r="E161" t="n">
        <v>5559.7</v>
      </c>
      <c r="F161" t="n">
        <v>5487.27</v>
      </c>
      <c r="G161" t="n">
        <v>5454.03</v>
      </c>
      <c r="H161" t="n">
        <v>5419.43</v>
      </c>
      <c r="I161" t="n">
        <v>5449.91</v>
      </c>
      <c r="J161" t="n">
        <v>5496.09</v>
      </c>
      <c r="K161" t="n">
        <v>5653.09</v>
      </c>
      <c r="L161" t="n">
        <v>5849.75</v>
      </c>
      <c r="M161" t="n">
        <v>6062.53</v>
      </c>
      <c r="N161" t="n">
        <v>5991.73</v>
      </c>
      <c r="O161" t="n">
        <v>5881.08</v>
      </c>
      <c r="P161" t="n">
        <v>5906.04</v>
      </c>
      <c r="Q161" t="n">
        <v>6154.67</v>
      </c>
      <c r="R161" t="n">
        <v>6386.04</v>
      </c>
      <c r="S161" t="n">
        <v>6622.96</v>
      </c>
      <c r="T161" t="n">
        <v>6699.48</v>
      </c>
      <c r="U161" t="n">
        <v>6777.92</v>
      </c>
      <c r="V161" t="n">
        <v>6814.69</v>
      </c>
      <c r="W161" t="n">
        <v>6906.12</v>
      </c>
      <c r="X161" t="n">
        <v>6871.25</v>
      </c>
      <c r="Y161" t="n">
        <v>6792.99</v>
      </c>
      <c r="Z161" t="n">
        <v>6575.48</v>
      </c>
      <c r="AA161" t="n">
        <v>6591.31</v>
      </c>
      <c r="AB161" t="n">
        <v>6835.87</v>
      </c>
      <c r="AC161" t="n">
        <v>7066.63</v>
      </c>
      <c r="AD161" t="n">
        <v>7114.41</v>
      </c>
      <c r="AE161" t="n">
        <v>7145.62</v>
      </c>
      <c r="AF161" t="n">
        <v>7149</v>
      </c>
      <c r="AG161" t="n">
        <v>7216.61</v>
      </c>
      <c r="AH161" t="n">
        <v>7211.11</v>
      </c>
      <c r="AI161" t="n">
        <v>7202.71</v>
      </c>
      <c r="AJ161" t="n">
        <v>7198.02</v>
      </c>
      <c r="AK161" t="n">
        <v>7282.94</v>
      </c>
      <c r="AL161" t="n">
        <v>7501.56</v>
      </c>
      <c r="AM161" t="n">
        <v>7439</v>
      </c>
      <c r="AN161" t="n">
        <v>7375.06</v>
      </c>
      <c r="AO161" t="n">
        <v>7350.95</v>
      </c>
      <c r="AP161" t="n">
        <v>7340.11</v>
      </c>
      <c r="AQ161" t="n">
        <v>7352.65</v>
      </c>
      <c r="AR161" t="n">
        <v>7238.87</v>
      </c>
      <c r="AS161" t="n">
        <v>7108.86</v>
      </c>
      <c r="AT161" t="n">
        <v>6963.52</v>
      </c>
      <c r="AU161" t="n">
        <v>6839.05</v>
      </c>
      <c r="AV161" t="n">
        <v>6696.74</v>
      </c>
      <c r="AW161" t="n">
        <v>6571.76</v>
      </c>
      <c r="AX161" t="n">
        <v>6442.47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</row>
    <row r="163">
      <c r="A163" t="inlineStr">
        <is>
          <t>RJTD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</row>
    <row r="164">
      <c r="A164" t="inlineStr"/>
      <c r="B164" t="inlineStr"/>
      <c r="C164" t="inlineStr">
        <is>
          <t>PT. INDONESIA POWER</t>
        </is>
      </c>
      <c r="D164" t="inlineStr">
        <is>
          <t>PT. INDONESIA POWER</t>
        </is>
      </c>
      <c r="E164" t="inlineStr">
        <is>
          <t>PT. INDONESIA POWER</t>
        </is>
      </c>
      <c r="F164" t="inlineStr">
        <is>
          <t>PT. INDONESIA POWER</t>
        </is>
      </c>
      <c r="G164" t="inlineStr">
        <is>
          <t>PT. INDONESIA POWER</t>
        </is>
      </c>
      <c r="H164" t="inlineStr">
        <is>
          <t>PT. INDONESIA POWER</t>
        </is>
      </c>
      <c r="I164" t="inlineStr">
        <is>
          <t>PT. INDONESIA POWER</t>
        </is>
      </c>
      <c r="J164" t="inlineStr">
        <is>
          <t>PT. INDONESIA POWER</t>
        </is>
      </c>
      <c r="K164" t="inlineStr">
        <is>
          <t>PT. INDONESIA POWER</t>
        </is>
      </c>
      <c r="L164" t="inlineStr">
        <is>
          <t>PT. INDONESIA POWER</t>
        </is>
      </c>
      <c r="M164" t="inlineStr">
        <is>
          <t>PT. INDONESIA POWER</t>
        </is>
      </c>
      <c r="N164" t="inlineStr">
        <is>
          <t>PT. INDONESIA POWER</t>
        </is>
      </c>
      <c r="O164" t="inlineStr">
        <is>
          <t>PT. INDONESIA POWER</t>
        </is>
      </c>
      <c r="P164" t="inlineStr">
        <is>
          <t>PT. INDONESIA POWER</t>
        </is>
      </c>
      <c r="Q164" t="inlineStr">
        <is>
          <t>PT. INDONESIA POWER</t>
        </is>
      </c>
      <c r="R164" t="inlineStr">
        <is>
          <t>PT. INDONESIA POWER</t>
        </is>
      </c>
      <c r="S164" t="inlineStr">
        <is>
          <t>PT. INDONESIA POWER</t>
        </is>
      </c>
      <c r="T164" t="inlineStr">
        <is>
          <t>PT. INDONESIA POWER</t>
        </is>
      </c>
      <c r="U164" t="inlineStr">
        <is>
          <t>PT. INDONESIA POWER</t>
        </is>
      </c>
      <c r="V164" t="inlineStr">
        <is>
          <t>PT. INDONESIA POWER</t>
        </is>
      </c>
      <c r="W164" t="inlineStr">
        <is>
          <t>PT. INDONESIA POWER</t>
        </is>
      </c>
      <c r="X164" t="inlineStr">
        <is>
          <t>PT. INDONESIA POWER</t>
        </is>
      </c>
      <c r="Y164" t="inlineStr">
        <is>
          <t>PT. INDONESIA POWER</t>
        </is>
      </c>
      <c r="Z164" t="inlineStr">
        <is>
          <t>PT. INDONESIA POWER</t>
        </is>
      </c>
      <c r="AA164" t="inlineStr">
        <is>
          <t>PT. INDONESIA POWER</t>
        </is>
      </c>
      <c r="AB164" t="inlineStr">
        <is>
          <t>PT. INDONESIA POWER</t>
        </is>
      </c>
      <c r="AC164" t="inlineStr">
        <is>
          <t>PT. INDONESIA POWER</t>
        </is>
      </c>
      <c r="AD164" t="inlineStr">
        <is>
          <t>PT. INDONESIA POWER</t>
        </is>
      </c>
      <c r="AE164" t="inlineStr">
        <is>
          <t>PT. INDONESIA POWER</t>
        </is>
      </c>
      <c r="AF164" t="inlineStr">
        <is>
          <t>PT. INDONESIA POWER</t>
        </is>
      </c>
      <c r="AG164" t="inlineStr">
        <is>
          <t>PT. INDONESIA POWER</t>
        </is>
      </c>
      <c r="AH164" t="inlineStr">
        <is>
          <t>PT. INDONESIA POWER</t>
        </is>
      </c>
      <c r="AI164" t="inlineStr">
        <is>
          <t>PT. INDONESIA POWER</t>
        </is>
      </c>
      <c r="AJ164" t="inlineStr">
        <is>
          <t>PT. INDONESIA POWER</t>
        </is>
      </c>
      <c r="AK164" t="inlineStr">
        <is>
          <t>PT. INDONESIA POWER</t>
        </is>
      </c>
      <c r="AL164" t="inlineStr">
        <is>
          <t>PT. INDONESIA POWER</t>
        </is>
      </c>
      <c r="AM164" t="inlineStr">
        <is>
          <t>PT. INDONESIA POWER</t>
        </is>
      </c>
      <c r="AN164" t="inlineStr">
        <is>
          <t>PT. INDONESIA POWER</t>
        </is>
      </c>
      <c r="AO164" t="inlineStr">
        <is>
          <t>PT. INDONESIA POWER</t>
        </is>
      </c>
      <c r="AP164" t="inlineStr">
        <is>
          <t>PT. INDONESIA POWER</t>
        </is>
      </c>
      <c r="AQ164" t="inlineStr">
        <is>
          <t>PT. INDONESIA POWER</t>
        </is>
      </c>
      <c r="AR164" t="inlineStr">
        <is>
          <t>PT. INDONESIA POWER</t>
        </is>
      </c>
      <c r="AS164" t="inlineStr">
        <is>
          <t>PT. INDONESIA POWER</t>
        </is>
      </c>
      <c r="AT164" t="inlineStr">
        <is>
          <t>PT. INDONESIA POWER</t>
        </is>
      </c>
      <c r="AU164" t="inlineStr">
        <is>
          <t>PT. INDONESIA POWER</t>
        </is>
      </c>
      <c r="AV164" t="inlineStr">
        <is>
          <t>PT. INDONESIA POWER</t>
        </is>
      </c>
      <c r="AW164" t="inlineStr">
        <is>
          <t>PT. INDONESIA POWER</t>
        </is>
      </c>
      <c r="AX164" t="inlineStr">
        <is>
          <t>PT. INDONESIA POWER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</row>
    <row r="166">
      <c r="A166" t="inlineStr">
        <is>
          <t>PLTA Region 3</t>
        </is>
      </c>
      <c r="B166" t="inlineStr"/>
      <c r="C166" t="n">
        <v>8</v>
      </c>
      <c r="D166" t="n">
        <v>8</v>
      </c>
      <c r="E166" t="n">
        <v>8</v>
      </c>
      <c r="F166" t="n">
        <v>8</v>
      </c>
      <c r="G166" t="n">
        <v>8</v>
      </c>
      <c r="H166" t="n">
        <v>8</v>
      </c>
      <c r="I166" t="n">
        <v>8</v>
      </c>
      <c r="J166" t="n">
        <v>8</v>
      </c>
      <c r="K166" t="n">
        <v>8</v>
      </c>
      <c r="L166" t="n">
        <v>8</v>
      </c>
      <c r="M166" t="n">
        <v>8</v>
      </c>
      <c r="N166" t="n">
        <v>8</v>
      </c>
      <c r="O166" t="n">
        <v>8</v>
      </c>
      <c r="P166" t="n">
        <v>8</v>
      </c>
      <c r="Q166" t="n">
        <v>8</v>
      </c>
      <c r="R166" t="n">
        <v>14</v>
      </c>
      <c r="S166" t="n">
        <v>14</v>
      </c>
      <c r="T166" t="n">
        <v>14</v>
      </c>
      <c r="U166" t="n">
        <v>14</v>
      </c>
      <c r="V166" t="n">
        <v>14</v>
      </c>
      <c r="W166" t="n">
        <v>14</v>
      </c>
      <c r="X166" t="n">
        <v>14</v>
      </c>
      <c r="Y166" t="n">
        <v>14</v>
      </c>
      <c r="Z166" t="n">
        <v>14</v>
      </c>
      <c r="AA166" t="n">
        <v>14</v>
      </c>
      <c r="AB166" t="n">
        <v>27</v>
      </c>
      <c r="AC166" t="n">
        <v>27</v>
      </c>
      <c r="AD166" t="n">
        <v>27</v>
      </c>
      <c r="AE166" t="n">
        <v>27</v>
      </c>
      <c r="AF166" t="n">
        <v>27</v>
      </c>
      <c r="AG166" t="n">
        <v>27</v>
      </c>
      <c r="AH166" t="n">
        <v>27</v>
      </c>
      <c r="AI166" t="n">
        <v>27</v>
      </c>
      <c r="AJ166" t="n">
        <v>27</v>
      </c>
      <c r="AK166" t="n">
        <v>27</v>
      </c>
      <c r="AL166" t="n">
        <v>27</v>
      </c>
      <c r="AM166" t="n">
        <v>27</v>
      </c>
      <c r="AN166" t="n">
        <v>27</v>
      </c>
      <c r="AO166" t="n">
        <v>27</v>
      </c>
      <c r="AP166" t="n">
        <v>27</v>
      </c>
      <c r="AQ166" t="n">
        <v>27</v>
      </c>
      <c r="AR166" t="n">
        <v>27</v>
      </c>
      <c r="AS166" t="n">
        <v>14</v>
      </c>
      <c r="AT166" t="n">
        <v>14</v>
      </c>
      <c r="AU166" t="n">
        <v>14</v>
      </c>
      <c r="AV166" t="n">
        <v>14</v>
      </c>
      <c r="AW166" t="n">
        <v>14</v>
      </c>
      <c r="AX166" t="n">
        <v>14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</row>
    <row r="168">
      <c r="A168" t="inlineStr">
        <is>
          <t>PLTA MRICA</t>
        </is>
      </c>
      <c r="B168" t="inlineStr"/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30</v>
      </c>
      <c r="Z168" t="n">
        <v>30</v>
      </c>
      <c r="AA168" t="n">
        <v>30</v>
      </c>
      <c r="AB168" t="n">
        <v>30</v>
      </c>
      <c r="AC168" t="n">
        <v>30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30</v>
      </c>
      <c r="AK168" t="n">
        <v>30</v>
      </c>
      <c r="AL168" t="n">
        <v>30</v>
      </c>
      <c r="AM168" t="n">
        <v>30</v>
      </c>
      <c r="AN168" t="n">
        <v>30</v>
      </c>
      <c r="AO168" t="n">
        <v>30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</row>
    <row r="170">
      <c r="A170" t="inlineStr">
        <is>
          <t>PLTU TBROK #3</t>
        </is>
      </c>
      <c r="B170" t="n">
        <v>110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</row>
    <row r="172">
      <c r="A172" t="inlineStr">
        <is>
          <t>PLTGU TBROK #1</t>
        </is>
      </c>
      <c r="B172" t="inlineStr"/>
      <c r="C172" t="n">
        <v>101.61</v>
      </c>
      <c r="D172" t="n">
        <v>101.61</v>
      </c>
      <c r="E172" t="n">
        <v>101.61</v>
      </c>
      <c r="F172" t="n">
        <v>101.61</v>
      </c>
      <c r="G172" t="n">
        <v>101.61</v>
      </c>
      <c r="H172" t="n">
        <v>101.61</v>
      </c>
      <c r="I172" t="n">
        <v>101.61</v>
      </c>
      <c r="J172" t="n">
        <v>101.61</v>
      </c>
      <c r="K172" t="n">
        <v>101.61</v>
      </c>
      <c r="L172" t="n">
        <v>101.61</v>
      </c>
      <c r="M172" t="n">
        <v>101.61</v>
      </c>
      <c r="N172" t="n">
        <v>101.61</v>
      </c>
      <c r="O172" t="n">
        <v>101.61</v>
      </c>
      <c r="P172" t="n">
        <v>101.61</v>
      </c>
      <c r="Q172" t="n">
        <v>101.61</v>
      </c>
      <c r="R172" t="n">
        <v>101.61</v>
      </c>
      <c r="S172" t="n">
        <v>101.61</v>
      </c>
      <c r="T172" t="n">
        <v>116.13</v>
      </c>
      <c r="U172" t="n">
        <v>116.13</v>
      </c>
      <c r="V172" t="n">
        <v>217.74</v>
      </c>
      <c r="W172" t="n">
        <v>275.81</v>
      </c>
      <c r="X172" t="n">
        <v>275.81</v>
      </c>
      <c r="Y172" t="n">
        <v>275.81</v>
      </c>
      <c r="Z172" t="n">
        <v>246.77</v>
      </c>
      <c r="AA172" t="n">
        <v>246.77</v>
      </c>
      <c r="AB172" t="n">
        <v>309.19</v>
      </c>
      <c r="AC172" t="n">
        <v>309.19</v>
      </c>
      <c r="AD172" t="n">
        <v>309.19</v>
      </c>
      <c r="AE172" t="n">
        <v>309.19</v>
      </c>
      <c r="AF172" t="n">
        <v>309.19</v>
      </c>
      <c r="AG172" t="n">
        <v>309.19</v>
      </c>
      <c r="AH172" t="n">
        <v>298.32</v>
      </c>
      <c r="AI172" t="n">
        <v>249.17</v>
      </c>
      <c r="AJ172" t="n">
        <v>261.68</v>
      </c>
      <c r="AK172" t="n">
        <v>298.32</v>
      </c>
      <c r="AL172" t="n">
        <v>307.03</v>
      </c>
      <c r="AM172" t="n">
        <v>298.32</v>
      </c>
      <c r="AN172" t="n">
        <v>298.32</v>
      </c>
      <c r="AO172" t="n">
        <v>298.32</v>
      </c>
      <c r="AP172" t="n">
        <v>293.64</v>
      </c>
      <c r="AQ172" t="n">
        <v>246.77</v>
      </c>
      <c r="AR172" t="n">
        <v>246.77</v>
      </c>
      <c r="AS172" t="n">
        <v>246.77</v>
      </c>
      <c r="AT172" t="n">
        <v>246.77</v>
      </c>
      <c r="AU172" t="n">
        <v>101.61</v>
      </c>
      <c r="AV172" t="n">
        <v>101.61</v>
      </c>
      <c r="AW172" t="n">
        <v>101.61</v>
      </c>
      <c r="AX172" t="n">
        <v>101.61</v>
      </c>
    </row>
    <row r="173">
      <c r="A173" t="inlineStr">
        <is>
          <t>PLTGU TBROK #2</t>
        </is>
      </c>
      <c r="B173" t="inlineStr"/>
      <c r="C173" t="n">
        <v>101.61</v>
      </c>
      <c r="D173" t="n">
        <v>101.61</v>
      </c>
      <c r="E173" t="n">
        <v>101.61</v>
      </c>
      <c r="F173" t="n">
        <v>101.61</v>
      </c>
      <c r="G173" t="n">
        <v>101.61</v>
      </c>
      <c r="H173" t="n">
        <v>101.61</v>
      </c>
      <c r="I173" t="n">
        <v>101.61</v>
      </c>
      <c r="J173" t="n">
        <v>101.61</v>
      </c>
      <c r="K173" t="n">
        <v>101.61</v>
      </c>
      <c r="L173" t="n">
        <v>101.61</v>
      </c>
      <c r="M173" t="n">
        <v>101.61</v>
      </c>
      <c r="N173" t="n">
        <v>101.61</v>
      </c>
      <c r="O173" t="n">
        <v>101.61</v>
      </c>
      <c r="P173" t="n">
        <v>203.23</v>
      </c>
      <c r="Q173" t="n">
        <v>203.23</v>
      </c>
      <c r="R173" t="n">
        <v>304.84</v>
      </c>
      <c r="S173" t="n">
        <v>304.84</v>
      </c>
      <c r="T173" t="n">
        <v>348.39</v>
      </c>
      <c r="U173" t="n">
        <v>348.39</v>
      </c>
      <c r="V173" t="n">
        <v>348.39</v>
      </c>
      <c r="W173" t="n">
        <v>348.39</v>
      </c>
      <c r="X173" t="n">
        <v>348.39</v>
      </c>
      <c r="Y173" t="n">
        <v>348.39</v>
      </c>
      <c r="Z173" t="n">
        <v>304.84</v>
      </c>
      <c r="AA173" t="n">
        <v>304.84</v>
      </c>
      <c r="AB173" t="n">
        <v>404</v>
      </c>
      <c r="AC173" t="n">
        <v>404</v>
      </c>
      <c r="AD173" t="n">
        <v>404</v>
      </c>
      <c r="AE173" t="n">
        <v>404</v>
      </c>
      <c r="AF173" t="n">
        <v>404</v>
      </c>
      <c r="AG173" t="n">
        <v>404</v>
      </c>
      <c r="AH173" t="n">
        <v>304.84</v>
      </c>
      <c r="AI173" t="n">
        <v>304.84</v>
      </c>
      <c r="AJ173" t="n">
        <v>304.84</v>
      </c>
      <c r="AK173" t="n">
        <v>304.84</v>
      </c>
      <c r="AL173" t="n">
        <v>315</v>
      </c>
      <c r="AM173" t="n">
        <v>304.84</v>
      </c>
      <c r="AN173" t="n">
        <v>304.84</v>
      </c>
      <c r="AO173" t="n">
        <v>304.84</v>
      </c>
      <c r="AP173" t="n">
        <v>304.84</v>
      </c>
      <c r="AQ173" t="n">
        <v>304.84</v>
      </c>
      <c r="AR173" t="n">
        <v>304.84</v>
      </c>
      <c r="AS173" t="n">
        <v>203.23</v>
      </c>
      <c r="AT173" t="n">
        <v>101.61</v>
      </c>
      <c r="AU173" t="n">
        <v>101.61</v>
      </c>
      <c r="AV173" t="n">
        <v>101.61</v>
      </c>
      <c r="AW173" t="n">
        <v>101.61</v>
      </c>
      <c r="AX173" t="n">
        <v>101.61</v>
      </c>
    </row>
    <row r="174">
      <c r="A174" t="inlineStr">
        <is>
          <t>PLTGU TBROK B-3</t>
        </is>
      </c>
      <c r="B174" t="n">
        <v>773.39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</row>
    <row r="176">
      <c r="A176" t="inlineStr">
        <is>
          <t>PLTU ADIPALA #1</t>
        </is>
      </c>
      <c r="B176" t="n">
        <v>615</v>
      </c>
      <c r="C176" t="n">
        <v>458</v>
      </c>
      <c r="D176" t="n">
        <v>458</v>
      </c>
      <c r="E176" t="n">
        <v>458</v>
      </c>
      <c r="F176" t="n">
        <v>458</v>
      </c>
      <c r="G176" t="n">
        <v>458</v>
      </c>
      <c r="H176" t="n">
        <v>458</v>
      </c>
      <c r="I176" t="n">
        <v>458</v>
      </c>
      <c r="J176" t="n">
        <v>458</v>
      </c>
      <c r="K176" t="n">
        <v>458</v>
      </c>
      <c r="L176" t="n">
        <v>458</v>
      </c>
      <c r="M176" t="n">
        <v>458</v>
      </c>
      <c r="N176" t="n">
        <v>458</v>
      </c>
      <c r="O176" t="n">
        <v>458</v>
      </c>
      <c r="P176" t="n">
        <v>458</v>
      </c>
      <c r="Q176" t="n">
        <v>458</v>
      </c>
      <c r="R176" t="n">
        <v>458</v>
      </c>
      <c r="S176" t="n">
        <v>458</v>
      </c>
      <c r="T176" t="n">
        <v>458</v>
      </c>
      <c r="U176" t="n">
        <v>458</v>
      </c>
      <c r="V176" t="n">
        <v>458</v>
      </c>
      <c r="W176" t="n">
        <v>458</v>
      </c>
      <c r="X176" t="n">
        <v>458</v>
      </c>
      <c r="Y176" t="n">
        <v>458</v>
      </c>
      <c r="Z176" t="n">
        <v>458</v>
      </c>
      <c r="AA176" t="n">
        <v>458</v>
      </c>
      <c r="AB176" t="n">
        <v>458</v>
      </c>
      <c r="AC176" t="n">
        <v>458</v>
      </c>
      <c r="AD176" t="n">
        <v>458</v>
      </c>
      <c r="AE176" t="n">
        <v>458</v>
      </c>
      <c r="AF176" t="n">
        <v>458</v>
      </c>
      <c r="AG176" t="n">
        <v>458</v>
      </c>
      <c r="AH176" t="n">
        <v>458</v>
      </c>
      <c r="AI176" t="n">
        <v>458</v>
      </c>
      <c r="AJ176" t="n">
        <v>458</v>
      </c>
      <c r="AK176" t="n">
        <v>458</v>
      </c>
      <c r="AL176" t="n">
        <v>458</v>
      </c>
      <c r="AM176" t="n">
        <v>458</v>
      </c>
      <c r="AN176" t="n">
        <v>458</v>
      </c>
      <c r="AO176" t="n">
        <v>458</v>
      </c>
      <c r="AP176" t="n">
        <v>458</v>
      </c>
      <c r="AQ176" t="n">
        <v>458</v>
      </c>
      <c r="AR176" t="n">
        <v>458</v>
      </c>
      <c r="AS176" t="n">
        <v>458</v>
      </c>
      <c r="AT176" t="n">
        <v>458</v>
      </c>
      <c r="AU176" t="n">
        <v>458</v>
      </c>
      <c r="AV176" t="n">
        <v>458</v>
      </c>
      <c r="AW176" t="n">
        <v>458</v>
      </c>
      <c r="AX176" t="n">
        <v>458</v>
      </c>
    </row>
    <row r="177">
      <c r="A177" t="inlineStr"/>
      <c r="B177" t="inlineStr"/>
      <c r="C177" t="inlineStr">
        <is>
          <t>PT. PEMBANGKITAN JAWA-BALI</t>
        </is>
      </c>
      <c r="D177" t="inlineStr">
        <is>
          <t>PT. PEMBANGKITAN JAWA-BALI</t>
        </is>
      </c>
      <c r="E177" t="inlineStr">
        <is>
          <t>PT. PEMBANGKITAN JAWA-BALI</t>
        </is>
      </c>
      <c r="F177" t="inlineStr">
        <is>
          <t>PT. PEMBANGKITAN JAWA-BALI</t>
        </is>
      </c>
      <c r="G177" t="inlineStr">
        <is>
          <t>PT. PEMBANGKITAN JAWA-BALI</t>
        </is>
      </c>
      <c r="H177" t="inlineStr">
        <is>
          <t>PT. PEMBANGKITAN JAWA-BALI</t>
        </is>
      </c>
      <c r="I177" t="inlineStr">
        <is>
          <t>PT. PEMBANGKITAN JAWA-BALI</t>
        </is>
      </c>
      <c r="J177" t="inlineStr">
        <is>
          <t>PT. PEMBANGKITAN JAWA-BALI</t>
        </is>
      </c>
      <c r="K177" t="inlineStr">
        <is>
          <t>PT. PEMBANGKITAN JAWA-BALI</t>
        </is>
      </c>
      <c r="L177" t="inlineStr">
        <is>
          <t>PT. PEMBANGKITAN JAWA-BALI</t>
        </is>
      </c>
      <c r="M177" t="inlineStr">
        <is>
          <t>PT. PEMBANGKITAN JAWA-BALI</t>
        </is>
      </c>
      <c r="N177" t="inlineStr">
        <is>
          <t>PT. PEMBANGKITAN JAWA-BALI</t>
        </is>
      </c>
      <c r="O177" t="inlineStr">
        <is>
          <t>PT. PEMBANGKITAN JAWA-BALI</t>
        </is>
      </c>
      <c r="P177" t="inlineStr">
        <is>
          <t>PT. PEMBANGKITAN JAWA-BALI</t>
        </is>
      </c>
      <c r="Q177" t="inlineStr">
        <is>
          <t>PT. PEMBANGKITAN JAWA-BALI</t>
        </is>
      </c>
      <c r="R177" t="inlineStr">
        <is>
          <t>PT. PEMBANGKITAN JAWA-BALI</t>
        </is>
      </c>
      <c r="S177" t="inlineStr">
        <is>
          <t>PT. PEMBANGKITAN JAWA-BALI</t>
        </is>
      </c>
      <c r="T177" t="inlineStr">
        <is>
          <t>PT. PEMBANGKITAN JAWA-BALI</t>
        </is>
      </c>
      <c r="U177" t="inlineStr">
        <is>
          <t>PT. PEMBANGKITAN JAWA-BALI</t>
        </is>
      </c>
      <c r="V177" t="inlineStr">
        <is>
          <t>PT. PEMBANGKITAN JAWA-BALI</t>
        </is>
      </c>
      <c r="W177" t="inlineStr">
        <is>
          <t>PT. PEMBANGKITAN JAWA-BALI</t>
        </is>
      </c>
      <c r="X177" t="inlineStr">
        <is>
          <t>PT. PEMBANGKITAN JAWA-BALI</t>
        </is>
      </c>
      <c r="Y177" t="inlineStr">
        <is>
          <t>PT. PEMBANGKITAN JAWA-BALI</t>
        </is>
      </c>
      <c r="Z177" t="inlineStr">
        <is>
          <t>PT. PEMBANGKITAN JAWA-BALI</t>
        </is>
      </c>
      <c r="AA177" t="inlineStr">
        <is>
          <t>PT. PEMBANGKITAN JAWA-BALI</t>
        </is>
      </c>
      <c r="AB177" t="inlineStr">
        <is>
          <t>PT. PEMBANGKITAN JAWA-BALI</t>
        </is>
      </c>
      <c r="AC177" t="inlineStr">
        <is>
          <t>PT. PEMBANGKITAN JAWA-BALI</t>
        </is>
      </c>
      <c r="AD177" t="inlineStr">
        <is>
          <t>PT. PEMBANGKITAN JAWA-BALI</t>
        </is>
      </c>
      <c r="AE177" t="inlineStr">
        <is>
          <t>PT. PEMBANGKITAN JAWA-BALI</t>
        </is>
      </c>
      <c r="AF177" t="inlineStr">
        <is>
          <t>PT. PEMBANGKITAN JAWA-BALI</t>
        </is>
      </c>
      <c r="AG177" t="inlineStr">
        <is>
          <t>PT. PEMBANGKITAN JAWA-BALI</t>
        </is>
      </c>
      <c r="AH177" t="inlineStr">
        <is>
          <t>PT. PEMBANGKITAN JAWA-BALI</t>
        </is>
      </c>
      <c r="AI177" t="inlineStr">
        <is>
          <t>PT. PEMBANGKITAN JAWA-BALI</t>
        </is>
      </c>
      <c r="AJ177" t="inlineStr">
        <is>
          <t>PT. PEMBANGKITAN JAWA-BALI</t>
        </is>
      </c>
      <c r="AK177" t="inlineStr">
        <is>
          <t>PT. PEMBANGKITAN JAWA-BALI</t>
        </is>
      </c>
      <c r="AL177" t="inlineStr">
        <is>
          <t>PT. PEMBANGKITAN JAWA-BALI</t>
        </is>
      </c>
      <c r="AM177" t="inlineStr">
        <is>
          <t>PT. PEMBANGKITAN JAWA-BALI</t>
        </is>
      </c>
      <c r="AN177" t="inlineStr">
        <is>
          <t>PT. PEMBANGKITAN JAWA-BALI</t>
        </is>
      </c>
      <c r="AO177" t="inlineStr">
        <is>
          <t>PT. PEMBANGKITAN JAWA-BALI</t>
        </is>
      </c>
      <c r="AP177" t="inlineStr">
        <is>
          <t>PT. PEMBANGKITAN JAWA-BALI</t>
        </is>
      </c>
      <c r="AQ177" t="inlineStr">
        <is>
          <t>PT. PEMBANGKITAN JAWA-BALI</t>
        </is>
      </c>
      <c r="AR177" t="inlineStr">
        <is>
          <t>PT. PEMBANGKITAN JAWA-BALI</t>
        </is>
      </c>
      <c r="AS177" t="inlineStr">
        <is>
          <t>PT. PEMBANGKITAN JAWA-BALI</t>
        </is>
      </c>
      <c r="AT177" t="inlineStr">
        <is>
          <t>PT. PEMBANGKITAN JAWA-BALI</t>
        </is>
      </c>
      <c r="AU177" t="inlineStr">
        <is>
          <t>PT. PEMBANGKITAN JAWA-BALI</t>
        </is>
      </c>
      <c r="AV177" t="inlineStr">
        <is>
          <t>PT. PEMBANGKITAN JAWA-BALI</t>
        </is>
      </c>
      <c r="AW177" t="inlineStr">
        <is>
          <t>PT. PEMBANGKITAN JAWA-BALI</t>
        </is>
      </c>
      <c r="AX177" t="inlineStr">
        <is>
          <t>PT. PEMBANGKITAN JAWA-BALI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</row>
    <row r="179">
      <c r="A179" t="inlineStr">
        <is>
          <t>PLTU REMBANG #20</t>
        </is>
      </c>
      <c r="B179" t="n">
        <v>280</v>
      </c>
      <c r="C179" t="n">
        <v>230</v>
      </c>
      <c r="D179" t="n">
        <v>230</v>
      </c>
      <c r="E179" t="n">
        <v>230</v>
      </c>
      <c r="F179" t="n">
        <v>230</v>
      </c>
      <c r="G179" t="n">
        <v>200</v>
      </c>
      <c r="H179" t="n">
        <v>200</v>
      </c>
      <c r="I179" t="n">
        <v>200</v>
      </c>
      <c r="J179" t="n">
        <v>200</v>
      </c>
      <c r="K179" t="n">
        <v>200</v>
      </c>
      <c r="L179" t="n">
        <v>200</v>
      </c>
      <c r="M179" t="n">
        <v>200</v>
      </c>
      <c r="N179" t="n">
        <v>200</v>
      </c>
      <c r="O179" t="n">
        <v>200</v>
      </c>
      <c r="P179" t="n">
        <v>200</v>
      </c>
      <c r="Q179" t="n">
        <v>200</v>
      </c>
      <c r="R179" t="n">
        <v>230</v>
      </c>
      <c r="S179" t="n">
        <v>230</v>
      </c>
      <c r="T179" t="n">
        <v>230</v>
      </c>
      <c r="U179" t="n">
        <v>230</v>
      </c>
      <c r="V179" t="n">
        <v>230</v>
      </c>
      <c r="W179" t="n">
        <v>230</v>
      </c>
      <c r="X179" t="n">
        <v>230</v>
      </c>
      <c r="Y179" t="n">
        <v>230</v>
      </c>
      <c r="Z179" t="n">
        <v>230</v>
      </c>
      <c r="AA179" t="n">
        <v>230</v>
      </c>
      <c r="AB179" t="n">
        <v>250</v>
      </c>
      <c r="AC179" t="n">
        <v>250</v>
      </c>
      <c r="AD179" t="n">
        <v>250</v>
      </c>
      <c r="AE179" t="n">
        <v>250</v>
      </c>
      <c r="AF179" t="n">
        <v>250</v>
      </c>
      <c r="AG179" t="n">
        <v>250</v>
      </c>
      <c r="AH179" t="n">
        <v>250</v>
      </c>
      <c r="AI179" t="n">
        <v>250</v>
      </c>
      <c r="AJ179" t="n">
        <v>250</v>
      </c>
      <c r="AK179" t="n">
        <v>250</v>
      </c>
      <c r="AL179" t="n">
        <v>250</v>
      </c>
      <c r="AM179" t="n">
        <v>250</v>
      </c>
      <c r="AN179" t="n">
        <v>250</v>
      </c>
      <c r="AO179" t="n">
        <v>250</v>
      </c>
      <c r="AP179" t="n">
        <v>200</v>
      </c>
      <c r="AQ179" t="n">
        <v>200</v>
      </c>
      <c r="AR179" t="n">
        <v>200</v>
      </c>
      <c r="AS179" t="n">
        <v>200</v>
      </c>
      <c r="AT179" t="n">
        <v>200</v>
      </c>
      <c r="AU179" t="n">
        <v>200</v>
      </c>
      <c r="AV179" t="n">
        <v>200</v>
      </c>
      <c r="AW179" t="n">
        <v>200</v>
      </c>
      <c r="AX179" t="n">
        <v>200</v>
      </c>
    </row>
    <row r="180">
      <c r="A180" t="inlineStr">
        <is>
          <t>PLTU REMBANG #10</t>
        </is>
      </c>
      <c r="B180" t="n">
        <v>280</v>
      </c>
      <c r="C180" t="n">
        <v>230</v>
      </c>
      <c r="D180" t="n">
        <v>230</v>
      </c>
      <c r="E180" t="n">
        <v>230</v>
      </c>
      <c r="F180" t="n">
        <v>230</v>
      </c>
      <c r="G180" t="n">
        <v>200</v>
      </c>
      <c r="H180" t="n">
        <v>200</v>
      </c>
      <c r="I180" t="n">
        <v>200</v>
      </c>
      <c r="J180" t="n">
        <v>200</v>
      </c>
      <c r="K180" t="n">
        <v>200</v>
      </c>
      <c r="L180" t="n">
        <v>200</v>
      </c>
      <c r="M180" t="n">
        <v>200</v>
      </c>
      <c r="N180" t="n">
        <v>200</v>
      </c>
      <c r="O180" t="n">
        <v>200</v>
      </c>
      <c r="P180" t="n">
        <v>200</v>
      </c>
      <c r="Q180" t="n">
        <v>200</v>
      </c>
      <c r="R180" t="n">
        <v>230</v>
      </c>
      <c r="S180" t="n">
        <v>230</v>
      </c>
      <c r="T180" t="n">
        <v>230</v>
      </c>
      <c r="U180" t="n">
        <v>230</v>
      </c>
      <c r="V180" t="n">
        <v>230</v>
      </c>
      <c r="W180" t="n">
        <v>230</v>
      </c>
      <c r="X180" t="n">
        <v>230</v>
      </c>
      <c r="Y180" t="n">
        <v>230</v>
      </c>
      <c r="Z180" t="n">
        <v>230</v>
      </c>
      <c r="AA180" t="n">
        <v>230</v>
      </c>
      <c r="AB180" t="n">
        <v>250</v>
      </c>
      <c r="AC180" t="n">
        <v>250</v>
      </c>
      <c r="AD180" t="n">
        <v>250</v>
      </c>
      <c r="AE180" t="n">
        <v>250</v>
      </c>
      <c r="AF180" t="n">
        <v>250</v>
      </c>
      <c r="AG180" t="n">
        <v>250</v>
      </c>
      <c r="AH180" t="n">
        <v>250</v>
      </c>
      <c r="AI180" t="n">
        <v>250</v>
      </c>
      <c r="AJ180" t="n">
        <v>250</v>
      </c>
      <c r="AK180" t="n">
        <v>250</v>
      </c>
      <c r="AL180" t="n">
        <v>250</v>
      </c>
      <c r="AM180" t="n">
        <v>250</v>
      </c>
      <c r="AN180" t="n">
        <v>250</v>
      </c>
      <c r="AO180" t="n">
        <v>250</v>
      </c>
      <c r="AP180" t="n">
        <v>200</v>
      </c>
      <c r="AQ180" t="n">
        <v>200</v>
      </c>
      <c r="AR180" t="n">
        <v>200</v>
      </c>
      <c r="AS180" t="n">
        <v>200</v>
      </c>
      <c r="AT180" t="n">
        <v>200</v>
      </c>
      <c r="AU180" t="n">
        <v>200</v>
      </c>
      <c r="AV180" t="n">
        <v>200</v>
      </c>
      <c r="AW180" t="n">
        <v>200</v>
      </c>
      <c r="AX180" t="n">
        <v>200</v>
      </c>
    </row>
    <row r="181">
      <c r="A181" t="inlineStr"/>
      <c r="B181" t="inlineStr"/>
      <c r="C181" t="inlineStr">
        <is>
          <t>IPP</t>
        </is>
      </c>
      <c r="D181" t="inlineStr">
        <is>
          <t>IPP</t>
        </is>
      </c>
      <c r="E181" t="inlineStr">
        <is>
          <t>IPP</t>
        </is>
      </c>
      <c r="F181" t="inlineStr">
        <is>
          <t>IPP</t>
        </is>
      </c>
      <c r="G181" t="inlineStr">
        <is>
          <t>IPP</t>
        </is>
      </c>
      <c r="H181" t="inlineStr">
        <is>
          <t>IPP</t>
        </is>
      </c>
      <c r="I181" t="inlineStr">
        <is>
          <t>IPP</t>
        </is>
      </c>
      <c r="J181" t="inlineStr">
        <is>
          <t>IPP</t>
        </is>
      </c>
      <c r="K181" t="inlineStr">
        <is>
          <t>IPP</t>
        </is>
      </c>
      <c r="L181" t="inlineStr">
        <is>
          <t>IPP</t>
        </is>
      </c>
      <c r="M181" t="inlineStr">
        <is>
          <t>IPP</t>
        </is>
      </c>
      <c r="N181" t="inlineStr">
        <is>
          <t>IPP</t>
        </is>
      </c>
      <c r="O181" t="inlineStr">
        <is>
          <t>IPP</t>
        </is>
      </c>
      <c r="P181" t="inlineStr">
        <is>
          <t>IPP</t>
        </is>
      </c>
      <c r="Q181" t="inlineStr">
        <is>
          <t>IPP</t>
        </is>
      </c>
      <c r="R181" t="inlineStr">
        <is>
          <t>IPP</t>
        </is>
      </c>
      <c r="S181" t="inlineStr">
        <is>
          <t>IPP</t>
        </is>
      </c>
      <c r="T181" t="inlineStr">
        <is>
          <t>IPP</t>
        </is>
      </c>
      <c r="U181" t="inlineStr">
        <is>
          <t>IPP</t>
        </is>
      </c>
      <c r="V181" t="inlineStr">
        <is>
          <t>IPP</t>
        </is>
      </c>
      <c r="W181" t="inlineStr">
        <is>
          <t>IPP</t>
        </is>
      </c>
      <c r="X181" t="inlineStr">
        <is>
          <t>IPP</t>
        </is>
      </c>
      <c r="Y181" t="inlineStr">
        <is>
          <t>IPP</t>
        </is>
      </c>
      <c r="Z181" t="inlineStr">
        <is>
          <t>IPP</t>
        </is>
      </c>
      <c r="AA181" t="inlineStr">
        <is>
          <t>IPP</t>
        </is>
      </c>
      <c r="AB181" t="inlineStr">
        <is>
          <t>IPP</t>
        </is>
      </c>
      <c r="AC181" t="inlineStr">
        <is>
          <t>IPP</t>
        </is>
      </c>
      <c r="AD181" t="inlineStr">
        <is>
          <t>IPP</t>
        </is>
      </c>
      <c r="AE181" t="inlineStr">
        <is>
          <t>IPP</t>
        </is>
      </c>
      <c r="AF181" t="inlineStr">
        <is>
          <t>IPP</t>
        </is>
      </c>
      <c r="AG181" t="inlineStr">
        <is>
          <t>IPP</t>
        </is>
      </c>
      <c r="AH181" t="inlineStr">
        <is>
          <t>IPP</t>
        </is>
      </c>
      <c r="AI181" t="inlineStr">
        <is>
          <t>IPP</t>
        </is>
      </c>
      <c r="AJ181" t="inlineStr">
        <is>
          <t>IPP</t>
        </is>
      </c>
      <c r="AK181" t="inlineStr">
        <is>
          <t>IPP</t>
        </is>
      </c>
      <c r="AL181" t="inlineStr">
        <is>
          <t>IPP</t>
        </is>
      </c>
      <c r="AM181" t="inlineStr">
        <is>
          <t>IPP</t>
        </is>
      </c>
      <c r="AN181" t="inlineStr">
        <is>
          <t>IPP</t>
        </is>
      </c>
      <c r="AO181" t="inlineStr">
        <is>
          <t>IPP</t>
        </is>
      </c>
      <c r="AP181" t="inlineStr">
        <is>
          <t>IPP</t>
        </is>
      </c>
      <c r="AQ181" t="inlineStr">
        <is>
          <t>IPP</t>
        </is>
      </c>
      <c r="AR181" t="inlineStr">
        <is>
          <t>IPP</t>
        </is>
      </c>
      <c r="AS181" t="inlineStr">
        <is>
          <t>IPP</t>
        </is>
      </c>
      <c r="AT181" t="inlineStr">
        <is>
          <t>IPP</t>
        </is>
      </c>
      <c r="AU181" t="inlineStr">
        <is>
          <t>IPP</t>
        </is>
      </c>
      <c r="AV181" t="inlineStr">
        <is>
          <t>IPP</t>
        </is>
      </c>
      <c r="AW181" t="inlineStr">
        <is>
          <t>IPP</t>
        </is>
      </c>
      <c r="AX181" t="inlineStr">
        <is>
          <t>IPP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</row>
    <row r="183">
      <c r="A183" t="inlineStr">
        <is>
          <t>PLTP DIENG #1</t>
        </is>
      </c>
      <c r="B183" t="n">
        <v>54.56099</v>
      </c>
      <c r="C183" t="n">
        <v>33</v>
      </c>
      <c r="D183" t="n">
        <v>33</v>
      </c>
      <c r="E183" t="n">
        <v>33</v>
      </c>
      <c r="F183" t="n">
        <v>33</v>
      </c>
      <c r="G183" t="n">
        <v>33</v>
      </c>
      <c r="H183" t="n">
        <v>33</v>
      </c>
      <c r="I183" t="n">
        <v>33</v>
      </c>
      <c r="J183" t="n">
        <v>33</v>
      </c>
      <c r="K183" t="n">
        <v>33</v>
      </c>
      <c r="L183" t="n">
        <v>33</v>
      </c>
      <c r="M183" t="n">
        <v>33</v>
      </c>
      <c r="N183" t="n">
        <v>33</v>
      </c>
      <c r="O183" t="n">
        <v>33</v>
      </c>
      <c r="P183" t="n">
        <v>33</v>
      </c>
      <c r="Q183" t="n">
        <v>33</v>
      </c>
      <c r="R183" t="n">
        <v>33</v>
      </c>
      <c r="S183" t="n">
        <v>33</v>
      </c>
      <c r="T183" t="n">
        <v>33</v>
      </c>
      <c r="U183" t="n">
        <v>33</v>
      </c>
      <c r="V183" t="n">
        <v>33</v>
      </c>
      <c r="W183" t="n">
        <v>33</v>
      </c>
      <c r="X183" t="n">
        <v>33</v>
      </c>
      <c r="Y183" t="n">
        <v>33</v>
      </c>
      <c r="Z183" t="n">
        <v>33</v>
      </c>
      <c r="AA183" t="n">
        <v>33</v>
      </c>
      <c r="AB183" t="n">
        <v>33</v>
      </c>
      <c r="AC183" t="n">
        <v>33</v>
      </c>
      <c r="AD183" t="n">
        <v>33</v>
      </c>
      <c r="AE183" t="n">
        <v>33</v>
      </c>
      <c r="AF183" t="n">
        <v>33</v>
      </c>
      <c r="AG183" t="n">
        <v>33</v>
      </c>
      <c r="AH183" t="n">
        <v>33</v>
      </c>
      <c r="AI183" t="n">
        <v>33</v>
      </c>
      <c r="AJ183" t="n">
        <v>33</v>
      </c>
      <c r="AK183" t="n">
        <v>33</v>
      </c>
      <c r="AL183" t="n">
        <v>33</v>
      </c>
      <c r="AM183" t="n">
        <v>33</v>
      </c>
      <c r="AN183" t="n">
        <v>33</v>
      </c>
      <c r="AO183" t="n">
        <v>33</v>
      </c>
      <c r="AP183" t="n">
        <v>33</v>
      </c>
      <c r="AQ183" t="n">
        <v>33</v>
      </c>
      <c r="AR183" t="n">
        <v>33</v>
      </c>
      <c r="AS183" t="n">
        <v>33</v>
      </c>
      <c r="AT183" t="n">
        <v>33</v>
      </c>
      <c r="AU183" t="n">
        <v>33</v>
      </c>
      <c r="AV183" t="n">
        <v>33</v>
      </c>
      <c r="AW183" t="n">
        <v>33</v>
      </c>
      <c r="AX183" t="n">
        <v>33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</row>
    <row r="185">
      <c r="A185" t="inlineStr">
        <is>
          <t>PLTU CLCAP #1</t>
        </is>
      </c>
      <c r="B185" t="n">
        <v>281</v>
      </c>
      <c r="C185" t="n">
        <v>184.4</v>
      </c>
      <c r="D185" t="n">
        <v>274.4</v>
      </c>
      <c r="E185" t="n">
        <v>274.4</v>
      </c>
      <c r="F185" t="n">
        <v>274.4</v>
      </c>
      <c r="G185" t="n">
        <v>274.4</v>
      </c>
      <c r="H185" t="n">
        <v>274.4</v>
      </c>
      <c r="I185" t="n">
        <v>274.4</v>
      </c>
      <c r="J185" t="n">
        <v>274.4</v>
      </c>
      <c r="K185" t="n">
        <v>274.4</v>
      </c>
      <c r="L185" t="n">
        <v>274.4</v>
      </c>
      <c r="M185" t="n">
        <v>274.4</v>
      </c>
      <c r="N185" t="n">
        <v>231</v>
      </c>
      <c r="O185" t="n">
        <v>141</v>
      </c>
      <c r="P185" t="n">
        <v>184.4</v>
      </c>
      <c r="Q185" t="n">
        <v>274.4</v>
      </c>
      <c r="R185" t="n">
        <v>274.4</v>
      </c>
      <c r="S185" t="n">
        <v>274.4</v>
      </c>
      <c r="T185" t="n">
        <v>274.4</v>
      </c>
      <c r="U185" t="n">
        <v>274.4</v>
      </c>
      <c r="V185" t="n">
        <v>274.4</v>
      </c>
      <c r="W185" t="n">
        <v>274.4</v>
      </c>
      <c r="X185" t="n">
        <v>274.4</v>
      </c>
      <c r="Y185" t="n">
        <v>274.4</v>
      </c>
      <c r="Z185" t="n">
        <v>274.4</v>
      </c>
      <c r="AA185" t="n">
        <v>274.4</v>
      </c>
      <c r="AB185" t="n">
        <v>274.4</v>
      </c>
      <c r="AC185" t="n">
        <v>274.4</v>
      </c>
      <c r="AD185" t="n">
        <v>274.4</v>
      </c>
      <c r="AE185" t="n">
        <v>274.4</v>
      </c>
      <c r="AF185" t="n">
        <v>274.4</v>
      </c>
      <c r="AG185" t="n">
        <v>274.4</v>
      </c>
      <c r="AH185" t="n">
        <v>274.4</v>
      </c>
      <c r="AI185" t="n">
        <v>274.4</v>
      </c>
      <c r="AJ185" t="n">
        <v>274.4</v>
      </c>
      <c r="AK185" t="n">
        <v>274.4</v>
      </c>
      <c r="AL185" t="n">
        <v>274.4</v>
      </c>
      <c r="AM185" t="n">
        <v>274.4</v>
      </c>
      <c r="AN185" t="n">
        <v>274.4</v>
      </c>
      <c r="AO185" t="n">
        <v>274.4</v>
      </c>
      <c r="AP185" t="n">
        <v>274.4</v>
      </c>
      <c r="AQ185" t="n">
        <v>274.4</v>
      </c>
      <c r="AR185" t="n">
        <v>274.4</v>
      </c>
      <c r="AS185" t="n">
        <v>274.4</v>
      </c>
      <c r="AT185" t="n">
        <v>274.4</v>
      </c>
      <c r="AU185" t="n">
        <v>274.4</v>
      </c>
      <c r="AV185" t="n">
        <v>274.4</v>
      </c>
      <c r="AW185" t="n">
        <v>274.4</v>
      </c>
      <c r="AX185" t="n">
        <v>274.4</v>
      </c>
    </row>
    <row r="186">
      <c r="A186" t="inlineStr">
        <is>
          <t>PLTU CLCAP #2</t>
        </is>
      </c>
      <c r="B186" t="n">
        <v>281</v>
      </c>
      <c r="C186" t="n">
        <v>184.4</v>
      </c>
      <c r="D186" t="n">
        <v>274.4</v>
      </c>
      <c r="E186" t="n">
        <v>274.4</v>
      </c>
      <c r="F186" t="n">
        <v>274.4</v>
      </c>
      <c r="G186" t="n">
        <v>274.4</v>
      </c>
      <c r="H186" t="n">
        <v>274.4</v>
      </c>
      <c r="I186" t="n">
        <v>274.4</v>
      </c>
      <c r="J186" t="n">
        <v>274.4</v>
      </c>
      <c r="K186" t="n">
        <v>274.4</v>
      </c>
      <c r="L186" t="n">
        <v>274.4</v>
      </c>
      <c r="M186" t="n">
        <v>274.4</v>
      </c>
      <c r="N186" t="n">
        <v>227.05</v>
      </c>
      <c r="O186" t="n">
        <v>141</v>
      </c>
      <c r="P186" t="n">
        <v>184.4</v>
      </c>
      <c r="Q186" t="n">
        <v>274.4</v>
      </c>
      <c r="R186" t="n">
        <v>274.4</v>
      </c>
      <c r="S186" t="n">
        <v>274.4</v>
      </c>
      <c r="T186" t="n">
        <v>274.4</v>
      </c>
      <c r="U186" t="n">
        <v>274.4</v>
      </c>
      <c r="V186" t="n">
        <v>274.4</v>
      </c>
      <c r="W186" t="n">
        <v>274.4</v>
      </c>
      <c r="X186" t="n">
        <v>274.4</v>
      </c>
      <c r="Y186" t="n">
        <v>274.4</v>
      </c>
      <c r="Z186" t="n">
        <v>274.4</v>
      </c>
      <c r="AA186" t="n">
        <v>274.4</v>
      </c>
      <c r="AB186" t="n">
        <v>274.4</v>
      </c>
      <c r="AC186" t="n">
        <v>274.4</v>
      </c>
      <c r="AD186" t="n">
        <v>274.4</v>
      </c>
      <c r="AE186" t="n">
        <v>274.4</v>
      </c>
      <c r="AF186" t="n">
        <v>274.4</v>
      </c>
      <c r="AG186" t="n">
        <v>274.4</v>
      </c>
      <c r="AH186" t="n">
        <v>274.4</v>
      </c>
      <c r="AI186" t="n">
        <v>274.4</v>
      </c>
      <c r="AJ186" t="n">
        <v>274.4</v>
      </c>
      <c r="AK186" t="n">
        <v>274.4</v>
      </c>
      <c r="AL186" t="n">
        <v>274.4</v>
      </c>
      <c r="AM186" t="n">
        <v>274.4</v>
      </c>
      <c r="AN186" t="n">
        <v>274.4</v>
      </c>
      <c r="AO186" t="n">
        <v>274.4</v>
      </c>
      <c r="AP186" t="n">
        <v>274.4</v>
      </c>
      <c r="AQ186" t="n">
        <v>274.4</v>
      </c>
      <c r="AR186" t="n">
        <v>274.4</v>
      </c>
      <c r="AS186" t="n">
        <v>274.4</v>
      </c>
      <c r="AT186" t="n">
        <v>274.4</v>
      </c>
      <c r="AU186" t="n">
        <v>274.4</v>
      </c>
      <c r="AV186" t="n">
        <v>274.4</v>
      </c>
      <c r="AW186" t="n">
        <v>274.4</v>
      </c>
      <c r="AX186" t="n">
        <v>274.4</v>
      </c>
    </row>
    <row r="187">
      <c r="A187" t="inlineStr">
        <is>
          <t>PLTU CLCAP #3</t>
        </is>
      </c>
      <c r="B187" t="n">
        <v>614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</row>
    <row r="188">
      <c r="A188" t="inlineStr">
        <is>
          <t>PLTU CLCAP #4</t>
        </is>
      </c>
      <c r="B188" t="n">
        <v>945</v>
      </c>
      <c r="C188" t="n">
        <v>500</v>
      </c>
      <c r="D188" t="n">
        <v>500</v>
      </c>
      <c r="E188" t="n">
        <v>500</v>
      </c>
      <c r="F188" t="n">
        <v>500</v>
      </c>
      <c r="G188" t="n">
        <v>500</v>
      </c>
      <c r="H188" t="n">
        <v>500</v>
      </c>
      <c r="I188" t="n">
        <v>500</v>
      </c>
      <c r="J188" t="n">
        <v>500</v>
      </c>
      <c r="K188" t="n">
        <v>500</v>
      </c>
      <c r="L188" t="n">
        <v>500</v>
      </c>
      <c r="M188" t="n">
        <v>500</v>
      </c>
      <c r="N188" t="n">
        <v>500</v>
      </c>
      <c r="O188" t="n">
        <v>500</v>
      </c>
      <c r="P188" t="n">
        <v>500</v>
      </c>
      <c r="Q188" t="n">
        <v>500</v>
      </c>
      <c r="R188" t="n">
        <v>500</v>
      </c>
      <c r="S188" t="n">
        <v>500</v>
      </c>
      <c r="T188" t="n">
        <v>500</v>
      </c>
      <c r="U188" t="n">
        <v>500</v>
      </c>
      <c r="V188" t="n">
        <v>500</v>
      </c>
      <c r="W188" t="n">
        <v>500</v>
      </c>
      <c r="X188" t="n">
        <v>500</v>
      </c>
      <c r="Y188" t="n">
        <v>500</v>
      </c>
      <c r="Z188" t="n">
        <v>500</v>
      </c>
      <c r="AA188" t="n">
        <v>500</v>
      </c>
      <c r="AB188" t="n">
        <v>500</v>
      </c>
      <c r="AC188" t="n">
        <v>500</v>
      </c>
      <c r="AD188" t="n">
        <v>500</v>
      </c>
      <c r="AE188" t="n">
        <v>500</v>
      </c>
      <c r="AF188" t="n">
        <v>500</v>
      </c>
      <c r="AG188" t="n">
        <v>500</v>
      </c>
      <c r="AH188" t="n">
        <v>500</v>
      </c>
      <c r="AI188" t="n">
        <v>500</v>
      </c>
      <c r="AJ188" t="n">
        <v>500</v>
      </c>
      <c r="AK188" t="n">
        <v>500</v>
      </c>
      <c r="AL188" t="n">
        <v>500</v>
      </c>
      <c r="AM188" t="n">
        <v>500</v>
      </c>
      <c r="AN188" t="n">
        <v>500</v>
      </c>
      <c r="AO188" t="n">
        <v>500</v>
      </c>
      <c r="AP188" t="n">
        <v>500</v>
      </c>
      <c r="AQ188" t="n">
        <v>500</v>
      </c>
      <c r="AR188" t="n">
        <v>500</v>
      </c>
      <c r="AS188" t="n">
        <v>500</v>
      </c>
      <c r="AT188" t="n">
        <v>500</v>
      </c>
      <c r="AU188" t="n">
        <v>500</v>
      </c>
      <c r="AV188" t="n">
        <v>500</v>
      </c>
      <c r="AW188" t="n">
        <v>500</v>
      </c>
      <c r="AX188" t="n">
        <v>500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</row>
    <row r="190">
      <c r="A190" t="inlineStr">
        <is>
          <t>PLTU BATANG #1</t>
        </is>
      </c>
      <c r="B190" t="n">
        <v>950</v>
      </c>
      <c r="C190" t="n">
        <v>880</v>
      </c>
      <c r="D190" t="n">
        <v>850</v>
      </c>
      <c r="E190" t="n">
        <v>850</v>
      </c>
      <c r="F190" t="n">
        <v>850</v>
      </c>
      <c r="G190" t="n">
        <v>850</v>
      </c>
      <c r="H190" t="n">
        <v>850</v>
      </c>
      <c r="I190" t="n">
        <v>850</v>
      </c>
      <c r="J190" t="n">
        <v>850</v>
      </c>
      <c r="K190" t="n">
        <v>900</v>
      </c>
      <c r="L190" t="n">
        <v>930</v>
      </c>
      <c r="M190" t="n">
        <v>930</v>
      </c>
      <c r="N190" t="n">
        <v>930</v>
      </c>
      <c r="O190" t="n">
        <v>930</v>
      </c>
      <c r="P190" t="n">
        <v>930</v>
      </c>
      <c r="Q190" t="n">
        <v>930</v>
      </c>
      <c r="R190" t="n">
        <v>930</v>
      </c>
      <c r="S190" t="n">
        <v>930</v>
      </c>
      <c r="T190" t="n">
        <v>930</v>
      </c>
      <c r="U190" t="n">
        <v>930</v>
      </c>
      <c r="V190" t="n">
        <v>930</v>
      </c>
      <c r="W190" t="n">
        <v>930</v>
      </c>
      <c r="X190" t="n">
        <v>930</v>
      </c>
      <c r="Y190" t="n">
        <v>930</v>
      </c>
      <c r="Z190" t="n">
        <v>930</v>
      </c>
      <c r="AA190" t="n">
        <v>931</v>
      </c>
      <c r="AB190" t="n">
        <v>931</v>
      </c>
      <c r="AC190" t="n">
        <v>931</v>
      </c>
      <c r="AD190" t="n">
        <v>931</v>
      </c>
      <c r="AE190" t="n">
        <v>931</v>
      </c>
      <c r="AF190" t="n">
        <v>931</v>
      </c>
      <c r="AG190" t="n">
        <v>931</v>
      </c>
      <c r="AH190" t="n">
        <v>931</v>
      </c>
      <c r="AI190" t="n">
        <v>931</v>
      </c>
      <c r="AJ190" t="n">
        <v>931</v>
      </c>
      <c r="AK190" t="n">
        <v>931</v>
      </c>
      <c r="AL190" t="n">
        <v>931</v>
      </c>
      <c r="AM190" t="n">
        <v>931</v>
      </c>
      <c r="AN190" t="n">
        <v>931</v>
      </c>
      <c r="AO190" t="n">
        <v>931</v>
      </c>
      <c r="AP190" t="n">
        <v>931</v>
      </c>
      <c r="AQ190" t="n">
        <v>931</v>
      </c>
      <c r="AR190" t="n">
        <v>931</v>
      </c>
      <c r="AS190" t="n">
        <v>931</v>
      </c>
      <c r="AT190" t="n">
        <v>931</v>
      </c>
      <c r="AU190" t="n">
        <v>931</v>
      </c>
      <c r="AV190" t="n">
        <v>931</v>
      </c>
      <c r="AW190" t="n">
        <v>931</v>
      </c>
      <c r="AX190" t="n">
        <v>931</v>
      </c>
    </row>
    <row r="191">
      <c r="A191" t="inlineStr">
        <is>
          <t>PLTU BATANG #2</t>
        </is>
      </c>
      <c r="B191" t="n">
        <v>950</v>
      </c>
      <c r="C191" t="n">
        <v>880</v>
      </c>
      <c r="D191" t="n">
        <v>850</v>
      </c>
      <c r="E191" t="n">
        <v>850</v>
      </c>
      <c r="F191" t="n">
        <v>850</v>
      </c>
      <c r="G191" t="n">
        <v>850</v>
      </c>
      <c r="H191" t="n">
        <v>850</v>
      </c>
      <c r="I191" t="n">
        <v>850</v>
      </c>
      <c r="J191" t="n">
        <v>850</v>
      </c>
      <c r="K191" t="n">
        <v>900</v>
      </c>
      <c r="L191" t="n">
        <v>930</v>
      </c>
      <c r="M191" t="n">
        <v>930</v>
      </c>
      <c r="N191" t="n">
        <v>930</v>
      </c>
      <c r="O191" t="n">
        <v>930</v>
      </c>
      <c r="P191" t="n">
        <v>930</v>
      </c>
      <c r="Q191" t="n">
        <v>930</v>
      </c>
      <c r="R191" t="n">
        <v>930</v>
      </c>
      <c r="S191" t="n">
        <v>930</v>
      </c>
      <c r="T191" t="n">
        <v>930</v>
      </c>
      <c r="U191" t="n">
        <v>930</v>
      </c>
      <c r="V191" t="n">
        <v>930</v>
      </c>
      <c r="W191" t="n">
        <v>930</v>
      </c>
      <c r="X191" t="n">
        <v>930</v>
      </c>
      <c r="Y191" t="n">
        <v>930</v>
      </c>
      <c r="Z191" t="n">
        <v>930</v>
      </c>
      <c r="AA191" t="n">
        <v>931</v>
      </c>
      <c r="AB191" t="n">
        <v>931</v>
      </c>
      <c r="AC191" t="n">
        <v>931</v>
      </c>
      <c r="AD191" t="n">
        <v>931</v>
      </c>
      <c r="AE191" t="n">
        <v>931</v>
      </c>
      <c r="AF191" t="n">
        <v>931</v>
      </c>
      <c r="AG191" t="n">
        <v>931</v>
      </c>
      <c r="AH191" t="n">
        <v>931</v>
      </c>
      <c r="AI191" t="n">
        <v>931</v>
      </c>
      <c r="AJ191" t="n">
        <v>931</v>
      </c>
      <c r="AK191" t="n">
        <v>931</v>
      </c>
      <c r="AL191" t="n">
        <v>931</v>
      </c>
      <c r="AM191" t="n">
        <v>931</v>
      </c>
      <c r="AN191" t="n">
        <v>931</v>
      </c>
      <c r="AO191" t="n">
        <v>931</v>
      </c>
      <c r="AP191" t="n">
        <v>931</v>
      </c>
      <c r="AQ191" t="n">
        <v>931</v>
      </c>
      <c r="AR191" t="n">
        <v>931</v>
      </c>
      <c r="AS191" t="n">
        <v>931</v>
      </c>
      <c r="AT191" t="n">
        <v>931</v>
      </c>
      <c r="AU191" t="n">
        <v>931</v>
      </c>
      <c r="AV191" t="n">
        <v>931</v>
      </c>
      <c r="AW191" t="n">
        <v>931</v>
      </c>
      <c r="AX191" t="n">
        <v>931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</row>
    <row r="193">
      <c r="A193" t="inlineStr">
        <is>
          <t>PLTU TJATIBJP #5</t>
        </is>
      </c>
      <c r="B193" t="n">
        <v>1000</v>
      </c>
      <c r="C193" t="n">
        <v>980</v>
      </c>
      <c r="D193" t="n">
        <v>980</v>
      </c>
      <c r="E193" t="n">
        <v>980</v>
      </c>
      <c r="F193" t="n">
        <v>980</v>
      </c>
      <c r="G193" t="n">
        <v>980</v>
      </c>
      <c r="H193" t="n">
        <v>980</v>
      </c>
      <c r="I193" t="n">
        <v>980</v>
      </c>
      <c r="J193" t="n">
        <v>980</v>
      </c>
      <c r="K193" t="n">
        <v>980</v>
      </c>
      <c r="L193" t="n">
        <v>980</v>
      </c>
      <c r="M193" t="n">
        <v>980</v>
      </c>
      <c r="N193" t="n">
        <v>980</v>
      </c>
      <c r="O193" t="n">
        <v>980</v>
      </c>
      <c r="P193" t="n">
        <v>980</v>
      </c>
      <c r="Q193" t="n">
        <v>980</v>
      </c>
      <c r="R193" t="n">
        <v>980</v>
      </c>
      <c r="S193" t="n">
        <v>980</v>
      </c>
      <c r="T193" t="n">
        <v>980</v>
      </c>
      <c r="U193" t="n">
        <v>980</v>
      </c>
      <c r="V193" t="n">
        <v>980</v>
      </c>
      <c r="W193" t="n">
        <v>980</v>
      </c>
      <c r="X193" t="n">
        <v>980</v>
      </c>
      <c r="Y193" t="n">
        <v>980</v>
      </c>
      <c r="Z193" t="n">
        <v>980</v>
      </c>
      <c r="AA193" t="n">
        <v>980</v>
      </c>
      <c r="AB193" t="n">
        <v>980</v>
      </c>
      <c r="AC193" t="n">
        <v>980</v>
      </c>
      <c r="AD193" t="n">
        <v>980</v>
      </c>
      <c r="AE193" t="n">
        <v>980</v>
      </c>
      <c r="AF193" t="n">
        <v>980</v>
      </c>
      <c r="AG193" t="n">
        <v>980</v>
      </c>
      <c r="AH193" t="n">
        <v>980</v>
      </c>
      <c r="AI193" t="n">
        <v>980</v>
      </c>
      <c r="AJ193" t="n">
        <v>980</v>
      </c>
      <c r="AK193" t="n">
        <v>980</v>
      </c>
      <c r="AL193" t="n">
        <v>980</v>
      </c>
      <c r="AM193" t="n">
        <v>980</v>
      </c>
      <c r="AN193" t="n">
        <v>980</v>
      </c>
      <c r="AO193" t="n">
        <v>980</v>
      </c>
      <c r="AP193" t="n">
        <v>980</v>
      </c>
      <c r="AQ193" t="n">
        <v>980</v>
      </c>
      <c r="AR193" t="n">
        <v>980</v>
      </c>
      <c r="AS193" t="n">
        <v>980</v>
      </c>
      <c r="AT193" t="n">
        <v>980</v>
      </c>
      <c r="AU193" t="n">
        <v>980</v>
      </c>
      <c r="AV193" t="n">
        <v>980</v>
      </c>
      <c r="AW193" t="n">
        <v>980</v>
      </c>
      <c r="AX193" t="n">
        <v>980</v>
      </c>
    </row>
    <row r="194">
      <c r="A194" t="inlineStr">
        <is>
          <t>PLTU TJATIBJP #6</t>
        </is>
      </c>
      <c r="B194" t="n">
        <v>1000</v>
      </c>
      <c r="C194" t="n">
        <v>980</v>
      </c>
      <c r="D194" t="n">
        <v>980</v>
      </c>
      <c r="E194" t="n">
        <v>980</v>
      </c>
      <c r="F194" t="n">
        <v>980</v>
      </c>
      <c r="G194" t="n">
        <v>980</v>
      </c>
      <c r="H194" t="n">
        <v>980</v>
      </c>
      <c r="I194" t="n">
        <v>980</v>
      </c>
      <c r="J194" t="n">
        <v>980</v>
      </c>
      <c r="K194" t="n">
        <v>980</v>
      </c>
      <c r="L194" t="n">
        <v>980</v>
      </c>
      <c r="M194" t="n">
        <v>980</v>
      </c>
      <c r="N194" t="n">
        <v>980</v>
      </c>
      <c r="O194" t="n">
        <v>980</v>
      </c>
      <c r="P194" t="n">
        <v>980</v>
      </c>
      <c r="Q194" t="n">
        <v>980</v>
      </c>
      <c r="R194" t="n">
        <v>980</v>
      </c>
      <c r="S194" t="n">
        <v>980</v>
      </c>
      <c r="T194" t="n">
        <v>980</v>
      </c>
      <c r="U194" t="n">
        <v>980</v>
      </c>
      <c r="V194" t="n">
        <v>980</v>
      </c>
      <c r="W194" t="n">
        <v>980</v>
      </c>
      <c r="X194" t="n">
        <v>980</v>
      </c>
      <c r="Y194" t="n">
        <v>980</v>
      </c>
      <c r="Z194" t="n">
        <v>980</v>
      </c>
      <c r="AA194" t="n">
        <v>980</v>
      </c>
      <c r="AB194" t="n">
        <v>980</v>
      </c>
      <c r="AC194" t="n">
        <v>980</v>
      </c>
      <c r="AD194" t="n">
        <v>980</v>
      </c>
      <c r="AE194" t="n">
        <v>980</v>
      </c>
      <c r="AF194" t="n">
        <v>980</v>
      </c>
      <c r="AG194" t="n">
        <v>980</v>
      </c>
      <c r="AH194" t="n">
        <v>980</v>
      </c>
      <c r="AI194" t="n">
        <v>980</v>
      </c>
      <c r="AJ194" t="n">
        <v>980</v>
      </c>
      <c r="AK194" t="n">
        <v>980</v>
      </c>
      <c r="AL194" t="n">
        <v>980</v>
      </c>
      <c r="AM194" t="n">
        <v>980</v>
      </c>
      <c r="AN194" t="n">
        <v>980</v>
      </c>
      <c r="AO194" t="n">
        <v>980</v>
      </c>
      <c r="AP194" t="n">
        <v>980</v>
      </c>
      <c r="AQ194" t="n">
        <v>980</v>
      </c>
      <c r="AR194" t="n">
        <v>980</v>
      </c>
      <c r="AS194" t="n">
        <v>980</v>
      </c>
      <c r="AT194" t="n">
        <v>980</v>
      </c>
      <c r="AU194" t="n">
        <v>980</v>
      </c>
      <c r="AV194" t="n">
        <v>980</v>
      </c>
      <c r="AW194" t="n">
        <v>980</v>
      </c>
      <c r="AX194" t="n">
        <v>980</v>
      </c>
    </row>
    <row r="195">
      <c r="A195" t="inlineStr"/>
      <c r="B195" t="inlineStr"/>
      <c r="C195" t="inlineStr">
        <is>
          <t>PEMBANGKITAN TANJUNG JATI</t>
        </is>
      </c>
      <c r="D195" t="inlineStr">
        <is>
          <t>PEMBANGKITAN TANJUNG JATI</t>
        </is>
      </c>
      <c r="E195" t="inlineStr">
        <is>
          <t>PEMBANGKITAN TANJUNG JATI</t>
        </is>
      </c>
      <c r="F195" t="inlineStr">
        <is>
          <t>PEMBANGKITAN TANJUNG JATI</t>
        </is>
      </c>
      <c r="G195" t="inlineStr">
        <is>
          <t>PEMBANGKITAN TANJUNG JATI</t>
        </is>
      </c>
      <c r="H195" t="inlineStr">
        <is>
          <t>PEMBANGKITAN TANJUNG JATI</t>
        </is>
      </c>
      <c r="I195" t="inlineStr">
        <is>
          <t>PEMBANGKITAN TANJUNG JATI</t>
        </is>
      </c>
      <c r="J195" t="inlineStr">
        <is>
          <t>PEMBANGKITAN TANJUNG JATI</t>
        </is>
      </c>
      <c r="K195" t="inlineStr">
        <is>
          <t>PEMBANGKITAN TANJUNG JATI</t>
        </is>
      </c>
      <c r="L195" t="inlineStr">
        <is>
          <t>PEMBANGKITAN TANJUNG JATI</t>
        </is>
      </c>
      <c r="M195" t="inlineStr">
        <is>
          <t>PEMBANGKITAN TANJUNG JATI</t>
        </is>
      </c>
      <c r="N195" t="inlineStr">
        <is>
          <t>PEMBANGKITAN TANJUNG JATI</t>
        </is>
      </c>
      <c r="O195" t="inlineStr">
        <is>
          <t>PEMBANGKITAN TANJUNG JATI</t>
        </is>
      </c>
      <c r="P195" t="inlineStr">
        <is>
          <t>PEMBANGKITAN TANJUNG JATI</t>
        </is>
      </c>
      <c r="Q195" t="inlineStr">
        <is>
          <t>PEMBANGKITAN TANJUNG JATI</t>
        </is>
      </c>
      <c r="R195" t="inlineStr">
        <is>
          <t>PEMBANGKITAN TANJUNG JATI</t>
        </is>
      </c>
      <c r="S195" t="inlineStr">
        <is>
          <t>PEMBANGKITAN TANJUNG JATI</t>
        </is>
      </c>
      <c r="T195" t="inlineStr">
        <is>
          <t>PEMBANGKITAN TANJUNG JATI</t>
        </is>
      </c>
      <c r="U195" t="inlineStr">
        <is>
          <t>PEMBANGKITAN TANJUNG JATI</t>
        </is>
      </c>
      <c r="V195" t="inlineStr">
        <is>
          <t>PEMBANGKITAN TANJUNG JATI</t>
        </is>
      </c>
      <c r="W195" t="inlineStr">
        <is>
          <t>PEMBANGKITAN TANJUNG JATI</t>
        </is>
      </c>
      <c r="X195" t="inlineStr">
        <is>
          <t>PEMBANGKITAN TANJUNG JATI</t>
        </is>
      </c>
      <c r="Y195" t="inlineStr">
        <is>
          <t>PEMBANGKITAN TANJUNG JATI</t>
        </is>
      </c>
      <c r="Z195" t="inlineStr">
        <is>
          <t>PEMBANGKITAN TANJUNG JATI</t>
        </is>
      </c>
      <c r="AA195" t="inlineStr">
        <is>
          <t>PEMBANGKITAN TANJUNG JATI</t>
        </is>
      </c>
      <c r="AB195" t="inlineStr">
        <is>
          <t>PEMBANGKITAN TANJUNG JATI</t>
        </is>
      </c>
      <c r="AC195" t="inlineStr">
        <is>
          <t>PEMBANGKITAN TANJUNG JATI</t>
        </is>
      </c>
      <c r="AD195" t="inlineStr">
        <is>
          <t>PEMBANGKITAN TANJUNG JATI</t>
        </is>
      </c>
      <c r="AE195" t="inlineStr">
        <is>
          <t>PEMBANGKITAN TANJUNG JATI</t>
        </is>
      </c>
      <c r="AF195" t="inlineStr">
        <is>
          <t>PEMBANGKITAN TANJUNG JATI</t>
        </is>
      </c>
      <c r="AG195" t="inlineStr">
        <is>
          <t>PEMBANGKITAN TANJUNG JATI</t>
        </is>
      </c>
      <c r="AH195" t="inlineStr">
        <is>
          <t>PEMBANGKITAN TANJUNG JATI</t>
        </is>
      </c>
      <c r="AI195" t="inlineStr">
        <is>
          <t>PEMBANGKITAN TANJUNG JATI</t>
        </is>
      </c>
      <c r="AJ195" t="inlineStr">
        <is>
          <t>PEMBANGKITAN TANJUNG JATI</t>
        </is>
      </c>
      <c r="AK195" t="inlineStr">
        <is>
          <t>PEMBANGKITAN TANJUNG JATI</t>
        </is>
      </c>
      <c r="AL195" t="inlineStr">
        <is>
          <t>PEMBANGKITAN TANJUNG JATI</t>
        </is>
      </c>
      <c r="AM195" t="inlineStr">
        <is>
          <t>PEMBANGKITAN TANJUNG JATI</t>
        </is>
      </c>
      <c r="AN195" t="inlineStr">
        <is>
          <t>PEMBANGKITAN TANJUNG JATI</t>
        </is>
      </c>
      <c r="AO195" t="inlineStr">
        <is>
          <t>PEMBANGKITAN TANJUNG JATI</t>
        </is>
      </c>
      <c r="AP195" t="inlineStr">
        <is>
          <t>PEMBANGKITAN TANJUNG JATI</t>
        </is>
      </c>
      <c r="AQ195" t="inlineStr">
        <is>
          <t>PEMBANGKITAN TANJUNG JATI</t>
        </is>
      </c>
      <c r="AR195" t="inlineStr">
        <is>
          <t>PEMBANGKITAN TANJUNG JATI</t>
        </is>
      </c>
      <c r="AS195" t="inlineStr">
        <is>
          <t>PEMBANGKITAN TANJUNG JATI</t>
        </is>
      </c>
      <c r="AT195" t="inlineStr">
        <is>
          <t>PEMBANGKITAN TANJUNG JATI</t>
        </is>
      </c>
      <c r="AU195" t="inlineStr">
        <is>
          <t>PEMBANGKITAN TANJUNG JATI</t>
        </is>
      </c>
      <c r="AV195" t="inlineStr">
        <is>
          <t>PEMBANGKITAN TANJUNG JATI</t>
        </is>
      </c>
      <c r="AW195" t="inlineStr">
        <is>
          <t>PEMBANGKITAN TANJUNG JATI</t>
        </is>
      </c>
      <c r="AX195" t="inlineStr">
        <is>
          <t>PEMBANGKITAN TANJUNG JATI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</row>
    <row r="197">
      <c r="A197" t="inlineStr">
        <is>
          <t>PLTU TJATI #1</t>
        </is>
      </c>
      <c r="B197" t="n">
        <v>660.8</v>
      </c>
      <c r="C197" t="n">
        <v>500</v>
      </c>
      <c r="D197" t="n">
        <v>500</v>
      </c>
      <c r="E197" t="n">
        <v>500</v>
      </c>
      <c r="F197" t="n">
        <v>500</v>
      </c>
      <c r="G197" t="n">
        <v>500</v>
      </c>
      <c r="H197" t="n">
        <v>500</v>
      </c>
      <c r="I197" t="n">
        <v>500</v>
      </c>
      <c r="J197" t="n">
        <v>500</v>
      </c>
      <c r="K197" t="n">
        <v>530</v>
      </c>
      <c r="L197" t="n">
        <v>570</v>
      </c>
      <c r="M197" t="n">
        <v>600</v>
      </c>
      <c r="N197" t="n">
        <v>600</v>
      </c>
      <c r="O197" t="n">
        <v>600</v>
      </c>
      <c r="P197" t="n">
        <v>600</v>
      </c>
      <c r="Q197" t="n">
        <v>620</v>
      </c>
      <c r="R197" t="n">
        <v>647.58</v>
      </c>
      <c r="S197" t="n">
        <v>647.58</v>
      </c>
      <c r="T197" t="n">
        <v>647.58</v>
      </c>
      <c r="U197" t="n">
        <v>647.58</v>
      </c>
      <c r="V197" t="n">
        <v>647.58</v>
      </c>
      <c r="W197" t="n">
        <v>647.58</v>
      </c>
      <c r="X197" t="n">
        <v>647.58</v>
      </c>
      <c r="Y197" t="n">
        <v>647.58</v>
      </c>
      <c r="Z197" t="n">
        <v>647.58</v>
      </c>
      <c r="AA197" t="n">
        <v>647.58</v>
      </c>
      <c r="AB197" t="n">
        <v>647.58</v>
      </c>
      <c r="AC197" t="n">
        <v>647.58</v>
      </c>
      <c r="AD197" t="n">
        <v>647.58</v>
      </c>
      <c r="AE197" t="n">
        <v>647.58</v>
      </c>
      <c r="AF197" t="n">
        <v>647.58</v>
      </c>
      <c r="AG197" t="n">
        <v>647.58</v>
      </c>
      <c r="AH197" t="n">
        <v>647.58</v>
      </c>
      <c r="AI197" t="n">
        <v>647.58</v>
      </c>
      <c r="AJ197" t="n">
        <v>647.58</v>
      </c>
      <c r="AK197" t="n">
        <v>647.58</v>
      </c>
      <c r="AL197" t="n">
        <v>647.58</v>
      </c>
      <c r="AM197" t="n">
        <v>647.58</v>
      </c>
      <c r="AN197" t="n">
        <v>647.58</v>
      </c>
      <c r="AO197" t="n">
        <v>647.58</v>
      </c>
      <c r="AP197" t="n">
        <v>647.58</v>
      </c>
      <c r="AQ197" t="n">
        <v>647.58</v>
      </c>
      <c r="AR197" t="n">
        <v>647.58</v>
      </c>
      <c r="AS197" t="n">
        <v>647.58</v>
      </c>
      <c r="AT197" t="n">
        <v>647.58</v>
      </c>
      <c r="AU197" t="n">
        <v>647.58</v>
      </c>
      <c r="AV197" t="n">
        <v>647.58</v>
      </c>
      <c r="AW197" t="n">
        <v>647.58</v>
      </c>
      <c r="AX197" t="n">
        <v>647.58</v>
      </c>
    </row>
    <row r="198">
      <c r="A198" t="inlineStr">
        <is>
          <t>PLTU TJATI #2</t>
        </is>
      </c>
      <c r="B198" t="n">
        <v>660.8</v>
      </c>
      <c r="C198" t="n">
        <v>500</v>
      </c>
      <c r="D198" t="n">
        <v>500</v>
      </c>
      <c r="E198" t="n">
        <v>500</v>
      </c>
      <c r="F198" t="n">
        <v>500</v>
      </c>
      <c r="G198" t="n">
        <v>500</v>
      </c>
      <c r="H198" t="n">
        <v>500</v>
      </c>
      <c r="I198" t="n">
        <v>500</v>
      </c>
      <c r="J198" t="n">
        <v>500</v>
      </c>
      <c r="K198" t="n">
        <v>530</v>
      </c>
      <c r="L198" t="n">
        <v>570</v>
      </c>
      <c r="M198" t="n">
        <v>600</v>
      </c>
      <c r="N198" t="n">
        <v>600</v>
      </c>
      <c r="O198" t="n">
        <v>600</v>
      </c>
      <c r="P198" t="n">
        <v>600</v>
      </c>
      <c r="Q198" t="n">
        <v>620</v>
      </c>
      <c r="R198" t="n">
        <v>647.58</v>
      </c>
      <c r="S198" t="n">
        <v>647.58</v>
      </c>
      <c r="T198" t="n">
        <v>647.58</v>
      </c>
      <c r="U198" t="n">
        <v>647.58</v>
      </c>
      <c r="V198" t="n">
        <v>647.58</v>
      </c>
      <c r="W198" t="n">
        <v>647.58</v>
      </c>
      <c r="X198" t="n">
        <v>647.58</v>
      </c>
      <c r="Y198" t="n">
        <v>647.58</v>
      </c>
      <c r="Z198" t="n">
        <v>647.58</v>
      </c>
      <c r="AA198" t="n">
        <v>647.58</v>
      </c>
      <c r="AB198" t="n">
        <v>647.58</v>
      </c>
      <c r="AC198" t="n">
        <v>647.58</v>
      </c>
      <c r="AD198" t="n">
        <v>647.58</v>
      </c>
      <c r="AE198" t="n">
        <v>647.58</v>
      </c>
      <c r="AF198" t="n">
        <v>647.58</v>
      </c>
      <c r="AG198" t="n">
        <v>647.58</v>
      </c>
      <c r="AH198" t="n">
        <v>647.58</v>
      </c>
      <c r="AI198" t="n">
        <v>647.58</v>
      </c>
      <c r="AJ198" t="n">
        <v>647.58</v>
      </c>
      <c r="AK198" t="n">
        <v>647.58</v>
      </c>
      <c r="AL198" t="n">
        <v>647.58</v>
      </c>
      <c r="AM198" t="n">
        <v>647.58</v>
      </c>
      <c r="AN198" t="n">
        <v>647.58</v>
      </c>
      <c r="AO198" t="n">
        <v>647.58</v>
      </c>
      <c r="AP198" t="n">
        <v>647.58</v>
      </c>
      <c r="AQ198" t="n">
        <v>647.58</v>
      </c>
      <c r="AR198" t="n">
        <v>647.58</v>
      </c>
      <c r="AS198" t="n">
        <v>647.58</v>
      </c>
      <c r="AT198" t="n">
        <v>647.58</v>
      </c>
      <c r="AU198" t="n">
        <v>647.58</v>
      </c>
      <c r="AV198" t="n">
        <v>647.58</v>
      </c>
      <c r="AW198" t="n">
        <v>647.58</v>
      </c>
      <c r="AX198" t="n">
        <v>647.58</v>
      </c>
    </row>
    <row r="199">
      <c r="A199" t="inlineStr">
        <is>
          <t>PLTU TJATI #3</t>
        </is>
      </c>
      <c r="B199" t="n">
        <v>661.1</v>
      </c>
      <c r="C199" t="n">
        <v>510</v>
      </c>
      <c r="D199" t="n">
        <v>500</v>
      </c>
      <c r="E199" t="n">
        <v>500</v>
      </c>
      <c r="F199" t="n">
        <v>500</v>
      </c>
      <c r="G199" t="n">
        <v>500</v>
      </c>
      <c r="H199" t="n">
        <v>500</v>
      </c>
      <c r="I199" t="n">
        <v>500</v>
      </c>
      <c r="J199" t="n">
        <v>500</v>
      </c>
      <c r="K199" t="n">
        <v>530</v>
      </c>
      <c r="L199" t="n">
        <v>550</v>
      </c>
      <c r="M199" t="n">
        <v>600</v>
      </c>
      <c r="N199" t="n">
        <v>600</v>
      </c>
      <c r="O199" t="n">
        <v>600</v>
      </c>
      <c r="P199" t="n">
        <v>600</v>
      </c>
      <c r="Q199" t="n">
        <v>620</v>
      </c>
      <c r="R199" t="n">
        <v>647.8</v>
      </c>
      <c r="S199" t="n">
        <v>647.8</v>
      </c>
      <c r="T199" t="n">
        <v>647.8</v>
      </c>
      <c r="U199" t="n">
        <v>647.8</v>
      </c>
      <c r="V199" t="n">
        <v>647.8</v>
      </c>
      <c r="W199" t="n">
        <v>647.8</v>
      </c>
      <c r="X199" t="n">
        <v>647.8</v>
      </c>
      <c r="Y199" t="n">
        <v>647.8</v>
      </c>
      <c r="Z199" t="n">
        <v>647.8</v>
      </c>
      <c r="AA199" t="n">
        <v>647.88</v>
      </c>
      <c r="AB199" t="n">
        <v>647.88</v>
      </c>
      <c r="AC199" t="n">
        <v>647.88</v>
      </c>
      <c r="AD199" t="n">
        <v>647.88</v>
      </c>
      <c r="AE199" t="n">
        <v>647.88</v>
      </c>
      <c r="AF199" t="n">
        <v>647.88</v>
      </c>
      <c r="AG199" t="n">
        <v>647.88</v>
      </c>
      <c r="AH199" t="n">
        <v>647.88</v>
      </c>
      <c r="AI199" t="n">
        <v>647.88</v>
      </c>
      <c r="AJ199" t="n">
        <v>647.88</v>
      </c>
      <c r="AK199" t="n">
        <v>647.88</v>
      </c>
      <c r="AL199" t="n">
        <v>647.88</v>
      </c>
      <c r="AM199" t="n">
        <v>647.88</v>
      </c>
      <c r="AN199" t="n">
        <v>647.88</v>
      </c>
      <c r="AO199" t="n">
        <v>647.88</v>
      </c>
      <c r="AP199" t="n">
        <v>647.88</v>
      </c>
      <c r="AQ199" t="n">
        <v>647.88</v>
      </c>
      <c r="AR199" t="n">
        <v>647.88</v>
      </c>
      <c r="AS199" t="n">
        <v>647.88</v>
      </c>
      <c r="AT199" t="n">
        <v>647.88</v>
      </c>
      <c r="AU199" t="n">
        <v>647.88</v>
      </c>
      <c r="AV199" t="n">
        <v>647.88</v>
      </c>
      <c r="AW199" t="n">
        <v>647.88</v>
      </c>
      <c r="AX199" t="n">
        <v>647.88</v>
      </c>
    </row>
    <row r="200">
      <c r="A200" t="inlineStr">
        <is>
          <t>PLTU TJATI #4</t>
        </is>
      </c>
      <c r="B200" t="n">
        <v>661.1</v>
      </c>
      <c r="C200" t="n">
        <v>510</v>
      </c>
      <c r="D200" t="n">
        <v>500</v>
      </c>
      <c r="E200" t="n">
        <v>500</v>
      </c>
      <c r="F200" t="n">
        <v>500</v>
      </c>
      <c r="G200" t="n">
        <v>500</v>
      </c>
      <c r="H200" t="n">
        <v>500</v>
      </c>
      <c r="I200" t="n">
        <v>500</v>
      </c>
      <c r="J200" t="n">
        <v>500</v>
      </c>
      <c r="K200" t="n">
        <v>530</v>
      </c>
      <c r="L200" t="n">
        <v>550</v>
      </c>
      <c r="M200" t="n">
        <v>600</v>
      </c>
      <c r="N200" t="n">
        <v>600</v>
      </c>
      <c r="O200" t="n">
        <v>600</v>
      </c>
      <c r="P200" t="n">
        <v>600</v>
      </c>
      <c r="Q200" t="n">
        <v>620</v>
      </c>
      <c r="R200" t="n">
        <v>647.8</v>
      </c>
      <c r="S200" t="n">
        <v>647.8</v>
      </c>
      <c r="T200" t="n">
        <v>647.8</v>
      </c>
      <c r="U200" t="n">
        <v>647.8</v>
      </c>
      <c r="V200" t="n">
        <v>647.8</v>
      </c>
      <c r="W200" t="n">
        <v>647.8</v>
      </c>
      <c r="X200" t="n">
        <v>647.8</v>
      </c>
      <c r="Y200" t="n">
        <v>647.8</v>
      </c>
      <c r="Z200" t="n">
        <v>647.8</v>
      </c>
      <c r="AA200" t="n">
        <v>647.88</v>
      </c>
      <c r="AB200" t="n">
        <v>647.88</v>
      </c>
      <c r="AC200" t="n">
        <v>647.88</v>
      </c>
      <c r="AD200" t="n">
        <v>647.88</v>
      </c>
      <c r="AE200" t="n">
        <v>647.88</v>
      </c>
      <c r="AF200" t="n">
        <v>647.88</v>
      </c>
      <c r="AG200" t="n">
        <v>647.88</v>
      </c>
      <c r="AH200" t="n">
        <v>647.88</v>
      </c>
      <c r="AI200" t="n">
        <v>647.88</v>
      </c>
      <c r="AJ200" t="n">
        <v>647.88</v>
      </c>
      <c r="AK200" t="n">
        <v>647.88</v>
      </c>
      <c r="AL200" t="n">
        <v>647.88</v>
      </c>
      <c r="AM200" t="n">
        <v>647.88</v>
      </c>
      <c r="AN200" t="n">
        <v>647.88</v>
      </c>
      <c r="AO200" t="n">
        <v>647.88</v>
      </c>
      <c r="AP200" t="n">
        <v>647.88</v>
      </c>
      <c r="AQ200" t="n">
        <v>647.88</v>
      </c>
      <c r="AR200" t="n">
        <v>647.88</v>
      </c>
      <c r="AS200" t="n">
        <v>647.88</v>
      </c>
      <c r="AT200" t="n">
        <v>647.88</v>
      </c>
      <c r="AU200" t="n">
        <v>647.88</v>
      </c>
      <c r="AV200" t="n">
        <v>647.88</v>
      </c>
      <c r="AW200" t="n">
        <v>647.88</v>
      </c>
      <c r="AX200" t="n">
        <v>647.88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</row>
    <row r="202">
      <c r="A202" t="inlineStr">
        <is>
          <t>Pembangkitan Area</t>
        </is>
      </c>
      <c r="B202" t="inlineStr"/>
      <c r="C202" t="n">
        <v>7771.02</v>
      </c>
      <c r="D202" t="n">
        <v>7871.02</v>
      </c>
      <c r="E202" t="n">
        <v>7871.02</v>
      </c>
      <c r="F202" t="n">
        <v>7871.02</v>
      </c>
      <c r="G202" t="n">
        <v>7811.02</v>
      </c>
      <c r="H202" t="n">
        <v>7811.02</v>
      </c>
      <c r="I202" t="n">
        <v>7811.02</v>
      </c>
      <c r="J202" t="n">
        <v>7811.02</v>
      </c>
      <c r="K202" t="n">
        <v>8031.02</v>
      </c>
      <c r="L202" t="n">
        <v>8211.02</v>
      </c>
      <c r="M202" t="n">
        <v>8371.02</v>
      </c>
      <c r="N202" t="n">
        <v>8280.27</v>
      </c>
      <c r="O202" t="n">
        <v>8104.22</v>
      </c>
      <c r="P202" t="n">
        <v>8292.639999999999</v>
      </c>
      <c r="Q202" t="n">
        <v>8552.639999999999</v>
      </c>
      <c r="R202" t="n">
        <v>8831.01</v>
      </c>
      <c r="S202" t="n">
        <v>8831.01</v>
      </c>
      <c r="T202" t="n">
        <v>8889.08</v>
      </c>
      <c r="U202" t="n">
        <v>8889.08</v>
      </c>
      <c r="V202" t="n">
        <v>8990.690000000001</v>
      </c>
      <c r="W202" t="n">
        <v>9048.76</v>
      </c>
      <c r="X202" t="n">
        <v>9048.76</v>
      </c>
      <c r="Y202" t="n">
        <v>9078.76</v>
      </c>
      <c r="Z202" t="n">
        <v>9006.17</v>
      </c>
      <c r="AA202" t="n">
        <v>9008.33</v>
      </c>
      <c r="AB202" t="n">
        <v>9222.91</v>
      </c>
      <c r="AC202" t="n">
        <v>9222.91</v>
      </c>
      <c r="AD202" t="n">
        <v>9192.91</v>
      </c>
      <c r="AE202" t="n">
        <v>9192.91</v>
      </c>
      <c r="AF202" t="n">
        <v>9192.91</v>
      </c>
      <c r="AG202" t="n">
        <v>9192.91</v>
      </c>
      <c r="AH202" t="n">
        <v>9082.879999999999</v>
      </c>
      <c r="AI202" t="n">
        <v>9033.73</v>
      </c>
      <c r="AJ202" t="n">
        <v>9076.24</v>
      </c>
      <c r="AK202" t="n">
        <v>9112.879999999999</v>
      </c>
      <c r="AL202" t="n">
        <v>9131.75</v>
      </c>
      <c r="AM202" t="n">
        <v>9112.879999999999</v>
      </c>
      <c r="AN202" t="n">
        <v>9112.879999999999</v>
      </c>
      <c r="AO202" t="n">
        <v>9112.879999999999</v>
      </c>
      <c r="AP202" t="n">
        <v>8978.200000000001</v>
      </c>
      <c r="AQ202" t="n">
        <v>8931.33</v>
      </c>
      <c r="AR202" t="n">
        <v>8931.33</v>
      </c>
      <c r="AS202" t="n">
        <v>8816.719999999999</v>
      </c>
      <c r="AT202" t="n">
        <v>8715.1</v>
      </c>
      <c r="AU202" t="n">
        <v>8569.940000000001</v>
      </c>
      <c r="AV202" t="n">
        <v>8569.940000000001</v>
      </c>
      <c r="AW202" t="n">
        <v>8569.940000000001</v>
      </c>
      <c r="AX202" t="n">
        <v>8569.940000000001</v>
      </c>
    </row>
    <row r="203">
      <c r="A203" t="inlineStr">
        <is>
          <t>Beban Area</t>
        </is>
      </c>
      <c r="B203" t="inlineStr"/>
      <c r="C203" t="n">
        <v>4016.86</v>
      </c>
      <c r="D203" t="n">
        <v>3947.98</v>
      </c>
      <c r="E203" t="n">
        <v>3917.71</v>
      </c>
      <c r="F203" t="n">
        <v>3884.43</v>
      </c>
      <c r="G203" t="n">
        <v>3851.49</v>
      </c>
      <c r="H203" t="n">
        <v>3838.38</v>
      </c>
      <c r="I203" t="n">
        <v>3840.29</v>
      </c>
      <c r="J203" t="n">
        <v>3876.54</v>
      </c>
      <c r="K203" t="n">
        <v>4038.88</v>
      </c>
      <c r="L203" t="n">
        <v>4244.68</v>
      </c>
      <c r="M203" t="n">
        <v>4407.25</v>
      </c>
      <c r="N203" t="n">
        <v>4316.66</v>
      </c>
      <c r="O203" t="n">
        <v>4164.84</v>
      </c>
      <c r="P203" t="n">
        <v>4188.79</v>
      </c>
      <c r="Q203" t="n">
        <v>4394.27</v>
      </c>
      <c r="R203" t="n">
        <v>4585.34</v>
      </c>
      <c r="S203" t="n">
        <v>4792.11</v>
      </c>
      <c r="T203" t="n">
        <v>4861.38</v>
      </c>
      <c r="U203" t="n">
        <v>4974.49</v>
      </c>
      <c r="V203" t="n">
        <v>5006.06</v>
      </c>
      <c r="W203" t="n">
        <v>5058.32</v>
      </c>
      <c r="X203" t="n">
        <v>5069.56</v>
      </c>
      <c r="Y203" t="n">
        <v>5013.42</v>
      </c>
      <c r="Z203" t="n">
        <v>4849.6</v>
      </c>
      <c r="AA203" t="n">
        <v>4890.33</v>
      </c>
      <c r="AB203" t="n">
        <v>5040.65</v>
      </c>
      <c r="AC203" t="n">
        <v>5225.95</v>
      </c>
      <c r="AD203" t="n">
        <v>5249.41</v>
      </c>
      <c r="AE203" t="n">
        <v>5246.04</v>
      </c>
      <c r="AF203" t="n">
        <v>5234.73</v>
      </c>
      <c r="AG203" t="n">
        <v>5229.62</v>
      </c>
      <c r="AH203" t="n">
        <v>5140.06</v>
      </c>
      <c r="AI203" t="n">
        <v>5092.48</v>
      </c>
      <c r="AJ203" t="n">
        <v>5128.66</v>
      </c>
      <c r="AK203" t="n">
        <v>5333.87</v>
      </c>
      <c r="AL203" t="n">
        <v>5728.55</v>
      </c>
      <c r="AM203" t="n">
        <v>5680.81</v>
      </c>
      <c r="AN203" t="n">
        <v>5635.28</v>
      </c>
      <c r="AO203" t="n">
        <v>5569.38</v>
      </c>
      <c r="AP203" t="n">
        <v>5525.59</v>
      </c>
      <c r="AQ203" t="n">
        <v>5436.33</v>
      </c>
      <c r="AR203" t="n">
        <v>5282</v>
      </c>
      <c r="AS203" t="n">
        <v>5123.8</v>
      </c>
      <c r="AT203" t="n">
        <v>4952.66</v>
      </c>
      <c r="AU203" t="n">
        <v>4805.89</v>
      </c>
      <c r="AV203" t="n">
        <v>4661.56</v>
      </c>
      <c r="AW203" t="n">
        <v>4539.21</v>
      </c>
      <c r="AX203" t="n">
        <v>4403.34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</row>
    <row r="205">
      <c r="A205" t="inlineStr">
        <is>
          <t>RJTB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</row>
    <row r="206">
      <c r="A206" t="inlineStr"/>
      <c r="B206" t="inlineStr"/>
      <c r="C206" t="inlineStr">
        <is>
          <t>PT. INDONESIA POWER</t>
        </is>
      </c>
      <c r="D206" t="inlineStr">
        <is>
          <t>PT. INDONESIA POWER</t>
        </is>
      </c>
      <c r="E206" t="inlineStr">
        <is>
          <t>PT. INDONESIA POWER</t>
        </is>
      </c>
      <c r="F206" t="inlineStr">
        <is>
          <t>PT. INDONESIA POWER</t>
        </is>
      </c>
      <c r="G206" t="inlineStr">
        <is>
          <t>PT. INDONESIA POWER</t>
        </is>
      </c>
      <c r="H206" t="inlineStr">
        <is>
          <t>PT. INDONESIA POWER</t>
        </is>
      </c>
      <c r="I206" t="inlineStr">
        <is>
          <t>PT. INDONESIA POWER</t>
        </is>
      </c>
      <c r="J206" t="inlineStr">
        <is>
          <t>PT. INDONESIA POWER</t>
        </is>
      </c>
      <c r="K206" t="inlineStr">
        <is>
          <t>PT. INDONESIA POWER</t>
        </is>
      </c>
      <c r="L206" t="inlineStr">
        <is>
          <t>PT. INDONESIA POWER</t>
        </is>
      </c>
      <c r="M206" t="inlineStr">
        <is>
          <t>PT. INDONESIA POWER</t>
        </is>
      </c>
      <c r="N206" t="inlineStr">
        <is>
          <t>PT. INDONESIA POWER</t>
        </is>
      </c>
      <c r="O206" t="inlineStr">
        <is>
          <t>PT. INDONESIA POWER</t>
        </is>
      </c>
      <c r="P206" t="inlineStr">
        <is>
          <t>PT. INDONESIA POWER</t>
        </is>
      </c>
      <c r="Q206" t="inlineStr">
        <is>
          <t>PT. INDONESIA POWER</t>
        </is>
      </c>
      <c r="R206" t="inlineStr">
        <is>
          <t>PT. INDONESIA POWER</t>
        </is>
      </c>
      <c r="S206" t="inlineStr">
        <is>
          <t>PT. INDONESIA POWER</t>
        </is>
      </c>
      <c r="T206" t="inlineStr">
        <is>
          <t>PT. INDONESIA POWER</t>
        </is>
      </c>
      <c r="U206" t="inlineStr">
        <is>
          <t>PT. INDONESIA POWER</t>
        </is>
      </c>
      <c r="V206" t="inlineStr">
        <is>
          <t>PT. INDONESIA POWER</t>
        </is>
      </c>
      <c r="W206" t="inlineStr">
        <is>
          <t>PT. INDONESIA POWER</t>
        </is>
      </c>
      <c r="X206" t="inlineStr">
        <is>
          <t>PT. INDONESIA POWER</t>
        </is>
      </c>
      <c r="Y206" t="inlineStr">
        <is>
          <t>PT. INDONESIA POWER</t>
        </is>
      </c>
      <c r="Z206" t="inlineStr">
        <is>
          <t>PT. INDONESIA POWER</t>
        </is>
      </c>
      <c r="AA206" t="inlineStr">
        <is>
          <t>PT. INDONESIA POWER</t>
        </is>
      </c>
      <c r="AB206" t="inlineStr">
        <is>
          <t>PT. INDONESIA POWER</t>
        </is>
      </c>
      <c r="AC206" t="inlineStr">
        <is>
          <t>PT. INDONESIA POWER</t>
        </is>
      </c>
      <c r="AD206" t="inlineStr">
        <is>
          <t>PT. INDONESIA POWER</t>
        </is>
      </c>
      <c r="AE206" t="inlineStr">
        <is>
          <t>PT. INDONESIA POWER</t>
        </is>
      </c>
      <c r="AF206" t="inlineStr">
        <is>
          <t>PT. INDONESIA POWER</t>
        </is>
      </c>
      <c r="AG206" t="inlineStr">
        <is>
          <t>PT. INDONESIA POWER</t>
        </is>
      </c>
      <c r="AH206" t="inlineStr">
        <is>
          <t>PT. INDONESIA POWER</t>
        </is>
      </c>
      <c r="AI206" t="inlineStr">
        <is>
          <t>PT. INDONESIA POWER</t>
        </is>
      </c>
      <c r="AJ206" t="inlineStr">
        <is>
          <t>PT. INDONESIA POWER</t>
        </is>
      </c>
      <c r="AK206" t="inlineStr">
        <is>
          <t>PT. INDONESIA POWER</t>
        </is>
      </c>
      <c r="AL206" t="inlineStr">
        <is>
          <t>PT. INDONESIA POWER</t>
        </is>
      </c>
      <c r="AM206" t="inlineStr">
        <is>
          <t>PT. INDONESIA POWER</t>
        </is>
      </c>
      <c r="AN206" t="inlineStr">
        <is>
          <t>PT. INDONESIA POWER</t>
        </is>
      </c>
      <c r="AO206" t="inlineStr">
        <is>
          <t>PT. INDONESIA POWER</t>
        </is>
      </c>
      <c r="AP206" t="inlineStr">
        <is>
          <t>PT. INDONESIA POWER</t>
        </is>
      </c>
      <c r="AQ206" t="inlineStr">
        <is>
          <t>PT. INDONESIA POWER</t>
        </is>
      </c>
      <c r="AR206" t="inlineStr">
        <is>
          <t>PT. INDONESIA POWER</t>
        </is>
      </c>
      <c r="AS206" t="inlineStr">
        <is>
          <t>PT. INDONESIA POWER</t>
        </is>
      </c>
      <c r="AT206" t="inlineStr">
        <is>
          <t>PT. INDONESIA POWER</t>
        </is>
      </c>
      <c r="AU206" t="inlineStr">
        <is>
          <t>PT. INDONESIA POWER</t>
        </is>
      </c>
      <c r="AV206" t="inlineStr">
        <is>
          <t>PT. INDONESIA POWER</t>
        </is>
      </c>
      <c r="AW206" t="inlineStr">
        <is>
          <t>PT. INDONESIA POWER</t>
        </is>
      </c>
      <c r="AX206" t="inlineStr">
        <is>
          <t>PT. INDONESIA POWER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</row>
    <row r="208">
      <c r="A208" t="inlineStr">
        <is>
          <t>PLTGU GRATI #1</t>
        </is>
      </c>
      <c r="B208" t="inlineStr"/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</row>
    <row r="209">
      <c r="A209" t="inlineStr">
        <is>
          <t>PLTGU GRATI #2</t>
        </is>
      </c>
      <c r="B209" t="inlineStr"/>
      <c r="C209" t="n">
        <v>154.95</v>
      </c>
      <c r="D209" t="n">
        <v>154.95</v>
      </c>
      <c r="E209" t="n">
        <v>154.95</v>
      </c>
      <c r="F209" t="n">
        <v>154.95</v>
      </c>
      <c r="G209" t="n">
        <v>154.95</v>
      </c>
      <c r="H209" t="n">
        <v>154.95</v>
      </c>
      <c r="I209" t="n">
        <v>154.95</v>
      </c>
      <c r="J209" t="n">
        <v>154.95</v>
      </c>
      <c r="K209" t="n">
        <v>154.95</v>
      </c>
      <c r="L209" t="n">
        <v>154.95</v>
      </c>
      <c r="M209" t="n">
        <v>154.95</v>
      </c>
      <c r="N209" t="n">
        <v>154.95</v>
      </c>
      <c r="O209" t="n">
        <v>154.95</v>
      </c>
      <c r="P209" t="n">
        <v>174.12</v>
      </c>
      <c r="Q209" t="n">
        <v>256.67</v>
      </c>
      <c r="R209" t="n">
        <v>285.34</v>
      </c>
      <c r="S209" t="n">
        <v>284.48</v>
      </c>
      <c r="T209" t="n">
        <v>284.41</v>
      </c>
      <c r="U209" t="n">
        <v>285.09</v>
      </c>
      <c r="V209" t="n">
        <v>286.28</v>
      </c>
      <c r="W209" t="n">
        <v>325.4</v>
      </c>
      <c r="X209" t="n">
        <v>325.4</v>
      </c>
      <c r="Y209" t="n">
        <v>325.4</v>
      </c>
      <c r="Z209" t="n">
        <v>325.4</v>
      </c>
      <c r="AA209" t="n">
        <v>325.4</v>
      </c>
      <c r="AB209" t="n">
        <v>325.4</v>
      </c>
      <c r="AC209" t="n">
        <v>325.4</v>
      </c>
      <c r="AD209" t="n">
        <v>325.4</v>
      </c>
      <c r="AE209" t="n">
        <v>325.4</v>
      </c>
      <c r="AF209" t="n">
        <v>325.4</v>
      </c>
      <c r="AG209" t="n">
        <v>325.4</v>
      </c>
      <c r="AH209" t="n">
        <v>325.4</v>
      </c>
      <c r="AI209" t="n">
        <v>325.4</v>
      </c>
      <c r="AJ209" t="n">
        <v>325.4</v>
      </c>
      <c r="AK209" t="n">
        <v>325.4</v>
      </c>
      <c r="AL209" t="n">
        <v>372.45</v>
      </c>
      <c r="AM209" t="n">
        <v>325.4</v>
      </c>
      <c r="AN209" t="n">
        <v>325.4</v>
      </c>
      <c r="AO209" t="n">
        <v>325.4</v>
      </c>
      <c r="AP209" t="n">
        <v>325.4</v>
      </c>
      <c r="AQ209" t="n">
        <v>325.4</v>
      </c>
      <c r="AR209" t="n">
        <v>325.4</v>
      </c>
      <c r="AS209" t="n">
        <v>325.4</v>
      </c>
      <c r="AT209" t="n">
        <v>240.18</v>
      </c>
      <c r="AU209" t="n">
        <v>240.18</v>
      </c>
      <c r="AV209" t="n">
        <v>240.18</v>
      </c>
      <c r="AW209" t="n">
        <v>240.18</v>
      </c>
      <c r="AX209" t="n">
        <v>240.18</v>
      </c>
    </row>
    <row r="210">
      <c r="A210" t="inlineStr">
        <is>
          <t>PLTGU GRATI #3</t>
        </is>
      </c>
      <c r="B210" t="inlineStr"/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</row>
    <row r="211">
      <c r="A211" t="inlineStr"/>
      <c r="B211" t="inlineStr"/>
      <c r="C211" t="inlineStr">
        <is>
          <t>PT. PEMBANGKITAN JAWA-BALI</t>
        </is>
      </c>
      <c r="D211" t="inlineStr">
        <is>
          <t>PT. PEMBANGKITAN JAWA-BALI</t>
        </is>
      </c>
      <c r="E211" t="inlineStr">
        <is>
          <t>PT. PEMBANGKITAN JAWA-BALI</t>
        </is>
      </c>
      <c r="F211" t="inlineStr">
        <is>
          <t>PT. PEMBANGKITAN JAWA-BALI</t>
        </is>
      </c>
      <c r="G211" t="inlineStr">
        <is>
          <t>PT. PEMBANGKITAN JAWA-BALI</t>
        </is>
      </c>
      <c r="H211" t="inlineStr">
        <is>
          <t>PT. PEMBANGKITAN JAWA-BALI</t>
        </is>
      </c>
      <c r="I211" t="inlineStr">
        <is>
          <t>PT. PEMBANGKITAN JAWA-BALI</t>
        </is>
      </c>
      <c r="J211" t="inlineStr">
        <is>
          <t>PT. PEMBANGKITAN JAWA-BALI</t>
        </is>
      </c>
      <c r="K211" t="inlineStr">
        <is>
          <t>PT. PEMBANGKITAN JAWA-BALI</t>
        </is>
      </c>
      <c r="L211" t="inlineStr">
        <is>
          <t>PT. PEMBANGKITAN JAWA-BALI</t>
        </is>
      </c>
      <c r="M211" t="inlineStr">
        <is>
          <t>PT. PEMBANGKITAN JAWA-BALI</t>
        </is>
      </c>
      <c r="N211" t="inlineStr">
        <is>
          <t>PT. PEMBANGKITAN JAWA-BALI</t>
        </is>
      </c>
      <c r="O211" t="inlineStr">
        <is>
          <t>PT. PEMBANGKITAN JAWA-BALI</t>
        </is>
      </c>
      <c r="P211" t="inlineStr">
        <is>
          <t>PT. PEMBANGKITAN JAWA-BALI</t>
        </is>
      </c>
      <c r="Q211" t="inlineStr">
        <is>
          <t>PT. PEMBANGKITAN JAWA-BALI</t>
        </is>
      </c>
      <c r="R211" t="inlineStr">
        <is>
          <t>PT. PEMBANGKITAN JAWA-BALI</t>
        </is>
      </c>
      <c r="S211" t="inlineStr">
        <is>
          <t>PT. PEMBANGKITAN JAWA-BALI</t>
        </is>
      </c>
      <c r="T211" t="inlineStr">
        <is>
          <t>PT. PEMBANGKITAN JAWA-BALI</t>
        </is>
      </c>
      <c r="U211" t="inlineStr">
        <is>
          <t>PT. PEMBANGKITAN JAWA-BALI</t>
        </is>
      </c>
      <c r="V211" t="inlineStr">
        <is>
          <t>PT. PEMBANGKITAN JAWA-BALI</t>
        </is>
      </c>
      <c r="W211" t="inlineStr">
        <is>
          <t>PT. PEMBANGKITAN JAWA-BALI</t>
        </is>
      </c>
      <c r="X211" t="inlineStr">
        <is>
          <t>PT. PEMBANGKITAN JAWA-BALI</t>
        </is>
      </c>
      <c r="Y211" t="inlineStr">
        <is>
          <t>PT. PEMBANGKITAN JAWA-BALI</t>
        </is>
      </c>
      <c r="Z211" t="inlineStr">
        <is>
          <t>PT. PEMBANGKITAN JAWA-BALI</t>
        </is>
      </c>
      <c r="AA211" t="inlineStr">
        <is>
          <t>PT. PEMBANGKITAN JAWA-BALI</t>
        </is>
      </c>
      <c r="AB211" t="inlineStr">
        <is>
          <t>PT. PEMBANGKITAN JAWA-BALI</t>
        </is>
      </c>
      <c r="AC211" t="inlineStr">
        <is>
          <t>PT. PEMBANGKITAN JAWA-BALI</t>
        </is>
      </c>
      <c r="AD211" t="inlineStr">
        <is>
          <t>PT. PEMBANGKITAN JAWA-BALI</t>
        </is>
      </c>
      <c r="AE211" t="inlineStr">
        <is>
          <t>PT. PEMBANGKITAN JAWA-BALI</t>
        </is>
      </c>
      <c r="AF211" t="inlineStr">
        <is>
          <t>PT. PEMBANGKITAN JAWA-BALI</t>
        </is>
      </c>
      <c r="AG211" t="inlineStr">
        <is>
          <t>PT. PEMBANGKITAN JAWA-BALI</t>
        </is>
      </c>
      <c r="AH211" t="inlineStr">
        <is>
          <t>PT. PEMBANGKITAN JAWA-BALI</t>
        </is>
      </c>
      <c r="AI211" t="inlineStr">
        <is>
          <t>PT. PEMBANGKITAN JAWA-BALI</t>
        </is>
      </c>
      <c r="AJ211" t="inlineStr">
        <is>
          <t>PT. PEMBANGKITAN JAWA-BALI</t>
        </is>
      </c>
      <c r="AK211" t="inlineStr">
        <is>
          <t>PT. PEMBANGKITAN JAWA-BALI</t>
        </is>
      </c>
      <c r="AL211" t="inlineStr">
        <is>
          <t>PT. PEMBANGKITAN JAWA-BALI</t>
        </is>
      </c>
      <c r="AM211" t="inlineStr">
        <is>
          <t>PT. PEMBANGKITAN JAWA-BALI</t>
        </is>
      </c>
      <c r="AN211" t="inlineStr">
        <is>
          <t>PT. PEMBANGKITAN JAWA-BALI</t>
        </is>
      </c>
      <c r="AO211" t="inlineStr">
        <is>
          <t>PT. PEMBANGKITAN JAWA-BALI</t>
        </is>
      </c>
      <c r="AP211" t="inlineStr">
        <is>
          <t>PT. PEMBANGKITAN JAWA-BALI</t>
        </is>
      </c>
      <c r="AQ211" t="inlineStr">
        <is>
          <t>PT. PEMBANGKITAN JAWA-BALI</t>
        </is>
      </c>
      <c r="AR211" t="inlineStr">
        <is>
          <t>PT. PEMBANGKITAN JAWA-BALI</t>
        </is>
      </c>
      <c r="AS211" t="inlineStr">
        <is>
          <t>PT. PEMBANGKITAN JAWA-BALI</t>
        </is>
      </c>
      <c r="AT211" t="inlineStr">
        <is>
          <t>PT. PEMBANGKITAN JAWA-BALI</t>
        </is>
      </c>
      <c r="AU211" t="inlineStr">
        <is>
          <t>PT. PEMBANGKITAN JAWA-BALI</t>
        </is>
      </c>
      <c r="AV211" t="inlineStr">
        <is>
          <t>PT. PEMBANGKITAN JAWA-BALI</t>
        </is>
      </c>
      <c r="AW211" t="inlineStr">
        <is>
          <t>PT. PEMBANGKITAN JAWA-BALI</t>
        </is>
      </c>
      <c r="AX211" t="inlineStr">
        <is>
          <t>PT. PEMBANGKITAN JAWA-BALI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</row>
    <row r="213">
      <c r="A213" t="inlineStr">
        <is>
          <t>PLTA Region 4</t>
        </is>
      </c>
      <c r="B213" t="inlineStr"/>
      <c r="C213" t="n">
        <v>19</v>
      </c>
      <c r="D213" t="n">
        <v>19</v>
      </c>
      <c r="E213" t="n">
        <v>19</v>
      </c>
      <c r="F213" t="n">
        <v>19</v>
      </c>
      <c r="G213" t="n">
        <v>19</v>
      </c>
      <c r="H213" t="n">
        <v>19</v>
      </c>
      <c r="I213" t="n">
        <v>19</v>
      </c>
      <c r="J213" t="n">
        <v>11</v>
      </c>
      <c r="K213" t="n">
        <v>11</v>
      </c>
      <c r="L213" t="n">
        <v>11</v>
      </c>
      <c r="M213" t="n">
        <v>11</v>
      </c>
      <c r="N213" t="n">
        <v>11</v>
      </c>
      <c r="O213" t="n">
        <v>1</v>
      </c>
      <c r="P213" t="n">
        <v>1</v>
      </c>
      <c r="Q213" t="n">
        <v>1</v>
      </c>
      <c r="R213" t="n">
        <v>1</v>
      </c>
      <c r="S213" t="n">
        <v>9</v>
      </c>
      <c r="T213" t="n">
        <v>9</v>
      </c>
      <c r="U213" t="n">
        <v>9</v>
      </c>
      <c r="V213" t="n">
        <v>20</v>
      </c>
      <c r="W213" t="n">
        <v>20</v>
      </c>
      <c r="X213" t="n">
        <v>20</v>
      </c>
      <c r="Y213" t="n">
        <v>20</v>
      </c>
      <c r="Z213" t="n">
        <v>19</v>
      </c>
      <c r="AA213" t="n">
        <v>19</v>
      </c>
      <c r="AB213" t="n">
        <v>19</v>
      </c>
      <c r="AC213" t="n">
        <v>20</v>
      </c>
      <c r="AD213" t="n">
        <v>20</v>
      </c>
      <c r="AE213" t="n">
        <v>9</v>
      </c>
      <c r="AF213" t="n">
        <v>9</v>
      </c>
      <c r="AG213" t="n">
        <v>9</v>
      </c>
      <c r="AH213" t="n">
        <v>9</v>
      </c>
      <c r="AI213" t="n">
        <v>9</v>
      </c>
      <c r="AJ213" t="n">
        <v>9</v>
      </c>
      <c r="AK213" t="n">
        <v>21</v>
      </c>
      <c r="AL213" t="n">
        <v>21</v>
      </c>
      <c r="AM213" t="n">
        <v>21</v>
      </c>
      <c r="AN213" t="n">
        <v>21</v>
      </c>
      <c r="AO213" t="n">
        <v>21</v>
      </c>
      <c r="AP213" t="n">
        <v>19</v>
      </c>
      <c r="AQ213" t="n">
        <v>19</v>
      </c>
      <c r="AR213" t="n">
        <v>19</v>
      </c>
      <c r="AS213" t="n">
        <v>19</v>
      </c>
      <c r="AT213" t="n">
        <v>19</v>
      </c>
      <c r="AU213" t="n">
        <v>19</v>
      </c>
      <c r="AV213" t="n">
        <v>19</v>
      </c>
      <c r="AW213" t="n">
        <v>19</v>
      </c>
      <c r="AX213" t="n">
        <v>19</v>
      </c>
    </row>
    <row r="214">
      <c r="A214" t="inlineStr">
        <is>
          <t>PLTA BRANTAS</t>
        </is>
      </c>
      <c r="B214" t="inlineStr"/>
      <c r="C214" t="n">
        <v>33</v>
      </c>
      <c r="D214" t="n">
        <v>33</v>
      </c>
      <c r="E214" t="n">
        <v>33</v>
      </c>
      <c r="F214" t="n">
        <v>32</v>
      </c>
      <c r="G214" t="n">
        <v>33</v>
      </c>
      <c r="H214" t="n">
        <v>31</v>
      </c>
      <c r="I214" t="n">
        <v>31</v>
      </c>
      <c r="J214" t="n">
        <v>33</v>
      </c>
      <c r="K214" t="n">
        <v>33</v>
      </c>
      <c r="L214" t="n">
        <v>33</v>
      </c>
      <c r="M214" t="n">
        <v>33</v>
      </c>
      <c r="N214" t="n">
        <v>33</v>
      </c>
      <c r="O214" t="n">
        <v>32</v>
      </c>
      <c r="P214" t="n">
        <v>32</v>
      </c>
      <c r="Q214" t="n">
        <v>33</v>
      </c>
      <c r="R214" t="n">
        <v>33</v>
      </c>
      <c r="S214" t="n">
        <v>33</v>
      </c>
      <c r="T214" t="n">
        <v>33</v>
      </c>
      <c r="U214" t="n">
        <v>33</v>
      </c>
      <c r="V214" t="n">
        <v>33</v>
      </c>
      <c r="W214" t="n">
        <v>33</v>
      </c>
      <c r="X214" t="n">
        <v>33</v>
      </c>
      <c r="Y214" t="n">
        <v>32</v>
      </c>
      <c r="Z214" t="n">
        <v>33</v>
      </c>
      <c r="AA214" t="n">
        <v>33</v>
      </c>
      <c r="AB214" t="n">
        <v>33</v>
      </c>
      <c r="AC214" t="n">
        <v>33</v>
      </c>
      <c r="AD214" t="n">
        <v>33</v>
      </c>
      <c r="AE214" t="n">
        <v>33</v>
      </c>
      <c r="AF214" t="n">
        <v>33</v>
      </c>
      <c r="AG214" t="n">
        <v>33</v>
      </c>
      <c r="AH214" t="n">
        <v>33</v>
      </c>
      <c r="AI214" t="n">
        <v>33</v>
      </c>
      <c r="AJ214" t="n">
        <v>37</v>
      </c>
      <c r="AK214" t="n">
        <v>37</v>
      </c>
      <c r="AL214" t="n">
        <v>38</v>
      </c>
      <c r="AM214" t="n">
        <v>38</v>
      </c>
      <c r="AN214" t="n">
        <v>38</v>
      </c>
      <c r="AO214" t="n">
        <v>37</v>
      </c>
      <c r="AP214" t="n">
        <v>38</v>
      </c>
      <c r="AQ214" t="n">
        <v>39</v>
      </c>
      <c r="AR214" t="n">
        <v>38</v>
      </c>
      <c r="AS214" t="n">
        <v>39</v>
      </c>
      <c r="AT214" t="n">
        <v>39</v>
      </c>
      <c r="AU214" t="n">
        <v>39</v>
      </c>
      <c r="AV214" t="n">
        <v>38</v>
      </c>
      <c r="AW214" t="n">
        <v>38</v>
      </c>
      <c r="AX214" t="n">
        <v>39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</row>
    <row r="216">
      <c r="A216" t="inlineStr">
        <is>
          <t>PLTA STAMI</t>
        </is>
      </c>
      <c r="B216" t="inlineStr"/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30</v>
      </c>
      <c r="AK216" t="n">
        <v>30</v>
      </c>
      <c r="AL216" t="n">
        <v>30</v>
      </c>
      <c r="AM216" t="n">
        <v>29</v>
      </c>
      <c r="AN216" t="n">
        <v>30</v>
      </c>
      <c r="AO216" t="n">
        <v>29</v>
      </c>
      <c r="AP216" t="n">
        <v>29</v>
      </c>
      <c r="AQ216" t="n">
        <v>30</v>
      </c>
      <c r="AR216" t="n">
        <v>29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</row>
    <row r="218">
      <c r="A218" t="inlineStr">
        <is>
          <t>PLTU GRSIK #1</t>
        </is>
      </c>
      <c r="B218" t="n">
        <v>80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</row>
    <row r="219">
      <c r="A219" t="inlineStr">
        <is>
          <t>PLTU GRSIK #2</t>
        </is>
      </c>
      <c r="B219" t="n">
        <v>80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</row>
    <row r="220">
      <c r="A220" t="inlineStr">
        <is>
          <t>PLTU GRSIK #3</t>
        </is>
      </c>
      <c r="B220" t="n">
        <v>166.5</v>
      </c>
      <c r="C220" t="n">
        <v>93</v>
      </c>
      <c r="D220" t="n">
        <v>93</v>
      </c>
      <c r="E220" t="n">
        <v>93</v>
      </c>
      <c r="F220" t="n">
        <v>93</v>
      </c>
      <c r="G220" t="n">
        <v>93</v>
      </c>
      <c r="H220" t="n">
        <v>93</v>
      </c>
      <c r="I220" t="n">
        <v>93</v>
      </c>
      <c r="J220" t="n">
        <v>93</v>
      </c>
      <c r="K220" t="n">
        <v>93</v>
      </c>
      <c r="L220" t="n">
        <v>93</v>
      </c>
      <c r="M220" t="n">
        <v>93</v>
      </c>
      <c r="N220" t="n">
        <v>93</v>
      </c>
      <c r="O220" t="n">
        <v>93</v>
      </c>
      <c r="P220" t="n">
        <v>93</v>
      </c>
      <c r="Q220" t="n">
        <v>93</v>
      </c>
      <c r="R220" t="n">
        <v>93</v>
      </c>
      <c r="S220" t="n">
        <v>93</v>
      </c>
      <c r="T220" t="n">
        <v>93</v>
      </c>
      <c r="U220" t="n">
        <v>93</v>
      </c>
      <c r="V220" t="n">
        <v>93</v>
      </c>
      <c r="W220" t="n">
        <v>93</v>
      </c>
      <c r="X220" t="n">
        <v>93</v>
      </c>
      <c r="Y220" t="n">
        <v>93</v>
      </c>
      <c r="Z220" t="n">
        <v>93</v>
      </c>
      <c r="AA220" t="n">
        <v>93</v>
      </c>
      <c r="AB220" t="n">
        <v>93</v>
      </c>
      <c r="AC220" t="n">
        <v>93</v>
      </c>
      <c r="AD220" t="n">
        <v>93</v>
      </c>
      <c r="AE220" t="n">
        <v>93</v>
      </c>
      <c r="AF220" t="n">
        <v>93</v>
      </c>
      <c r="AG220" t="n">
        <v>93</v>
      </c>
      <c r="AH220" t="n">
        <v>93</v>
      </c>
      <c r="AI220" t="n">
        <v>93</v>
      </c>
      <c r="AJ220" t="n">
        <v>93</v>
      </c>
      <c r="AK220" t="n">
        <v>93</v>
      </c>
      <c r="AL220" t="n">
        <v>93</v>
      </c>
      <c r="AM220" t="n">
        <v>93</v>
      </c>
      <c r="AN220" t="n">
        <v>93</v>
      </c>
      <c r="AO220" t="n">
        <v>93</v>
      </c>
      <c r="AP220" t="n">
        <v>93</v>
      </c>
      <c r="AQ220" t="n">
        <v>93</v>
      </c>
      <c r="AR220" t="n">
        <v>93</v>
      </c>
      <c r="AS220" t="n">
        <v>93</v>
      </c>
      <c r="AT220" t="n">
        <v>93</v>
      </c>
      <c r="AU220" t="n">
        <v>93</v>
      </c>
      <c r="AV220" t="n">
        <v>93</v>
      </c>
      <c r="AW220" t="n">
        <v>93</v>
      </c>
      <c r="AX220" t="n">
        <v>93</v>
      </c>
    </row>
    <row r="221">
      <c r="A221" t="inlineStr">
        <is>
          <t>PLTU GRSIK #4</t>
        </is>
      </c>
      <c r="B221" t="n">
        <v>166.5</v>
      </c>
      <c r="C221" t="n">
        <v>93</v>
      </c>
      <c r="D221" t="n">
        <v>93</v>
      </c>
      <c r="E221" t="n">
        <v>93</v>
      </c>
      <c r="F221" t="n">
        <v>93</v>
      </c>
      <c r="G221" t="n">
        <v>93</v>
      </c>
      <c r="H221" t="n">
        <v>93</v>
      </c>
      <c r="I221" t="n">
        <v>93</v>
      </c>
      <c r="J221" t="n">
        <v>93</v>
      </c>
      <c r="K221" t="n">
        <v>93</v>
      </c>
      <c r="L221" t="n">
        <v>93</v>
      </c>
      <c r="M221" t="n">
        <v>93</v>
      </c>
      <c r="N221" t="n">
        <v>93</v>
      </c>
      <c r="O221" t="n">
        <v>93</v>
      </c>
      <c r="P221" t="n">
        <v>93</v>
      </c>
      <c r="Q221" t="n">
        <v>93</v>
      </c>
      <c r="R221" t="n">
        <v>93</v>
      </c>
      <c r="S221" t="n">
        <v>93</v>
      </c>
      <c r="T221" t="n">
        <v>93</v>
      </c>
      <c r="U221" t="n">
        <v>93</v>
      </c>
      <c r="V221" t="n">
        <v>93</v>
      </c>
      <c r="W221" t="n">
        <v>93</v>
      </c>
      <c r="X221" t="n">
        <v>93</v>
      </c>
      <c r="Y221" t="n">
        <v>93</v>
      </c>
      <c r="Z221" t="n">
        <v>93</v>
      </c>
      <c r="AA221" t="n">
        <v>93</v>
      </c>
      <c r="AB221" t="n">
        <v>93</v>
      </c>
      <c r="AC221" t="n">
        <v>93</v>
      </c>
      <c r="AD221" t="n">
        <v>93</v>
      </c>
      <c r="AE221" t="n">
        <v>93</v>
      </c>
      <c r="AF221" t="n">
        <v>93</v>
      </c>
      <c r="AG221" t="n">
        <v>93</v>
      </c>
      <c r="AH221" t="n">
        <v>93</v>
      </c>
      <c r="AI221" t="n">
        <v>93</v>
      </c>
      <c r="AJ221" t="n">
        <v>93</v>
      </c>
      <c r="AK221" t="n">
        <v>93</v>
      </c>
      <c r="AL221" t="n">
        <v>93</v>
      </c>
      <c r="AM221" t="n">
        <v>93</v>
      </c>
      <c r="AN221" t="n">
        <v>93</v>
      </c>
      <c r="AO221" t="n">
        <v>93</v>
      </c>
      <c r="AP221" t="n">
        <v>93</v>
      </c>
      <c r="AQ221" t="n">
        <v>93</v>
      </c>
      <c r="AR221" t="n">
        <v>93</v>
      </c>
      <c r="AS221" t="n">
        <v>93</v>
      </c>
      <c r="AT221" t="n">
        <v>93</v>
      </c>
      <c r="AU221" t="n">
        <v>93</v>
      </c>
      <c r="AV221" t="n">
        <v>93</v>
      </c>
      <c r="AW221" t="n">
        <v>93</v>
      </c>
      <c r="AX221" t="n">
        <v>93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</row>
    <row r="223">
      <c r="A223" t="inlineStr">
        <is>
          <t>PLTU PITON #1</t>
        </is>
      </c>
      <c r="B223" t="n">
        <v>370</v>
      </c>
      <c r="C223" t="n">
        <v>250</v>
      </c>
      <c r="D223" t="n">
        <v>250</v>
      </c>
      <c r="E223" t="n">
        <v>250</v>
      </c>
      <c r="F223" t="n">
        <v>250</v>
      </c>
      <c r="G223" t="n">
        <v>250</v>
      </c>
      <c r="H223" t="n">
        <v>250</v>
      </c>
      <c r="I223" t="n">
        <v>250</v>
      </c>
      <c r="J223" t="n">
        <v>250</v>
      </c>
      <c r="K223" t="n">
        <v>250</v>
      </c>
      <c r="L223" t="n">
        <v>250</v>
      </c>
      <c r="M223" t="n">
        <v>275</v>
      </c>
      <c r="N223" t="n">
        <v>275</v>
      </c>
      <c r="O223" t="n">
        <v>275</v>
      </c>
      <c r="P223" t="n">
        <v>275</v>
      </c>
      <c r="Q223" t="n">
        <v>275</v>
      </c>
      <c r="R223" t="n">
        <v>275</v>
      </c>
      <c r="S223" t="n">
        <v>275</v>
      </c>
      <c r="T223" t="n">
        <v>275</v>
      </c>
      <c r="U223" t="n">
        <v>275</v>
      </c>
      <c r="V223" t="n">
        <v>300</v>
      </c>
      <c r="W223" t="n">
        <v>300</v>
      </c>
      <c r="X223" t="n">
        <v>300</v>
      </c>
      <c r="Y223" t="n">
        <v>300</v>
      </c>
      <c r="Z223" t="n">
        <v>300</v>
      </c>
      <c r="AA223" t="n">
        <v>300</v>
      </c>
      <c r="AB223" t="n">
        <v>340</v>
      </c>
      <c r="AC223" t="n">
        <v>340</v>
      </c>
      <c r="AD223" t="n">
        <v>340</v>
      </c>
      <c r="AE223" t="n">
        <v>340</v>
      </c>
      <c r="AF223" t="n">
        <v>340</v>
      </c>
      <c r="AG223" t="n">
        <v>340</v>
      </c>
      <c r="AH223" t="n">
        <v>340</v>
      </c>
      <c r="AI223" t="n">
        <v>340</v>
      </c>
      <c r="AJ223" t="n">
        <v>340</v>
      </c>
      <c r="AK223" t="n">
        <v>340</v>
      </c>
      <c r="AL223" t="n">
        <v>340</v>
      </c>
      <c r="AM223" t="n">
        <v>340</v>
      </c>
      <c r="AN223" t="n">
        <v>340</v>
      </c>
      <c r="AO223" t="n">
        <v>340</v>
      </c>
      <c r="AP223" t="n">
        <v>275</v>
      </c>
      <c r="AQ223" t="n">
        <v>275</v>
      </c>
      <c r="AR223" t="n">
        <v>275</v>
      </c>
      <c r="AS223" t="n">
        <v>275</v>
      </c>
      <c r="AT223" t="n">
        <v>275</v>
      </c>
      <c r="AU223" t="n">
        <v>275</v>
      </c>
      <c r="AV223" t="n">
        <v>250</v>
      </c>
      <c r="AW223" t="n">
        <v>250</v>
      </c>
      <c r="AX223" t="n">
        <v>250</v>
      </c>
    </row>
    <row r="224">
      <c r="A224" t="inlineStr">
        <is>
          <t>PLTU PITON #2</t>
        </is>
      </c>
      <c r="B224" t="n">
        <v>370</v>
      </c>
      <c r="C224" t="n">
        <v>250</v>
      </c>
      <c r="D224" t="n">
        <v>250</v>
      </c>
      <c r="E224" t="n">
        <v>250</v>
      </c>
      <c r="F224" t="n">
        <v>250</v>
      </c>
      <c r="G224" t="n">
        <v>250</v>
      </c>
      <c r="H224" t="n">
        <v>250</v>
      </c>
      <c r="I224" t="n">
        <v>250</v>
      </c>
      <c r="J224" t="n">
        <v>250</v>
      </c>
      <c r="K224" t="n">
        <v>250</v>
      </c>
      <c r="L224" t="n">
        <v>250</v>
      </c>
      <c r="M224" t="n">
        <v>275</v>
      </c>
      <c r="N224" t="n">
        <v>275</v>
      </c>
      <c r="O224" t="n">
        <v>275</v>
      </c>
      <c r="P224" t="n">
        <v>275</v>
      </c>
      <c r="Q224" t="n">
        <v>275</v>
      </c>
      <c r="R224" t="n">
        <v>275</v>
      </c>
      <c r="S224" t="n">
        <v>275</v>
      </c>
      <c r="T224" t="n">
        <v>275</v>
      </c>
      <c r="U224" t="n">
        <v>275</v>
      </c>
      <c r="V224" t="n">
        <v>300</v>
      </c>
      <c r="W224" t="n">
        <v>300</v>
      </c>
      <c r="X224" t="n">
        <v>300</v>
      </c>
      <c r="Y224" t="n">
        <v>300</v>
      </c>
      <c r="Z224" t="n">
        <v>300</v>
      </c>
      <c r="AA224" t="n">
        <v>300</v>
      </c>
      <c r="AB224" t="n">
        <v>340</v>
      </c>
      <c r="AC224" t="n">
        <v>340</v>
      </c>
      <c r="AD224" t="n">
        <v>340</v>
      </c>
      <c r="AE224" t="n">
        <v>340</v>
      </c>
      <c r="AF224" t="n">
        <v>340</v>
      </c>
      <c r="AG224" t="n">
        <v>340</v>
      </c>
      <c r="AH224" t="n">
        <v>340</v>
      </c>
      <c r="AI224" t="n">
        <v>340</v>
      </c>
      <c r="AJ224" t="n">
        <v>340</v>
      </c>
      <c r="AK224" t="n">
        <v>340</v>
      </c>
      <c r="AL224" t="n">
        <v>340</v>
      </c>
      <c r="AM224" t="n">
        <v>340</v>
      </c>
      <c r="AN224" t="n">
        <v>340</v>
      </c>
      <c r="AO224" t="n">
        <v>340</v>
      </c>
      <c r="AP224" t="n">
        <v>275</v>
      </c>
      <c r="AQ224" t="n">
        <v>275</v>
      </c>
      <c r="AR224" t="n">
        <v>275</v>
      </c>
      <c r="AS224" t="n">
        <v>275</v>
      </c>
      <c r="AT224" t="n">
        <v>275</v>
      </c>
      <c r="AU224" t="n">
        <v>275</v>
      </c>
      <c r="AV224" t="n">
        <v>250</v>
      </c>
      <c r="AW224" t="n">
        <v>250</v>
      </c>
      <c r="AX224" t="n">
        <v>250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</row>
    <row r="226">
      <c r="A226" t="inlineStr">
        <is>
          <t>PLTG GRSIK #1</t>
        </is>
      </c>
      <c r="B226" t="n">
        <v>15.5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</row>
    <row r="227">
      <c r="A227" t="inlineStr">
        <is>
          <t>PLTG GRSIK #2</t>
        </is>
      </c>
      <c r="B227" t="n">
        <v>15.5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</row>
    <row r="229">
      <c r="A229" t="inlineStr">
        <is>
          <t>PLTGU GRBRU #1</t>
        </is>
      </c>
      <c r="B229" t="inlineStr"/>
      <c r="C229" t="n">
        <v>242.25</v>
      </c>
      <c r="D229" t="n">
        <v>242.25</v>
      </c>
      <c r="E229" t="n">
        <v>242.25</v>
      </c>
      <c r="F229" t="n">
        <v>242.25</v>
      </c>
      <c r="G229" t="n">
        <v>242.25</v>
      </c>
      <c r="H229" t="n">
        <v>242.25</v>
      </c>
      <c r="I229" t="n">
        <v>242.25</v>
      </c>
      <c r="J229" t="n">
        <v>242.25</v>
      </c>
      <c r="K229" t="n">
        <v>242.25</v>
      </c>
      <c r="L229" t="n">
        <v>242.25</v>
      </c>
      <c r="M229" t="n">
        <v>242.25</v>
      </c>
      <c r="N229" t="n">
        <v>242.25</v>
      </c>
      <c r="O229" t="n">
        <v>254.99</v>
      </c>
      <c r="P229" t="n">
        <v>280.47</v>
      </c>
      <c r="Q229" t="n">
        <v>326.17</v>
      </c>
      <c r="R229" t="n">
        <v>326.17</v>
      </c>
      <c r="S229" t="n">
        <v>326.17</v>
      </c>
      <c r="T229" t="n">
        <v>326.17</v>
      </c>
      <c r="U229" t="n">
        <v>326.17</v>
      </c>
      <c r="V229" t="n">
        <v>326.17</v>
      </c>
      <c r="W229" t="n">
        <v>326.17</v>
      </c>
      <c r="X229" t="n">
        <v>326.17</v>
      </c>
      <c r="Y229" t="n">
        <v>326.17</v>
      </c>
      <c r="Z229" t="n">
        <v>326.17</v>
      </c>
      <c r="AA229" t="n">
        <v>326.17</v>
      </c>
      <c r="AB229" t="n">
        <v>326.17</v>
      </c>
      <c r="AC229" t="n">
        <v>326.17</v>
      </c>
      <c r="AD229" t="n">
        <v>326.17</v>
      </c>
      <c r="AE229" t="n">
        <v>326.17</v>
      </c>
      <c r="AF229" t="n">
        <v>326.17</v>
      </c>
      <c r="AG229" t="n">
        <v>326.17</v>
      </c>
      <c r="AH229" t="n">
        <v>326.17</v>
      </c>
      <c r="AI229" t="n">
        <v>326.17</v>
      </c>
      <c r="AJ229" t="n">
        <v>326.17</v>
      </c>
      <c r="AK229" t="n">
        <v>326.17</v>
      </c>
      <c r="AL229" t="n">
        <v>326.17</v>
      </c>
      <c r="AM229" t="n">
        <v>326.17</v>
      </c>
      <c r="AN229" t="n">
        <v>326.17</v>
      </c>
      <c r="AO229" t="n">
        <v>326.17</v>
      </c>
      <c r="AP229" t="n">
        <v>326.17</v>
      </c>
      <c r="AQ229" t="n">
        <v>326.17</v>
      </c>
      <c r="AR229" t="n">
        <v>326.17</v>
      </c>
      <c r="AS229" t="n">
        <v>326.17</v>
      </c>
      <c r="AT229" t="n">
        <v>274.98</v>
      </c>
      <c r="AU229" t="n">
        <v>242.25</v>
      </c>
      <c r="AV229" t="n">
        <v>242.25</v>
      </c>
      <c r="AW229" t="n">
        <v>242.25</v>
      </c>
      <c r="AX229" t="n">
        <v>242.25</v>
      </c>
    </row>
    <row r="230">
      <c r="A230" t="inlineStr">
        <is>
          <t>PLTGU GRBRU #2</t>
        </is>
      </c>
      <c r="B230" t="inlineStr"/>
      <c r="C230" t="n">
        <v>155</v>
      </c>
      <c r="D230" t="n">
        <v>155</v>
      </c>
      <c r="E230" t="n">
        <v>155</v>
      </c>
      <c r="F230" t="n">
        <v>155</v>
      </c>
      <c r="G230" t="n">
        <v>155</v>
      </c>
      <c r="H230" t="n">
        <v>155</v>
      </c>
      <c r="I230" t="n">
        <v>155</v>
      </c>
      <c r="J230" t="n">
        <v>155</v>
      </c>
      <c r="K230" t="n">
        <v>155</v>
      </c>
      <c r="L230" t="n">
        <v>155</v>
      </c>
      <c r="M230" t="n">
        <v>155</v>
      </c>
      <c r="N230" t="n">
        <v>155</v>
      </c>
      <c r="O230" t="n">
        <v>155</v>
      </c>
      <c r="P230" t="n">
        <v>155</v>
      </c>
      <c r="Q230" t="n">
        <v>155</v>
      </c>
      <c r="R230" t="n">
        <v>220.25</v>
      </c>
      <c r="S230" t="n">
        <v>237.15</v>
      </c>
      <c r="T230" t="n">
        <v>302.4</v>
      </c>
      <c r="U230" t="n">
        <v>319.3</v>
      </c>
      <c r="V230" t="n">
        <v>319.3</v>
      </c>
      <c r="W230" t="n">
        <v>319.3</v>
      </c>
      <c r="X230" t="n">
        <v>319.3</v>
      </c>
      <c r="Y230" t="n">
        <v>319.3</v>
      </c>
      <c r="Z230" t="n">
        <v>319.3</v>
      </c>
      <c r="AA230" t="n">
        <v>319.3</v>
      </c>
      <c r="AB230" t="n">
        <v>319.3</v>
      </c>
      <c r="AC230" t="n">
        <v>319.3</v>
      </c>
      <c r="AD230" t="n">
        <v>319.3</v>
      </c>
      <c r="AE230" t="n">
        <v>319.3</v>
      </c>
      <c r="AF230" t="n">
        <v>319.3</v>
      </c>
      <c r="AG230" t="n">
        <v>319.3</v>
      </c>
      <c r="AH230" t="n">
        <v>319.3</v>
      </c>
      <c r="AI230" t="n">
        <v>319.3</v>
      </c>
      <c r="AJ230" t="n">
        <v>319.3</v>
      </c>
      <c r="AK230" t="n">
        <v>319.3</v>
      </c>
      <c r="AL230" t="n">
        <v>319.3</v>
      </c>
      <c r="AM230" t="n">
        <v>319.3</v>
      </c>
      <c r="AN230" t="n">
        <v>319.3</v>
      </c>
      <c r="AO230" t="n">
        <v>319.3</v>
      </c>
      <c r="AP230" t="n">
        <v>319.3</v>
      </c>
      <c r="AQ230" t="n">
        <v>319.3</v>
      </c>
      <c r="AR230" t="n">
        <v>319.3</v>
      </c>
      <c r="AS230" t="n">
        <v>319.3</v>
      </c>
      <c r="AT230" t="n">
        <v>319.3</v>
      </c>
      <c r="AU230" t="n">
        <v>155</v>
      </c>
      <c r="AV230" t="n">
        <v>155</v>
      </c>
      <c r="AW230" t="n">
        <v>155</v>
      </c>
      <c r="AX230" t="n">
        <v>155</v>
      </c>
    </row>
    <row r="231">
      <c r="A231" t="inlineStr">
        <is>
          <t>PLTGU GRBRU #3</t>
        </is>
      </c>
      <c r="B231" t="inlineStr"/>
      <c r="C231" t="n">
        <v>156.67</v>
      </c>
      <c r="D231" t="n">
        <v>156.67</v>
      </c>
      <c r="E231" t="n">
        <v>156.67</v>
      </c>
      <c r="F231" t="n">
        <v>156.67</v>
      </c>
      <c r="G231" t="n">
        <v>156.67</v>
      </c>
      <c r="H231" t="n">
        <v>156.67</v>
      </c>
      <c r="I231" t="n">
        <v>156.67</v>
      </c>
      <c r="J231" t="n">
        <v>156.67</v>
      </c>
      <c r="K231" t="n">
        <v>156.67</v>
      </c>
      <c r="L231" t="n">
        <v>156.67</v>
      </c>
      <c r="M231" t="n">
        <v>156.67</v>
      </c>
      <c r="N231" t="n">
        <v>156.67</v>
      </c>
      <c r="O231" t="n">
        <v>156.67</v>
      </c>
      <c r="P231" t="n">
        <v>156.67</v>
      </c>
      <c r="Q231" t="n">
        <v>156.67</v>
      </c>
      <c r="R231" t="n">
        <v>156.67</v>
      </c>
      <c r="S231" t="n">
        <v>169.41</v>
      </c>
      <c r="T231" t="n">
        <v>260.55</v>
      </c>
      <c r="U231" t="n">
        <v>373.61</v>
      </c>
      <c r="V231" t="n">
        <v>398.84</v>
      </c>
      <c r="W231" t="n">
        <v>410</v>
      </c>
      <c r="X231" t="n">
        <v>410</v>
      </c>
      <c r="Y231" t="n">
        <v>410</v>
      </c>
      <c r="Z231" t="n">
        <v>410</v>
      </c>
      <c r="AA231" t="n">
        <v>410</v>
      </c>
      <c r="AB231" t="n">
        <v>410</v>
      </c>
      <c r="AC231" t="n">
        <v>410</v>
      </c>
      <c r="AD231" t="n">
        <v>410</v>
      </c>
      <c r="AE231" t="n">
        <v>410</v>
      </c>
      <c r="AF231" t="n">
        <v>410</v>
      </c>
      <c r="AG231" t="n">
        <v>410</v>
      </c>
      <c r="AH231" t="n">
        <v>410</v>
      </c>
      <c r="AI231" t="n">
        <v>410</v>
      </c>
      <c r="AJ231" t="n">
        <v>410</v>
      </c>
      <c r="AK231" t="n">
        <v>410</v>
      </c>
      <c r="AL231" t="n">
        <v>410</v>
      </c>
      <c r="AM231" t="n">
        <v>410</v>
      </c>
      <c r="AN231" t="n">
        <v>410</v>
      </c>
      <c r="AO231" t="n">
        <v>385</v>
      </c>
      <c r="AP231" t="n">
        <v>325</v>
      </c>
      <c r="AQ231" t="n">
        <v>300</v>
      </c>
      <c r="AR231" t="n">
        <v>272.52</v>
      </c>
      <c r="AS231" t="n">
        <v>156.67</v>
      </c>
      <c r="AT231" t="n">
        <v>156.67</v>
      </c>
      <c r="AU231" t="n">
        <v>156.67</v>
      </c>
      <c r="AV231" t="n">
        <v>156.67</v>
      </c>
      <c r="AW231" t="n">
        <v>156.67</v>
      </c>
      <c r="AX231" t="n">
        <v>156.67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</row>
    <row r="233">
      <c r="A233" t="inlineStr">
        <is>
          <t>PLTU TJ AWAR2 #1</t>
        </is>
      </c>
      <c r="B233" t="n">
        <v>323</v>
      </c>
      <c r="C233" t="n">
        <v>250</v>
      </c>
      <c r="D233" t="n">
        <v>250</v>
      </c>
      <c r="E233" t="n">
        <v>250</v>
      </c>
      <c r="F233" t="n">
        <v>250</v>
      </c>
      <c r="G233" t="n">
        <v>250</v>
      </c>
      <c r="H233" t="n">
        <v>250</v>
      </c>
      <c r="I233" t="n">
        <v>250</v>
      </c>
      <c r="J233" t="n">
        <v>250</v>
      </c>
      <c r="K233" t="n">
        <v>300</v>
      </c>
      <c r="L233" t="n">
        <v>300</v>
      </c>
      <c r="M233" t="n">
        <v>300</v>
      </c>
      <c r="N233" t="n">
        <v>300</v>
      </c>
      <c r="O233" t="n">
        <v>300</v>
      </c>
      <c r="P233" t="n">
        <v>300</v>
      </c>
      <c r="Q233" t="n">
        <v>320</v>
      </c>
      <c r="R233" t="n">
        <v>320</v>
      </c>
      <c r="S233" t="n">
        <v>320</v>
      </c>
      <c r="T233" t="n">
        <v>320</v>
      </c>
      <c r="U233" t="n">
        <v>320</v>
      </c>
      <c r="V233" t="n">
        <v>320</v>
      </c>
      <c r="W233" t="n">
        <v>320</v>
      </c>
      <c r="X233" t="n">
        <v>320</v>
      </c>
      <c r="Y233" t="n">
        <v>320</v>
      </c>
      <c r="Z233" t="n">
        <v>320</v>
      </c>
      <c r="AA233" t="n">
        <v>323</v>
      </c>
      <c r="AB233" t="n">
        <v>323</v>
      </c>
      <c r="AC233" t="n">
        <v>323</v>
      </c>
      <c r="AD233" t="n">
        <v>323</v>
      </c>
      <c r="AE233" t="n">
        <v>323</v>
      </c>
      <c r="AF233" t="n">
        <v>323</v>
      </c>
      <c r="AG233" t="n">
        <v>323</v>
      </c>
      <c r="AH233" t="n">
        <v>323</v>
      </c>
      <c r="AI233" t="n">
        <v>323</v>
      </c>
      <c r="AJ233" t="n">
        <v>323</v>
      </c>
      <c r="AK233" t="n">
        <v>323</v>
      </c>
      <c r="AL233" t="n">
        <v>323</v>
      </c>
      <c r="AM233" t="n">
        <v>323</v>
      </c>
      <c r="AN233" t="n">
        <v>323</v>
      </c>
      <c r="AO233" t="n">
        <v>323</v>
      </c>
      <c r="AP233" t="n">
        <v>323</v>
      </c>
      <c r="AQ233" t="n">
        <v>323</v>
      </c>
      <c r="AR233" t="n">
        <v>323</v>
      </c>
      <c r="AS233" t="n">
        <v>323</v>
      </c>
      <c r="AT233" t="n">
        <v>323</v>
      </c>
      <c r="AU233" t="n">
        <v>323</v>
      </c>
      <c r="AV233" t="n">
        <v>323</v>
      </c>
      <c r="AW233" t="n">
        <v>323</v>
      </c>
      <c r="AX233" t="n">
        <v>323</v>
      </c>
    </row>
    <row r="234">
      <c r="A234" t="inlineStr">
        <is>
          <t>PLTU TJ AWAR2 #2</t>
        </is>
      </c>
      <c r="B234" t="n">
        <v>323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</row>
    <row r="236">
      <c r="A236" t="inlineStr">
        <is>
          <t>PLTU PAITON #9</t>
        </is>
      </c>
      <c r="B236" t="n">
        <v>615</v>
      </c>
      <c r="C236" t="n">
        <v>400</v>
      </c>
      <c r="D236" t="n">
        <v>380</v>
      </c>
      <c r="E236" t="n">
        <v>350</v>
      </c>
      <c r="F236" t="n">
        <v>350</v>
      </c>
      <c r="G236" t="n">
        <v>350</v>
      </c>
      <c r="H236" t="n">
        <v>350</v>
      </c>
      <c r="I236" t="n">
        <v>350</v>
      </c>
      <c r="J236" t="n">
        <v>350</v>
      </c>
      <c r="K236" t="n">
        <v>400</v>
      </c>
      <c r="L236" t="n">
        <v>450</v>
      </c>
      <c r="M236" t="n">
        <v>500</v>
      </c>
      <c r="N236" t="n">
        <v>500</v>
      </c>
      <c r="O236" t="n">
        <v>500</v>
      </c>
      <c r="P236" t="n">
        <v>500</v>
      </c>
      <c r="Q236" t="n">
        <v>530</v>
      </c>
      <c r="R236" t="n">
        <v>550</v>
      </c>
      <c r="S236" t="n">
        <v>600</v>
      </c>
      <c r="T236" t="n">
        <v>600</v>
      </c>
      <c r="U236" t="n">
        <v>600</v>
      </c>
      <c r="V236" t="n">
        <v>600</v>
      </c>
      <c r="W236" t="n">
        <v>600</v>
      </c>
      <c r="X236" t="n">
        <v>600</v>
      </c>
      <c r="Y236" t="n">
        <v>600</v>
      </c>
      <c r="Z236" t="n">
        <v>600</v>
      </c>
      <c r="AA236" t="n">
        <v>602.7</v>
      </c>
      <c r="AB236" t="n">
        <v>602.7</v>
      </c>
      <c r="AC236" t="n">
        <v>602.7</v>
      </c>
      <c r="AD236" t="n">
        <v>602.7</v>
      </c>
      <c r="AE236" t="n">
        <v>602.7</v>
      </c>
      <c r="AF236" t="n">
        <v>602.7</v>
      </c>
      <c r="AG236" t="n">
        <v>602.7</v>
      </c>
      <c r="AH236" t="n">
        <v>602.7</v>
      </c>
      <c r="AI236" t="n">
        <v>602.7</v>
      </c>
      <c r="AJ236" t="n">
        <v>602.7</v>
      </c>
      <c r="AK236" t="n">
        <v>602.7</v>
      </c>
      <c r="AL236" t="n">
        <v>602.7</v>
      </c>
      <c r="AM236" t="n">
        <v>602.7</v>
      </c>
      <c r="AN236" t="n">
        <v>602.7</v>
      </c>
      <c r="AO236" t="n">
        <v>602.7</v>
      </c>
      <c r="AP236" t="n">
        <v>602.7</v>
      </c>
      <c r="AQ236" t="n">
        <v>602.7</v>
      </c>
      <c r="AR236" t="n">
        <v>602.7</v>
      </c>
      <c r="AS236" t="n">
        <v>602.7</v>
      </c>
      <c r="AT236" t="n">
        <v>602.7</v>
      </c>
      <c r="AU236" t="n">
        <v>602.7</v>
      </c>
      <c r="AV236" t="n">
        <v>602.7</v>
      </c>
      <c r="AW236" t="n">
        <v>602.7</v>
      </c>
      <c r="AX236" t="n">
        <v>602.7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</row>
    <row r="238">
      <c r="A238" t="inlineStr">
        <is>
          <t>PLTU PACITAN #1</t>
        </is>
      </c>
      <c r="B238" t="n">
        <v>280</v>
      </c>
      <c r="C238" t="n">
        <v>200</v>
      </c>
      <c r="D238" t="n">
        <v>200</v>
      </c>
      <c r="E238" t="n">
        <v>200</v>
      </c>
      <c r="F238" t="n">
        <v>200</v>
      </c>
      <c r="G238" t="n">
        <v>200</v>
      </c>
      <c r="H238" t="n">
        <v>200</v>
      </c>
      <c r="I238" t="n">
        <v>200</v>
      </c>
      <c r="J238" t="n">
        <v>200</v>
      </c>
      <c r="K238" t="n">
        <v>200</v>
      </c>
      <c r="L238" t="n">
        <v>200</v>
      </c>
      <c r="M238" t="n">
        <v>200</v>
      </c>
      <c r="N238" t="n">
        <v>200</v>
      </c>
      <c r="O238" t="n">
        <v>200</v>
      </c>
      <c r="P238" t="n">
        <v>200</v>
      </c>
      <c r="Q238" t="n">
        <v>200</v>
      </c>
      <c r="R238" t="n">
        <v>200</v>
      </c>
      <c r="S238" t="n">
        <v>200</v>
      </c>
      <c r="T238" t="n">
        <v>200</v>
      </c>
      <c r="U238" t="n">
        <v>200</v>
      </c>
      <c r="V238" t="n">
        <v>200</v>
      </c>
      <c r="W238" t="n">
        <v>200</v>
      </c>
      <c r="X238" t="n">
        <v>200</v>
      </c>
      <c r="Y238" t="n">
        <v>200</v>
      </c>
      <c r="Z238" t="n">
        <v>200</v>
      </c>
      <c r="AA238" t="n">
        <v>200</v>
      </c>
      <c r="AB238" t="n">
        <v>200</v>
      </c>
      <c r="AC238" t="n">
        <v>200</v>
      </c>
      <c r="AD238" t="n">
        <v>200</v>
      </c>
      <c r="AE238" t="n">
        <v>200</v>
      </c>
      <c r="AF238" t="n">
        <v>200</v>
      </c>
      <c r="AG238" t="n">
        <v>200</v>
      </c>
      <c r="AH238" t="n">
        <v>200</v>
      </c>
      <c r="AI238" t="n">
        <v>200</v>
      </c>
      <c r="AJ238" t="n">
        <v>200</v>
      </c>
      <c r="AK238" t="n">
        <v>270</v>
      </c>
      <c r="AL238" t="n">
        <v>270</v>
      </c>
      <c r="AM238" t="n">
        <v>270</v>
      </c>
      <c r="AN238" t="n">
        <v>270</v>
      </c>
      <c r="AO238" t="n">
        <v>270</v>
      </c>
      <c r="AP238" t="n">
        <v>200</v>
      </c>
      <c r="AQ238" t="n">
        <v>200</v>
      </c>
      <c r="AR238" t="n">
        <v>200</v>
      </c>
      <c r="AS238" t="n">
        <v>200</v>
      </c>
      <c r="AT238" t="n">
        <v>200</v>
      </c>
      <c r="AU238" t="n">
        <v>200</v>
      </c>
      <c r="AV238" t="n">
        <v>200</v>
      </c>
      <c r="AW238" t="n">
        <v>200</v>
      </c>
      <c r="AX238" t="n">
        <v>200</v>
      </c>
    </row>
    <row r="239">
      <c r="A239" t="inlineStr">
        <is>
          <t>PLTU PACITAN #2</t>
        </is>
      </c>
      <c r="B239" t="n">
        <v>280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inlineStr">
        <is>
          <t>PLTU PACITAN #3</t>
        </is>
      </c>
      <c r="B240" t="n">
        <v>0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</row>
    <row r="242">
      <c r="A242" t="inlineStr">
        <is>
          <t>PLTA APGDG #1</t>
        </is>
      </c>
      <c r="B242" t="n">
        <v>0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</row>
    <row r="243">
      <c r="A243" t="inlineStr">
        <is>
          <t>PLTA APGDG #2</t>
        </is>
      </c>
      <c r="B243" t="n">
        <v>0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</row>
    <row r="244">
      <c r="A244" t="inlineStr"/>
      <c r="B244" t="inlineStr"/>
      <c r="C244" t="inlineStr">
        <is>
          <t>IPP</t>
        </is>
      </c>
      <c r="D244" t="inlineStr">
        <is>
          <t>IPP</t>
        </is>
      </c>
      <c r="E244" t="inlineStr">
        <is>
          <t>IPP</t>
        </is>
      </c>
      <c r="F244" t="inlineStr">
        <is>
          <t>IPP</t>
        </is>
      </c>
      <c r="G244" t="inlineStr">
        <is>
          <t>IPP</t>
        </is>
      </c>
      <c r="H244" t="inlineStr">
        <is>
          <t>IPP</t>
        </is>
      </c>
      <c r="I244" t="inlineStr">
        <is>
          <t>IPP</t>
        </is>
      </c>
      <c r="J244" t="inlineStr">
        <is>
          <t>IPP</t>
        </is>
      </c>
      <c r="K244" t="inlineStr">
        <is>
          <t>IPP</t>
        </is>
      </c>
      <c r="L244" t="inlineStr">
        <is>
          <t>IPP</t>
        </is>
      </c>
      <c r="M244" t="inlineStr">
        <is>
          <t>IPP</t>
        </is>
      </c>
      <c r="N244" t="inlineStr">
        <is>
          <t>IPP</t>
        </is>
      </c>
      <c r="O244" t="inlineStr">
        <is>
          <t>IPP</t>
        </is>
      </c>
      <c r="P244" t="inlineStr">
        <is>
          <t>IPP</t>
        </is>
      </c>
      <c r="Q244" t="inlineStr">
        <is>
          <t>IPP</t>
        </is>
      </c>
      <c r="R244" t="inlineStr">
        <is>
          <t>IPP</t>
        </is>
      </c>
      <c r="S244" t="inlineStr">
        <is>
          <t>IPP</t>
        </is>
      </c>
      <c r="T244" t="inlineStr">
        <is>
          <t>IPP</t>
        </is>
      </c>
      <c r="U244" t="inlineStr">
        <is>
          <t>IPP</t>
        </is>
      </c>
      <c r="V244" t="inlineStr">
        <is>
          <t>IPP</t>
        </is>
      </c>
      <c r="W244" t="inlineStr">
        <is>
          <t>IPP</t>
        </is>
      </c>
      <c r="X244" t="inlineStr">
        <is>
          <t>IPP</t>
        </is>
      </c>
      <c r="Y244" t="inlineStr">
        <is>
          <t>IPP</t>
        </is>
      </c>
      <c r="Z244" t="inlineStr">
        <is>
          <t>IPP</t>
        </is>
      </c>
      <c r="AA244" t="inlineStr">
        <is>
          <t>IPP</t>
        </is>
      </c>
      <c r="AB244" t="inlineStr">
        <is>
          <t>IPP</t>
        </is>
      </c>
      <c r="AC244" t="inlineStr">
        <is>
          <t>IPP</t>
        </is>
      </c>
      <c r="AD244" t="inlineStr">
        <is>
          <t>IPP</t>
        </is>
      </c>
      <c r="AE244" t="inlineStr">
        <is>
          <t>IPP</t>
        </is>
      </c>
      <c r="AF244" t="inlineStr">
        <is>
          <t>IPP</t>
        </is>
      </c>
      <c r="AG244" t="inlineStr">
        <is>
          <t>IPP</t>
        </is>
      </c>
      <c r="AH244" t="inlineStr">
        <is>
          <t>IPP</t>
        </is>
      </c>
      <c r="AI244" t="inlineStr">
        <is>
          <t>IPP</t>
        </is>
      </c>
      <c r="AJ244" t="inlineStr">
        <is>
          <t>IPP</t>
        </is>
      </c>
      <c r="AK244" t="inlineStr">
        <is>
          <t>IPP</t>
        </is>
      </c>
      <c r="AL244" t="inlineStr">
        <is>
          <t>IPP</t>
        </is>
      </c>
      <c r="AM244" t="inlineStr">
        <is>
          <t>IPP</t>
        </is>
      </c>
      <c r="AN244" t="inlineStr">
        <is>
          <t>IPP</t>
        </is>
      </c>
      <c r="AO244" t="inlineStr">
        <is>
          <t>IPP</t>
        </is>
      </c>
      <c r="AP244" t="inlineStr">
        <is>
          <t>IPP</t>
        </is>
      </c>
      <c r="AQ244" t="inlineStr">
        <is>
          <t>IPP</t>
        </is>
      </c>
      <c r="AR244" t="inlineStr">
        <is>
          <t>IPP</t>
        </is>
      </c>
      <c r="AS244" t="inlineStr">
        <is>
          <t>IPP</t>
        </is>
      </c>
      <c r="AT244" t="inlineStr">
        <is>
          <t>IPP</t>
        </is>
      </c>
      <c r="AU244" t="inlineStr">
        <is>
          <t>IPP</t>
        </is>
      </c>
      <c r="AV244" t="inlineStr">
        <is>
          <t>IPP</t>
        </is>
      </c>
      <c r="AW244" t="inlineStr">
        <is>
          <t>IPP</t>
        </is>
      </c>
      <c r="AX244" t="inlineStr">
        <is>
          <t>IPP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</row>
    <row r="246">
      <c r="A246" t="inlineStr">
        <is>
          <t>PLTU PEC #7</t>
        </is>
      </c>
      <c r="B246" t="n">
        <v>610</v>
      </c>
      <c r="C246" t="n">
        <v>530</v>
      </c>
      <c r="D246" t="n">
        <v>500</v>
      </c>
      <c r="E246" t="n">
        <v>450</v>
      </c>
      <c r="F246" t="n">
        <v>400</v>
      </c>
      <c r="G246" t="n">
        <v>350</v>
      </c>
      <c r="H246" t="n">
        <v>350</v>
      </c>
      <c r="I246" t="n">
        <v>350</v>
      </c>
      <c r="J246" t="n">
        <v>350</v>
      </c>
      <c r="K246" t="n">
        <v>400</v>
      </c>
      <c r="L246" t="n">
        <v>450</v>
      </c>
      <c r="M246" t="n">
        <v>500</v>
      </c>
      <c r="N246" t="n">
        <v>500</v>
      </c>
      <c r="O246" t="n">
        <v>500</v>
      </c>
      <c r="P246" t="n">
        <v>500</v>
      </c>
      <c r="Q246" t="n">
        <v>550</v>
      </c>
      <c r="R246" t="n">
        <v>597</v>
      </c>
      <c r="S246" t="n">
        <v>597</v>
      </c>
      <c r="T246" t="n">
        <v>597</v>
      </c>
      <c r="U246" t="n">
        <v>597</v>
      </c>
      <c r="V246" t="n">
        <v>597</v>
      </c>
      <c r="W246" t="n">
        <v>597</v>
      </c>
      <c r="X246" t="n">
        <v>597</v>
      </c>
      <c r="Y246" t="n">
        <v>597</v>
      </c>
      <c r="Z246" t="n">
        <v>597</v>
      </c>
      <c r="AA246" t="n">
        <v>597.8</v>
      </c>
      <c r="AB246" t="n">
        <v>597.8</v>
      </c>
      <c r="AC246" t="n">
        <v>597.8</v>
      </c>
      <c r="AD246" t="n">
        <v>597.8</v>
      </c>
      <c r="AE246" t="n">
        <v>597.8</v>
      </c>
      <c r="AF246" t="n">
        <v>597.8</v>
      </c>
      <c r="AG246" t="n">
        <v>597.8</v>
      </c>
      <c r="AH246" t="n">
        <v>597.8</v>
      </c>
      <c r="AI246" t="n">
        <v>597.8</v>
      </c>
      <c r="AJ246" t="n">
        <v>597.8</v>
      </c>
      <c r="AK246" t="n">
        <v>597.8</v>
      </c>
      <c r="AL246" t="n">
        <v>597.8</v>
      </c>
      <c r="AM246" t="n">
        <v>597.8</v>
      </c>
      <c r="AN246" t="n">
        <v>597.8</v>
      </c>
      <c r="AO246" t="n">
        <v>597.8</v>
      </c>
      <c r="AP246" t="n">
        <v>597.8</v>
      </c>
      <c r="AQ246" t="n">
        <v>597.8</v>
      </c>
      <c r="AR246" t="n">
        <v>597.8</v>
      </c>
      <c r="AS246" t="n">
        <v>597.8</v>
      </c>
      <c r="AT246" t="n">
        <v>597.8</v>
      </c>
      <c r="AU246" t="n">
        <v>597.8</v>
      </c>
      <c r="AV246" t="n">
        <v>597.8</v>
      </c>
      <c r="AW246" t="n">
        <v>597.8</v>
      </c>
      <c r="AX246" t="n">
        <v>597.8</v>
      </c>
    </row>
    <row r="247">
      <c r="A247" t="inlineStr">
        <is>
          <t>PLTU PEC #8</t>
        </is>
      </c>
      <c r="B247" t="n">
        <v>610</v>
      </c>
      <c r="C247" t="n">
        <v>530</v>
      </c>
      <c r="D247" t="n">
        <v>500</v>
      </c>
      <c r="E247" t="n">
        <v>450</v>
      </c>
      <c r="F247" t="n">
        <v>400</v>
      </c>
      <c r="G247" t="n">
        <v>350</v>
      </c>
      <c r="H247" t="n">
        <v>350</v>
      </c>
      <c r="I247" t="n">
        <v>350</v>
      </c>
      <c r="J247" t="n">
        <v>350</v>
      </c>
      <c r="K247" t="n">
        <v>400</v>
      </c>
      <c r="L247" t="n">
        <v>450</v>
      </c>
      <c r="M247" t="n">
        <v>500</v>
      </c>
      <c r="N247" t="n">
        <v>500</v>
      </c>
      <c r="O247" t="n">
        <v>500</v>
      </c>
      <c r="P247" t="n">
        <v>500</v>
      </c>
      <c r="Q247" t="n">
        <v>550</v>
      </c>
      <c r="R247" t="n">
        <v>597</v>
      </c>
      <c r="S247" t="n">
        <v>597</v>
      </c>
      <c r="T247" t="n">
        <v>597</v>
      </c>
      <c r="U247" t="n">
        <v>597</v>
      </c>
      <c r="V247" t="n">
        <v>597</v>
      </c>
      <c r="W247" t="n">
        <v>597</v>
      </c>
      <c r="X247" t="n">
        <v>597</v>
      </c>
      <c r="Y247" t="n">
        <v>597</v>
      </c>
      <c r="Z247" t="n">
        <v>597</v>
      </c>
      <c r="AA247" t="n">
        <v>597.8</v>
      </c>
      <c r="AB247" t="n">
        <v>597.8</v>
      </c>
      <c r="AC247" t="n">
        <v>597.8</v>
      </c>
      <c r="AD247" t="n">
        <v>597.8</v>
      </c>
      <c r="AE247" t="n">
        <v>597.8</v>
      </c>
      <c r="AF247" t="n">
        <v>597.8</v>
      </c>
      <c r="AG247" t="n">
        <v>597.8</v>
      </c>
      <c r="AH247" t="n">
        <v>597.8</v>
      </c>
      <c r="AI247" t="n">
        <v>597.8</v>
      </c>
      <c r="AJ247" t="n">
        <v>597.8</v>
      </c>
      <c r="AK247" t="n">
        <v>597.8</v>
      </c>
      <c r="AL247" t="n">
        <v>597.8</v>
      </c>
      <c r="AM247" t="n">
        <v>597.8</v>
      </c>
      <c r="AN247" t="n">
        <v>597.8</v>
      </c>
      <c r="AO247" t="n">
        <v>597.8</v>
      </c>
      <c r="AP247" t="n">
        <v>597.8</v>
      </c>
      <c r="AQ247" t="n">
        <v>597.8</v>
      </c>
      <c r="AR247" t="n">
        <v>597.8</v>
      </c>
      <c r="AS247" t="n">
        <v>597.8</v>
      </c>
      <c r="AT247" t="n">
        <v>597.8</v>
      </c>
      <c r="AU247" t="n">
        <v>597.8</v>
      </c>
      <c r="AV247" t="n">
        <v>597.8</v>
      </c>
      <c r="AW247" t="n">
        <v>597.8</v>
      </c>
      <c r="AX247" t="n">
        <v>597.8</v>
      </c>
    </row>
    <row r="248">
      <c r="A248" t="inlineStr">
        <is>
          <t>PLTU PEC #3</t>
        </is>
      </c>
      <c r="B248" t="n">
        <v>811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</row>
    <row r="250">
      <c r="A250" t="inlineStr">
        <is>
          <t>PLTU Jawa Power #5</t>
        </is>
      </c>
      <c r="B250" t="n">
        <v>610</v>
      </c>
      <c r="C250" t="n">
        <v>400</v>
      </c>
      <c r="D250" t="n">
        <v>350</v>
      </c>
      <c r="E250" t="n">
        <v>350</v>
      </c>
      <c r="F250" t="n">
        <v>350</v>
      </c>
      <c r="G250" t="n">
        <v>350</v>
      </c>
      <c r="H250" t="n">
        <v>350</v>
      </c>
      <c r="I250" t="n">
        <v>350</v>
      </c>
      <c r="J250" t="n">
        <v>350</v>
      </c>
      <c r="K250" t="n">
        <v>400</v>
      </c>
      <c r="L250" t="n">
        <v>450</v>
      </c>
      <c r="M250" t="n">
        <v>500</v>
      </c>
      <c r="N250" t="n">
        <v>500</v>
      </c>
      <c r="O250" t="n">
        <v>500</v>
      </c>
      <c r="P250" t="n">
        <v>500</v>
      </c>
      <c r="Q250" t="n">
        <v>550</v>
      </c>
      <c r="R250" t="n">
        <v>597</v>
      </c>
      <c r="S250" t="n">
        <v>597</v>
      </c>
      <c r="T250" t="n">
        <v>597</v>
      </c>
      <c r="U250" t="n">
        <v>597</v>
      </c>
      <c r="V250" t="n">
        <v>597</v>
      </c>
      <c r="W250" t="n">
        <v>597</v>
      </c>
      <c r="X250" t="n">
        <v>597</v>
      </c>
      <c r="Y250" t="n">
        <v>597</v>
      </c>
      <c r="Z250" t="n">
        <v>597</v>
      </c>
      <c r="AA250" t="n">
        <v>597.8</v>
      </c>
      <c r="AB250" t="n">
        <v>597.8</v>
      </c>
      <c r="AC250" t="n">
        <v>597.8</v>
      </c>
      <c r="AD250" t="n">
        <v>597.8</v>
      </c>
      <c r="AE250" t="n">
        <v>597.8</v>
      </c>
      <c r="AF250" t="n">
        <v>597.8</v>
      </c>
      <c r="AG250" t="n">
        <v>597.8</v>
      </c>
      <c r="AH250" t="n">
        <v>597.8</v>
      </c>
      <c r="AI250" t="n">
        <v>597.8</v>
      </c>
      <c r="AJ250" t="n">
        <v>597.8</v>
      </c>
      <c r="AK250" t="n">
        <v>597.8</v>
      </c>
      <c r="AL250" t="n">
        <v>597.8</v>
      </c>
      <c r="AM250" t="n">
        <v>597.8</v>
      </c>
      <c r="AN250" t="n">
        <v>597.8</v>
      </c>
      <c r="AO250" t="n">
        <v>597.8</v>
      </c>
      <c r="AP250" t="n">
        <v>597.8</v>
      </c>
      <c r="AQ250" t="n">
        <v>597.8</v>
      </c>
      <c r="AR250" t="n">
        <v>597.8</v>
      </c>
      <c r="AS250" t="n">
        <v>597.8</v>
      </c>
      <c r="AT250" t="n">
        <v>597.8</v>
      </c>
      <c r="AU250" t="n">
        <v>597.8</v>
      </c>
      <c r="AV250" t="n">
        <v>597.8</v>
      </c>
      <c r="AW250" t="n">
        <v>597.8</v>
      </c>
      <c r="AX250" t="n">
        <v>597.8</v>
      </c>
    </row>
    <row r="251">
      <c r="A251" t="inlineStr">
        <is>
          <t>PLTU Jawa Power #6</t>
        </is>
      </c>
      <c r="B251" t="n">
        <v>610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</row>
    <row r="253">
      <c r="A253" t="inlineStr">
        <is>
          <t>PLTP IJEN #1</t>
        </is>
      </c>
      <c r="B253" t="n">
        <v>35.86615</v>
      </c>
      <c r="C253" t="n">
        <v>33.81</v>
      </c>
      <c r="D253" t="n">
        <v>33.81</v>
      </c>
      <c r="E253" t="n">
        <v>33.81</v>
      </c>
      <c r="F253" t="n">
        <v>33.81</v>
      </c>
      <c r="G253" t="n">
        <v>33.81</v>
      </c>
      <c r="H253" t="n">
        <v>33.81</v>
      </c>
      <c r="I253" t="n">
        <v>33.81</v>
      </c>
      <c r="J253" t="n">
        <v>33.81</v>
      </c>
      <c r="K253" t="n">
        <v>33.81</v>
      </c>
      <c r="L253" t="n">
        <v>33.81</v>
      </c>
      <c r="M253" t="n">
        <v>33.81</v>
      </c>
      <c r="N253" t="n">
        <v>33.81</v>
      </c>
      <c r="O253" t="n">
        <v>33.81</v>
      </c>
      <c r="P253" t="n">
        <v>33.81</v>
      </c>
      <c r="Q253" t="n">
        <v>33.81</v>
      </c>
      <c r="R253" t="n">
        <v>33.81</v>
      </c>
      <c r="S253" t="n">
        <v>33.81</v>
      </c>
      <c r="T253" t="n">
        <v>33.81</v>
      </c>
      <c r="U253" t="n">
        <v>33.81</v>
      </c>
      <c r="V253" t="n">
        <v>33.81</v>
      </c>
      <c r="W253" t="n">
        <v>33.81</v>
      </c>
      <c r="X253" t="n">
        <v>33.81</v>
      </c>
      <c r="Y253" t="n">
        <v>33.81</v>
      </c>
      <c r="Z253" t="n">
        <v>33.81</v>
      </c>
      <c r="AA253" t="n">
        <v>33.81</v>
      </c>
      <c r="AB253" t="n">
        <v>33.81</v>
      </c>
      <c r="AC253" t="n">
        <v>33.81</v>
      </c>
      <c r="AD253" t="n">
        <v>33.81</v>
      </c>
      <c r="AE253" t="n">
        <v>33.81</v>
      </c>
      <c r="AF253" t="n">
        <v>33.81</v>
      </c>
      <c r="AG253" t="n">
        <v>33.81</v>
      </c>
      <c r="AH253" t="n">
        <v>33.81</v>
      </c>
      <c r="AI253" t="n">
        <v>33.81</v>
      </c>
      <c r="AJ253" t="n">
        <v>33.81</v>
      </c>
      <c r="AK253" t="n">
        <v>33.81</v>
      </c>
      <c r="AL253" t="n">
        <v>33.81</v>
      </c>
      <c r="AM253" t="n">
        <v>33.81</v>
      </c>
      <c r="AN253" t="n">
        <v>33.81</v>
      </c>
      <c r="AO253" t="n">
        <v>33.81</v>
      </c>
      <c r="AP253" t="n">
        <v>33.81</v>
      </c>
      <c r="AQ253" t="n">
        <v>33.81</v>
      </c>
      <c r="AR253" t="n">
        <v>33.81</v>
      </c>
      <c r="AS253" t="n">
        <v>33.81</v>
      </c>
      <c r="AT253" t="n">
        <v>33.81</v>
      </c>
      <c r="AU253" t="n">
        <v>33.81</v>
      </c>
      <c r="AV253" t="n">
        <v>33.81</v>
      </c>
      <c r="AW253" t="n">
        <v>33.81</v>
      </c>
      <c r="AX253" t="n">
        <v>33.81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</row>
    <row r="255">
      <c r="A255" t="inlineStr">
        <is>
          <t>Pembangkitan Area</t>
        </is>
      </c>
      <c r="B255" t="inlineStr"/>
      <c r="C255" t="n">
        <v>3790.68</v>
      </c>
      <c r="D255" t="n">
        <v>3660.68</v>
      </c>
      <c r="E255" t="n">
        <v>3530.68</v>
      </c>
      <c r="F255" t="n">
        <v>3429.68</v>
      </c>
      <c r="G255" t="n">
        <v>3330.68</v>
      </c>
      <c r="H255" t="n">
        <v>3328.68</v>
      </c>
      <c r="I255" t="n">
        <v>3328.68</v>
      </c>
      <c r="J255" t="n">
        <v>3322.68</v>
      </c>
      <c r="K255" t="n">
        <v>3572.68</v>
      </c>
      <c r="L255" t="n">
        <v>3772.68</v>
      </c>
      <c r="M255" t="n">
        <v>4022.68</v>
      </c>
      <c r="N255" t="n">
        <v>4022.68</v>
      </c>
      <c r="O255" t="n">
        <v>4024.42</v>
      </c>
      <c r="P255" t="n">
        <v>4069.07</v>
      </c>
      <c r="Q255" t="n">
        <v>4398.32</v>
      </c>
      <c r="R255" t="n">
        <v>4653.24</v>
      </c>
      <c r="S255" t="n">
        <v>4740.02</v>
      </c>
      <c r="T255" t="n">
        <v>4896.34</v>
      </c>
      <c r="U255" t="n">
        <v>5026.98</v>
      </c>
      <c r="V255" t="n">
        <v>5114.4</v>
      </c>
      <c r="W255" t="n">
        <v>5164.68</v>
      </c>
      <c r="X255" t="n">
        <v>5164.68</v>
      </c>
      <c r="Y255" t="n">
        <v>5163.68</v>
      </c>
      <c r="Z255" t="n">
        <v>5163.68</v>
      </c>
      <c r="AA255" t="n">
        <v>5171.78</v>
      </c>
      <c r="AB255" t="n">
        <v>5251.78</v>
      </c>
      <c r="AC255" t="n">
        <v>5252.78</v>
      </c>
      <c r="AD255" t="n">
        <v>5252.78</v>
      </c>
      <c r="AE255" t="n">
        <v>5241.78</v>
      </c>
      <c r="AF255" t="n">
        <v>5241.78</v>
      </c>
      <c r="AG255" t="n">
        <v>5241.78</v>
      </c>
      <c r="AH255" t="n">
        <v>5241.78</v>
      </c>
      <c r="AI255" t="n">
        <v>5241.78</v>
      </c>
      <c r="AJ255" t="n">
        <v>5275.78</v>
      </c>
      <c r="AK255" t="n">
        <v>5357.78</v>
      </c>
      <c r="AL255" t="n">
        <v>5405.83</v>
      </c>
      <c r="AM255" t="n">
        <v>5357.78</v>
      </c>
      <c r="AN255" t="n">
        <v>5358.78</v>
      </c>
      <c r="AO255" t="n">
        <v>5331.78</v>
      </c>
      <c r="AP255" t="n">
        <v>5070.78</v>
      </c>
      <c r="AQ255" t="n">
        <v>5047.78</v>
      </c>
      <c r="AR255" t="n">
        <v>5018.3</v>
      </c>
      <c r="AS255" t="n">
        <v>4874.45</v>
      </c>
      <c r="AT255" t="n">
        <v>4738.04</v>
      </c>
      <c r="AU255" t="n">
        <v>4541.01</v>
      </c>
      <c r="AV255" t="n">
        <v>4490.01</v>
      </c>
      <c r="AW255" t="n">
        <v>4490.01</v>
      </c>
      <c r="AX255" t="n">
        <v>4491.01</v>
      </c>
    </row>
    <row r="256">
      <c r="A256" t="inlineStr">
        <is>
          <t>Beban Area</t>
        </is>
      </c>
      <c r="B256" t="inlineStr"/>
      <c r="C256" t="n">
        <v>5330.21</v>
      </c>
      <c r="D256" t="n">
        <v>5536.71</v>
      </c>
      <c r="E256" t="n">
        <v>5566.57</v>
      </c>
      <c r="F256" t="n">
        <v>5505.84</v>
      </c>
      <c r="G256" t="n">
        <v>5476.5</v>
      </c>
      <c r="H256" t="n">
        <v>5477.9</v>
      </c>
      <c r="I256" t="n">
        <v>5500.42</v>
      </c>
      <c r="J256" t="n">
        <v>5533.62</v>
      </c>
      <c r="K256" t="n">
        <v>5698.02</v>
      </c>
      <c r="L256" t="n">
        <v>5831.02</v>
      </c>
      <c r="M256" t="n">
        <v>5897.11</v>
      </c>
      <c r="N256" t="n">
        <v>5798.74</v>
      </c>
      <c r="O256" t="n">
        <v>5734.82</v>
      </c>
      <c r="P256" t="n">
        <v>5748.91</v>
      </c>
      <c r="Q256" t="n">
        <v>6124.64</v>
      </c>
      <c r="R256" t="n">
        <v>6361.94</v>
      </c>
      <c r="S256" t="n">
        <v>6634.73</v>
      </c>
      <c r="T256" t="n">
        <v>6690.72</v>
      </c>
      <c r="U256" t="n">
        <v>6722.74</v>
      </c>
      <c r="V256" t="n">
        <v>6848.68</v>
      </c>
      <c r="W256" t="n">
        <v>6882.47</v>
      </c>
      <c r="X256" t="n">
        <v>6912.1</v>
      </c>
      <c r="Y256" t="n">
        <v>6856.68</v>
      </c>
      <c r="Z256" t="n">
        <v>6613.26</v>
      </c>
      <c r="AA256" t="n">
        <v>6609.4</v>
      </c>
      <c r="AB256" t="n">
        <v>6777.55</v>
      </c>
      <c r="AC256" t="n">
        <v>7037.08</v>
      </c>
      <c r="AD256" t="n">
        <v>7103.75</v>
      </c>
      <c r="AE256" t="n">
        <v>7121.13</v>
      </c>
      <c r="AF256" t="n">
        <v>7121.57</v>
      </c>
      <c r="AG256" t="n">
        <v>7035.52</v>
      </c>
      <c r="AH256" t="n">
        <v>6994.11</v>
      </c>
      <c r="AI256" t="n">
        <v>6950.8</v>
      </c>
      <c r="AJ256" t="n">
        <v>7056.7</v>
      </c>
      <c r="AK256" t="n">
        <v>7372.52</v>
      </c>
      <c r="AL256" t="n">
        <v>7474.15</v>
      </c>
      <c r="AM256" t="n">
        <v>7357.64</v>
      </c>
      <c r="AN256" t="n">
        <v>7267.88</v>
      </c>
      <c r="AO256" t="n">
        <v>7184.96</v>
      </c>
      <c r="AP256" t="n">
        <v>7057.75</v>
      </c>
      <c r="AQ256" t="n">
        <v>6963.38</v>
      </c>
      <c r="AR256" t="n">
        <v>6859.84</v>
      </c>
      <c r="AS256" t="n">
        <v>6680.08</v>
      </c>
      <c r="AT256" t="n">
        <v>6532.21</v>
      </c>
      <c r="AU256" t="n">
        <v>6452.79</v>
      </c>
      <c r="AV256" t="n">
        <v>6334.46</v>
      </c>
      <c r="AW256" t="n">
        <v>6241.33</v>
      </c>
      <c r="AX256" t="n">
        <v>6101.64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</row>
    <row r="258">
      <c r="A258" t="inlineStr">
        <is>
          <t>RJTB SRB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</row>
    <row r="259">
      <c r="A259" t="inlineStr"/>
      <c r="B259" t="inlineStr"/>
      <c r="C259" t="inlineStr">
        <is>
          <t>PT. INDONESIA POWER</t>
        </is>
      </c>
      <c r="D259" t="inlineStr">
        <is>
          <t>PT. INDONESIA POWER</t>
        </is>
      </c>
      <c r="E259" t="inlineStr">
        <is>
          <t>PT. INDONESIA POWER</t>
        </is>
      </c>
      <c r="F259" t="inlineStr">
        <is>
          <t>PT. INDONESIA POWER</t>
        </is>
      </c>
      <c r="G259" t="inlineStr">
        <is>
          <t>PT. INDONESIA POWER</t>
        </is>
      </c>
      <c r="H259" t="inlineStr">
        <is>
          <t>PT. INDONESIA POWER</t>
        </is>
      </c>
      <c r="I259" t="inlineStr">
        <is>
          <t>PT. INDONESIA POWER</t>
        </is>
      </c>
      <c r="J259" t="inlineStr">
        <is>
          <t>PT. INDONESIA POWER</t>
        </is>
      </c>
      <c r="K259" t="inlineStr">
        <is>
          <t>PT. INDONESIA POWER</t>
        </is>
      </c>
      <c r="L259" t="inlineStr">
        <is>
          <t>PT. INDONESIA POWER</t>
        </is>
      </c>
      <c r="M259" t="inlineStr">
        <is>
          <t>PT. INDONESIA POWER</t>
        </is>
      </c>
      <c r="N259" t="inlineStr">
        <is>
          <t>PT. INDONESIA POWER</t>
        </is>
      </c>
      <c r="O259" t="inlineStr">
        <is>
          <t>PT. INDONESIA POWER</t>
        </is>
      </c>
      <c r="P259" t="inlineStr">
        <is>
          <t>PT. INDONESIA POWER</t>
        </is>
      </c>
      <c r="Q259" t="inlineStr">
        <is>
          <t>PT. INDONESIA POWER</t>
        </is>
      </c>
      <c r="R259" t="inlineStr">
        <is>
          <t>PT. INDONESIA POWER</t>
        </is>
      </c>
      <c r="S259" t="inlineStr">
        <is>
          <t>PT. INDONESIA POWER</t>
        </is>
      </c>
      <c r="T259" t="inlineStr">
        <is>
          <t>PT. INDONESIA POWER</t>
        </is>
      </c>
      <c r="U259" t="inlineStr">
        <is>
          <t>PT. INDONESIA POWER</t>
        </is>
      </c>
      <c r="V259" t="inlineStr">
        <is>
          <t>PT. INDONESIA POWER</t>
        </is>
      </c>
      <c r="W259" t="inlineStr">
        <is>
          <t>PT. INDONESIA POWER</t>
        </is>
      </c>
      <c r="X259" t="inlineStr">
        <is>
          <t>PT. INDONESIA POWER</t>
        </is>
      </c>
      <c r="Y259" t="inlineStr">
        <is>
          <t>PT. INDONESIA POWER</t>
        </is>
      </c>
      <c r="Z259" t="inlineStr">
        <is>
          <t>PT. INDONESIA POWER</t>
        </is>
      </c>
      <c r="AA259" t="inlineStr">
        <is>
          <t>PT. INDONESIA POWER</t>
        </is>
      </c>
      <c r="AB259" t="inlineStr">
        <is>
          <t>PT. INDONESIA POWER</t>
        </is>
      </c>
      <c r="AC259" t="inlineStr">
        <is>
          <t>PT. INDONESIA POWER</t>
        </is>
      </c>
      <c r="AD259" t="inlineStr">
        <is>
          <t>PT. INDONESIA POWER</t>
        </is>
      </c>
      <c r="AE259" t="inlineStr">
        <is>
          <t>PT. INDONESIA POWER</t>
        </is>
      </c>
      <c r="AF259" t="inlineStr">
        <is>
          <t>PT. INDONESIA POWER</t>
        </is>
      </c>
      <c r="AG259" t="inlineStr">
        <is>
          <t>PT. INDONESIA POWER</t>
        </is>
      </c>
      <c r="AH259" t="inlineStr">
        <is>
          <t>PT. INDONESIA POWER</t>
        </is>
      </c>
      <c r="AI259" t="inlineStr">
        <is>
          <t>PT. INDONESIA POWER</t>
        </is>
      </c>
      <c r="AJ259" t="inlineStr">
        <is>
          <t>PT. INDONESIA POWER</t>
        </is>
      </c>
      <c r="AK259" t="inlineStr">
        <is>
          <t>PT. INDONESIA POWER</t>
        </is>
      </c>
      <c r="AL259" t="inlineStr">
        <is>
          <t>PT. INDONESIA POWER</t>
        </is>
      </c>
      <c r="AM259" t="inlineStr">
        <is>
          <t>PT. INDONESIA POWER</t>
        </is>
      </c>
      <c r="AN259" t="inlineStr">
        <is>
          <t>PT. INDONESIA POWER</t>
        </is>
      </c>
      <c r="AO259" t="inlineStr">
        <is>
          <t>PT. INDONESIA POWER</t>
        </is>
      </c>
      <c r="AP259" t="inlineStr">
        <is>
          <t>PT. INDONESIA POWER</t>
        </is>
      </c>
      <c r="AQ259" t="inlineStr">
        <is>
          <t>PT. INDONESIA POWER</t>
        </is>
      </c>
      <c r="AR259" t="inlineStr">
        <is>
          <t>PT. INDONESIA POWER</t>
        </is>
      </c>
      <c r="AS259" t="inlineStr">
        <is>
          <t>PT. INDONESIA POWER</t>
        </is>
      </c>
      <c r="AT259" t="inlineStr">
        <is>
          <t>PT. INDONESIA POWER</t>
        </is>
      </c>
      <c r="AU259" t="inlineStr">
        <is>
          <t>PT. INDONESIA POWER</t>
        </is>
      </c>
      <c r="AV259" t="inlineStr">
        <is>
          <t>PT. INDONESIA POWER</t>
        </is>
      </c>
      <c r="AW259" t="inlineStr">
        <is>
          <t>PT. INDONESIA POWER</t>
        </is>
      </c>
      <c r="AX259" t="inlineStr">
        <is>
          <t>PT. INDONESIA POWER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</row>
    <row r="261">
      <c r="A261" t="inlineStr">
        <is>
          <t>PLTG BALI PSRAN</t>
        </is>
      </c>
      <c r="B261" t="inlineStr"/>
      <c r="C261" t="n">
        <v>107</v>
      </c>
      <c r="D261" t="n">
        <v>107</v>
      </c>
      <c r="E261" t="n">
        <v>107</v>
      </c>
      <c r="F261" t="n">
        <v>107</v>
      </c>
      <c r="G261" t="n">
        <v>107</v>
      </c>
      <c r="H261" t="n">
        <v>107</v>
      </c>
      <c r="I261" t="n">
        <v>107</v>
      </c>
      <c r="J261" t="n">
        <v>107</v>
      </c>
      <c r="K261" t="n">
        <v>107</v>
      </c>
      <c r="L261" t="n">
        <v>107</v>
      </c>
      <c r="M261" t="n">
        <v>107</v>
      </c>
      <c r="N261" t="n">
        <v>107</v>
      </c>
      <c r="O261" t="n">
        <v>107</v>
      </c>
      <c r="P261" t="n">
        <v>107</v>
      </c>
      <c r="Q261" t="n">
        <v>107</v>
      </c>
      <c r="R261" t="n">
        <v>107</v>
      </c>
      <c r="S261" t="n">
        <v>107</v>
      </c>
      <c r="T261" t="n">
        <v>107</v>
      </c>
      <c r="U261" t="n">
        <v>107</v>
      </c>
      <c r="V261" t="n">
        <v>107</v>
      </c>
      <c r="W261" t="n">
        <v>107</v>
      </c>
      <c r="X261" t="n">
        <v>107</v>
      </c>
      <c r="Y261" t="n">
        <v>107</v>
      </c>
      <c r="Z261" t="n">
        <v>107</v>
      </c>
      <c r="AA261" t="n">
        <v>107</v>
      </c>
      <c r="AB261" t="n">
        <v>107</v>
      </c>
      <c r="AC261" t="n">
        <v>107</v>
      </c>
      <c r="AD261" t="n">
        <v>107</v>
      </c>
      <c r="AE261" t="n">
        <v>107</v>
      </c>
      <c r="AF261" t="n">
        <v>107</v>
      </c>
      <c r="AG261" t="n">
        <v>107</v>
      </c>
      <c r="AH261" t="n">
        <v>107</v>
      </c>
      <c r="AI261" t="n">
        <v>107</v>
      </c>
      <c r="AJ261" t="n">
        <v>107</v>
      </c>
      <c r="AK261" t="n">
        <v>107</v>
      </c>
      <c r="AL261" t="n">
        <v>107</v>
      </c>
      <c r="AM261" t="n">
        <v>132</v>
      </c>
      <c r="AN261" t="n">
        <v>137</v>
      </c>
      <c r="AO261" t="n">
        <v>132</v>
      </c>
      <c r="AP261" t="n">
        <v>132</v>
      </c>
      <c r="AQ261" t="n">
        <v>132</v>
      </c>
      <c r="AR261" t="n">
        <v>132</v>
      </c>
      <c r="AS261" t="n">
        <v>132</v>
      </c>
      <c r="AT261" t="n">
        <v>132</v>
      </c>
      <c r="AU261" t="n">
        <v>107</v>
      </c>
      <c r="AV261" t="n">
        <v>107</v>
      </c>
      <c r="AW261" t="n">
        <v>107</v>
      </c>
      <c r="AX261" t="n">
        <v>107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</row>
    <row r="263">
      <c r="A263" t="inlineStr">
        <is>
          <t>PLTG GILIMANUK</t>
        </is>
      </c>
      <c r="B263" t="inlineStr"/>
      <c r="C263" t="n">
        <v>130.44</v>
      </c>
      <c r="D263" t="n">
        <v>107</v>
      </c>
      <c r="E263" t="n">
        <v>85</v>
      </c>
      <c r="F263" t="n">
        <v>85</v>
      </c>
      <c r="G263" t="n">
        <v>85</v>
      </c>
      <c r="H263" t="n">
        <v>85</v>
      </c>
      <c r="I263" t="n">
        <v>85</v>
      </c>
      <c r="J263" t="n">
        <v>85</v>
      </c>
      <c r="K263" t="n">
        <v>85</v>
      </c>
      <c r="L263" t="n">
        <v>85</v>
      </c>
      <c r="M263" t="n">
        <v>85</v>
      </c>
      <c r="N263" t="n">
        <v>85</v>
      </c>
      <c r="O263" t="n">
        <v>85</v>
      </c>
      <c r="P263" t="n">
        <v>85</v>
      </c>
      <c r="Q263" t="n">
        <v>85</v>
      </c>
      <c r="R263" t="n">
        <v>85</v>
      </c>
      <c r="S263" t="n">
        <v>85</v>
      </c>
      <c r="T263" t="n">
        <v>85</v>
      </c>
      <c r="U263" t="n">
        <v>85</v>
      </c>
      <c r="V263" t="n">
        <v>85</v>
      </c>
      <c r="W263" t="n">
        <v>85</v>
      </c>
      <c r="X263" t="n">
        <v>85</v>
      </c>
      <c r="Y263" t="n">
        <v>85</v>
      </c>
      <c r="Z263" t="n">
        <v>85</v>
      </c>
      <c r="AA263" t="n">
        <v>85</v>
      </c>
      <c r="AB263" t="n">
        <v>85</v>
      </c>
      <c r="AC263" t="n">
        <v>85</v>
      </c>
      <c r="AD263" t="n">
        <v>85</v>
      </c>
      <c r="AE263" t="n">
        <v>85</v>
      </c>
      <c r="AF263" t="n">
        <v>85</v>
      </c>
      <c r="AG263" t="n">
        <v>85</v>
      </c>
      <c r="AH263" t="n">
        <v>85</v>
      </c>
      <c r="AI263" t="n">
        <v>85</v>
      </c>
      <c r="AJ263" t="n">
        <v>85</v>
      </c>
      <c r="AK263" t="n">
        <v>85</v>
      </c>
      <c r="AL263" t="n">
        <v>85</v>
      </c>
      <c r="AM263" t="n">
        <v>95</v>
      </c>
      <c r="AN263" t="n">
        <v>93</v>
      </c>
      <c r="AO263" t="n">
        <v>85</v>
      </c>
      <c r="AP263" t="n">
        <v>85</v>
      </c>
      <c r="AQ263" t="n">
        <v>85</v>
      </c>
      <c r="AR263" t="n">
        <v>85</v>
      </c>
      <c r="AS263" t="n">
        <v>85</v>
      </c>
      <c r="AT263" t="n">
        <v>85</v>
      </c>
      <c r="AU263" t="n">
        <v>85</v>
      </c>
      <c r="AV263" t="n">
        <v>85</v>
      </c>
      <c r="AW263" t="n">
        <v>85</v>
      </c>
      <c r="AX263" t="n">
        <v>85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</row>
    <row r="265">
      <c r="A265" t="inlineStr">
        <is>
          <t>PLTG PEMARON #1</t>
        </is>
      </c>
      <c r="B265" t="n">
        <v>40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10</v>
      </c>
      <c r="AM265" t="n">
        <v>35</v>
      </c>
      <c r="AN265" t="n">
        <v>40</v>
      </c>
      <c r="AO265" t="n">
        <v>39.5</v>
      </c>
      <c r="AP265" t="n">
        <v>30</v>
      </c>
      <c r="AQ265" t="n">
        <v>30</v>
      </c>
      <c r="AR265" t="n">
        <v>24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</row>
    <row r="266">
      <c r="A266" t="inlineStr">
        <is>
          <t>PLTG PEMARON #2</t>
        </is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15</v>
      </c>
      <c r="AM266" t="n">
        <v>35</v>
      </c>
      <c r="AN266" t="n">
        <v>40</v>
      </c>
      <c r="AO266" t="n">
        <v>40</v>
      </c>
      <c r="AP266" t="n">
        <v>30</v>
      </c>
      <c r="AQ266" t="n">
        <v>26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</row>
    <row r="268">
      <c r="A268" t="inlineStr">
        <is>
          <t>PLTD BALI PSRAN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</row>
    <row r="270">
      <c r="A270" t="inlineStr">
        <is>
          <t>PLTD BOT PESANGGARAN #1</t>
        </is>
      </c>
      <c r="B270" t="n">
        <v>16.67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13</v>
      </c>
      <c r="AG270" t="n">
        <v>11</v>
      </c>
      <c r="AH270" t="n">
        <v>11</v>
      </c>
      <c r="AI270" t="n">
        <v>8</v>
      </c>
      <c r="AJ270" t="n">
        <v>8</v>
      </c>
      <c r="AK270" t="n">
        <v>8</v>
      </c>
      <c r="AL270" t="n">
        <v>8</v>
      </c>
      <c r="AM270" t="n">
        <v>16</v>
      </c>
      <c r="AN270" t="n">
        <v>16</v>
      </c>
      <c r="AO270" t="n">
        <v>16</v>
      </c>
      <c r="AP270" t="n">
        <v>15</v>
      </c>
      <c r="AQ270" t="n">
        <v>12</v>
      </c>
      <c r="AR270" t="n">
        <v>12</v>
      </c>
      <c r="AS270" t="n">
        <v>12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inlineStr">
        <is>
          <t>PLTD BOT PESANGGARAN #2</t>
        </is>
      </c>
      <c r="B271" t="n">
        <v>16.67</v>
      </c>
      <c r="C271" t="n">
        <v>11</v>
      </c>
      <c r="D271" t="n">
        <v>12.5</v>
      </c>
      <c r="E271" t="n">
        <v>16.67</v>
      </c>
      <c r="F271" t="n">
        <v>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12</v>
      </c>
      <c r="AE271" t="n">
        <v>13</v>
      </c>
      <c r="AF271" t="n">
        <v>13</v>
      </c>
      <c r="AG271" t="n">
        <v>13</v>
      </c>
      <c r="AH271" t="n">
        <v>11</v>
      </c>
      <c r="AI271" t="n">
        <v>8</v>
      </c>
      <c r="AJ271" t="n">
        <v>8</v>
      </c>
      <c r="AK271" t="n">
        <v>8</v>
      </c>
      <c r="AL271" t="n">
        <v>8</v>
      </c>
      <c r="AM271" t="n">
        <v>16</v>
      </c>
      <c r="AN271" t="n">
        <v>16</v>
      </c>
      <c r="AO271" t="n">
        <v>16</v>
      </c>
      <c r="AP271" t="n">
        <v>16</v>
      </c>
      <c r="AQ271" t="n">
        <v>12</v>
      </c>
      <c r="AR271" t="n">
        <v>12</v>
      </c>
      <c r="AS271" t="n">
        <v>12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inlineStr">
        <is>
          <t>PLTD BOT PESANGGARAN #3</t>
        </is>
      </c>
      <c r="B272" t="n">
        <v>16.67</v>
      </c>
      <c r="C272" t="n">
        <v>11.5</v>
      </c>
      <c r="D272" t="n">
        <v>12.5</v>
      </c>
      <c r="E272" t="n">
        <v>16.67</v>
      </c>
      <c r="F272" t="n">
        <v>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4.5</v>
      </c>
      <c r="AE272" t="n">
        <v>13.5</v>
      </c>
      <c r="AF272" t="n">
        <v>13</v>
      </c>
      <c r="AG272" t="n">
        <v>13</v>
      </c>
      <c r="AH272" t="n">
        <v>12</v>
      </c>
      <c r="AI272" t="n">
        <v>8</v>
      </c>
      <c r="AJ272" t="n">
        <v>8</v>
      </c>
      <c r="AK272" t="n">
        <v>8</v>
      </c>
      <c r="AL272" t="n">
        <v>8</v>
      </c>
      <c r="AM272" t="n">
        <v>16</v>
      </c>
      <c r="AN272" t="n">
        <v>16</v>
      </c>
      <c r="AO272" t="n">
        <v>16</v>
      </c>
      <c r="AP272" t="n">
        <v>16</v>
      </c>
      <c r="AQ272" t="n">
        <v>12</v>
      </c>
      <c r="AR272" t="n">
        <v>12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</row>
    <row r="274">
      <c r="A274" t="inlineStr">
        <is>
          <t>PLTDG PESANGGARAN B1</t>
        </is>
      </c>
      <c r="B274" t="inlineStr"/>
      <c r="C274" t="n">
        <v>45</v>
      </c>
      <c r="D274" t="n">
        <v>45</v>
      </c>
      <c r="E274" t="n">
        <v>45</v>
      </c>
      <c r="F274" t="n">
        <v>45</v>
      </c>
      <c r="G274" t="n">
        <v>24</v>
      </c>
      <c r="H274" t="n">
        <v>20</v>
      </c>
      <c r="I274" t="n">
        <v>15</v>
      </c>
      <c r="J274" t="n">
        <v>15</v>
      </c>
      <c r="K274" t="n">
        <v>15</v>
      </c>
      <c r="L274" t="n">
        <v>19.5</v>
      </c>
      <c r="M274" t="n">
        <v>25</v>
      </c>
      <c r="N274" t="n">
        <v>33</v>
      </c>
      <c r="O274" t="n">
        <v>30</v>
      </c>
      <c r="P274" t="n">
        <v>20</v>
      </c>
      <c r="Q274" t="n">
        <v>35</v>
      </c>
      <c r="R274" t="n">
        <v>45</v>
      </c>
      <c r="S274" t="n">
        <v>45</v>
      </c>
      <c r="T274" t="n">
        <v>45</v>
      </c>
      <c r="U274" t="n">
        <v>45</v>
      </c>
      <c r="V274" t="n">
        <v>45</v>
      </c>
      <c r="W274" t="n">
        <v>45</v>
      </c>
      <c r="X274" t="n">
        <v>45</v>
      </c>
      <c r="Y274" t="n">
        <v>45</v>
      </c>
      <c r="Z274" t="n">
        <v>45</v>
      </c>
      <c r="AA274" t="n">
        <v>45</v>
      </c>
      <c r="AB274" t="n">
        <v>45</v>
      </c>
      <c r="AC274" t="n">
        <v>45.3</v>
      </c>
      <c r="AD274" t="n">
        <v>45</v>
      </c>
      <c r="AE274" t="n">
        <v>45</v>
      </c>
      <c r="AF274" t="n">
        <v>45</v>
      </c>
      <c r="AG274" t="n">
        <v>45</v>
      </c>
      <c r="AH274" t="n">
        <v>45</v>
      </c>
      <c r="AI274" t="n">
        <v>45</v>
      </c>
      <c r="AJ274" t="n">
        <v>45</v>
      </c>
      <c r="AK274" t="n">
        <v>45</v>
      </c>
      <c r="AL274" t="n">
        <v>45</v>
      </c>
      <c r="AM274" t="n">
        <v>45</v>
      </c>
      <c r="AN274" t="n">
        <v>45</v>
      </c>
      <c r="AO274" t="n">
        <v>45</v>
      </c>
      <c r="AP274" t="n">
        <v>45</v>
      </c>
      <c r="AQ274" t="n">
        <v>45</v>
      </c>
      <c r="AR274" t="n">
        <v>45</v>
      </c>
      <c r="AS274" t="n">
        <v>45</v>
      </c>
      <c r="AT274" t="n">
        <v>30.5</v>
      </c>
      <c r="AU274" t="n">
        <v>30</v>
      </c>
      <c r="AV274" t="n">
        <v>30</v>
      </c>
      <c r="AW274" t="n">
        <v>15</v>
      </c>
      <c r="AX274" t="n">
        <v>15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</row>
    <row r="276">
      <c r="A276" t="inlineStr">
        <is>
          <t>PLTDG PESANGGARAN B2</t>
        </is>
      </c>
      <c r="B276" t="inlineStr"/>
      <c r="C276" t="n">
        <v>45</v>
      </c>
      <c r="D276" t="n">
        <v>45.6</v>
      </c>
      <c r="E276" t="n">
        <v>45</v>
      </c>
      <c r="F276" t="n">
        <v>45</v>
      </c>
      <c r="G276" t="n">
        <v>23</v>
      </c>
      <c r="H276" t="n">
        <v>20</v>
      </c>
      <c r="I276" t="n">
        <v>15</v>
      </c>
      <c r="J276" t="n">
        <v>15</v>
      </c>
      <c r="K276" t="n">
        <v>15</v>
      </c>
      <c r="L276" t="n">
        <v>20</v>
      </c>
      <c r="M276" t="n">
        <v>25</v>
      </c>
      <c r="N276" t="n">
        <v>33</v>
      </c>
      <c r="O276" t="n">
        <v>30</v>
      </c>
      <c r="P276" t="n">
        <v>20</v>
      </c>
      <c r="Q276" t="n">
        <v>35</v>
      </c>
      <c r="R276" t="n">
        <v>45</v>
      </c>
      <c r="S276" t="n">
        <v>45</v>
      </c>
      <c r="T276" t="n">
        <v>45</v>
      </c>
      <c r="U276" t="n">
        <v>45</v>
      </c>
      <c r="V276" t="n">
        <v>45</v>
      </c>
      <c r="W276" t="n">
        <v>45</v>
      </c>
      <c r="X276" t="n">
        <v>45</v>
      </c>
      <c r="Y276" t="n">
        <v>45</v>
      </c>
      <c r="Z276" t="n">
        <v>45</v>
      </c>
      <c r="AA276" t="n">
        <v>45</v>
      </c>
      <c r="AB276" t="n">
        <v>45</v>
      </c>
      <c r="AC276" t="n">
        <v>45.3</v>
      </c>
      <c r="AD276" t="n">
        <v>45</v>
      </c>
      <c r="AE276" t="n">
        <v>45</v>
      </c>
      <c r="AF276" t="n">
        <v>45</v>
      </c>
      <c r="AG276" t="n">
        <v>45</v>
      </c>
      <c r="AH276" t="n">
        <v>45</v>
      </c>
      <c r="AI276" t="n">
        <v>45.6</v>
      </c>
      <c r="AJ276" t="n">
        <v>45</v>
      </c>
      <c r="AK276" t="n">
        <v>45</v>
      </c>
      <c r="AL276" t="n">
        <v>45</v>
      </c>
      <c r="AM276" t="n">
        <v>45</v>
      </c>
      <c r="AN276" t="n">
        <v>45</v>
      </c>
      <c r="AO276" t="n">
        <v>45</v>
      </c>
      <c r="AP276" t="n">
        <v>45</v>
      </c>
      <c r="AQ276" t="n">
        <v>45</v>
      </c>
      <c r="AR276" t="n">
        <v>45</v>
      </c>
      <c r="AS276" t="n">
        <v>45</v>
      </c>
      <c r="AT276" t="n">
        <v>42.77</v>
      </c>
      <c r="AU276" t="n">
        <v>30</v>
      </c>
      <c r="AV276" t="n">
        <v>30</v>
      </c>
      <c r="AW276" t="n">
        <v>30</v>
      </c>
      <c r="AX276" t="n">
        <v>30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</row>
    <row r="278">
      <c r="A278" t="inlineStr">
        <is>
          <t>PLTDG PESANGGARAN B3</t>
        </is>
      </c>
      <c r="B278" t="inlineStr"/>
      <c r="C278" t="n">
        <v>45</v>
      </c>
      <c r="D278" t="n">
        <v>45.6</v>
      </c>
      <c r="E278" t="n">
        <v>45</v>
      </c>
      <c r="F278" t="n">
        <v>45</v>
      </c>
      <c r="G278" t="n">
        <v>23</v>
      </c>
      <c r="H278" t="n">
        <v>20</v>
      </c>
      <c r="I278" t="n">
        <v>18</v>
      </c>
      <c r="J278" t="n">
        <v>15</v>
      </c>
      <c r="K278" t="n">
        <v>15.5</v>
      </c>
      <c r="L278" t="n">
        <v>20</v>
      </c>
      <c r="M278" t="n">
        <v>26.5</v>
      </c>
      <c r="N278" t="n">
        <v>33</v>
      </c>
      <c r="O278" t="n">
        <v>30</v>
      </c>
      <c r="P278" t="n">
        <v>22</v>
      </c>
      <c r="Q278" t="n">
        <v>40</v>
      </c>
      <c r="R278" t="n">
        <v>45</v>
      </c>
      <c r="S278" t="n">
        <v>45</v>
      </c>
      <c r="T278" t="n">
        <v>45</v>
      </c>
      <c r="U278" t="n">
        <v>45</v>
      </c>
      <c r="V278" t="n">
        <v>45</v>
      </c>
      <c r="W278" t="n">
        <v>45</v>
      </c>
      <c r="X278" t="n">
        <v>45</v>
      </c>
      <c r="Y278" t="n">
        <v>45</v>
      </c>
      <c r="Z278" t="n">
        <v>45</v>
      </c>
      <c r="AA278" t="n">
        <v>45</v>
      </c>
      <c r="AB278" t="n">
        <v>45</v>
      </c>
      <c r="AC278" t="n">
        <v>45</v>
      </c>
      <c r="AD278" t="n">
        <v>45</v>
      </c>
      <c r="AE278" t="n">
        <v>45</v>
      </c>
      <c r="AF278" t="n">
        <v>45</v>
      </c>
      <c r="AG278" t="n">
        <v>45</v>
      </c>
      <c r="AH278" t="n">
        <v>45</v>
      </c>
      <c r="AI278" t="n">
        <v>45.6</v>
      </c>
      <c r="AJ278" t="n">
        <v>45</v>
      </c>
      <c r="AK278" t="n">
        <v>45</v>
      </c>
      <c r="AL278" t="n">
        <v>45.6</v>
      </c>
      <c r="AM278" t="n">
        <v>45</v>
      </c>
      <c r="AN278" t="n">
        <v>45</v>
      </c>
      <c r="AO278" t="n">
        <v>45</v>
      </c>
      <c r="AP278" t="n">
        <v>45</v>
      </c>
      <c r="AQ278" t="n">
        <v>45</v>
      </c>
      <c r="AR278" t="n">
        <v>45</v>
      </c>
      <c r="AS278" t="n">
        <v>45</v>
      </c>
      <c r="AT278" t="n">
        <v>45</v>
      </c>
      <c r="AU278" t="n">
        <v>40</v>
      </c>
      <c r="AV278" t="n">
        <v>30</v>
      </c>
      <c r="AW278" t="n">
        <v>30</v>
      </c>
      <c r="AX278" t="n">
        <v>30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</row>
    <row r="280">
      <c r="A280" t="inlineStr">
        <is>
          <t>PLTDG PESANGGARAN B4</t>
        </is>
      </c>
      <c r="B280" t="inlineStr"/>
      <c r="C280" t="n">
        <v>45</v>
      </c>
      <c r="D280" t="n">
        <v>45.6</v>
      </c>
      <c r="E280" t="n">
        <v>45</v>
      </c>
      <c r="F280" t="n">
        <v>45</v>
      </c>
      <c r="G280" t="n">
        <v>23</v>
      </c>
      <c r="H280" t="n">
        <v>22</v>
      </c>
      <c r="I280" t="n">
        <v>20</v>
      </c>
      <c r="J280" t="n">
        <v>19</v>
      </c>
      <c r="K280" t="n">
        <v>20</v>
      </c>
      <c r="L280" t="n">
        <v>20</v>
      </c>
      <c r="M280" t="n">
        <v>30</v>
      </c>
      <c r="N280" t="n">
        <v>32</v>
      </c>
      <c r="O280" t="n">
        <v>30</v>
      </c>
      <c r="P280" t="n">
        <v>25</v>
      </c>
      <c r="Q280" t="n">
        <v>40</v>
      </c>
      <c r="R280" t="n">
        <v>45</v>
      </c>
      <c r="S280" t="n">
        <v>45</v>
      </c>
      <c r="T280" t="n">
        <v>45</v>
      </c>
      <c r="U280" t="n">
        <v>45</v>
      </c>
      <c r="V280" t="n">
        <v>45</v>
      </c>
      <c r="W280" t="n">
        <v>45</v>
      </c>
      <c r="X280" t="n">
        <v>45</v>
      </c>
      <c r="Y280" t="n">
        <v>45</v>
      </c>
      <c r="Z280" t="n">
        <v>45</v>
      </c>
      <c r="AA280" t="n">
        <v>45</v>
      </c>
      <c r="AB280" t="n">
        <v>45</v>
      </c>
      <c r="AC280" t="n">
        <v>45</v>
      </c>
      <c r="AD280" t="n">
        <v>45</v>
      </c>
      <c r="AE280" t="n">
        <v>45</v>
      </c>
      <c r="AF280" t="n">
        <v>45</v>
      </c>
      <c r="AG280" t="n">
        <v>45</v>
      </c>
      <c r="AH280" t="n">
        <v>45</v>
      </c>
      <c r="AI280" t="n">
        <v>45.6</v>
      </c>
      <c r="AJ280" t="n">
        <v>45</v>
      </c>
      <c r="AK280" t="n">
        <v>45</v>
      </c>
      <c r="AL280" t="n">
        <v>45.6</v>
      </c>
      <c r="AM280" t="n">
        <v>45</v>
      </c>
      <c r="AN280" t="n">
        <v>45</v>
      </c>
      <c r="AO280" t="n">
        <v>45</v>
      </c>
      <c r="AP280" t="n">
        <v>45</v>
      </c>
      <c r="AQ280" t="n">
        <v>45</v>
      </c>
      <c r="AR280" t="n">
        <v>45</v>
      </c>
      <c r="AS280" t="n">
        <v>45</v>
      </c>
      <c r="AT280" t="n">
        <v>45</v>
      </c>
      <c r="AU280" t="n">
        <v>40</v>
      </c>
      <c r="AV280" t="n">
        <v>30</v>
      </c>
      <c r="AW280" t="n">
        <v>30</v>
      </c>
      <c r="AX280" t="n">
        <v>30</v>
      </c>
    </row>
    <row r="281">
      <c r="A281" t="inlineStr"/>
      <c r="B281" t="inlineStr"/>
      <c r="C281" t="inlineStr">
        <is>
          <t>IPP</t>
        </is>
      </c>
      <c r="D281" t="inlineStr">
        <is>
          <t>IPP</t>
        </is>
      </c>
      <c r="E281" t="inlineStr">
        <is>
          <t>IPP</t>
        </is>
      </c>
      <c r="F281" t="inlineStr">
        <is>
          <t>IPP</t>
        </is>
      </c>
      <c r="G281" t="inlineStr">
        <is>
          <t>IPP</t>
        </is>
      </c>
      <c r="H281" t="inlineStr">
        <is>
          <t>IPP</t>
        </is>
      </c>
      <c r="I281" t="inlineStr">
        <is>
          <t>IPP</t>
        </is>
      </c>
      <c r="J281" t="inlineStr">
        <is>
          <t>IPP</t>
        </is>
      </c>
      <c r="K281" t="inlineStr">
        <is>
          <t>IPP</t>
        </is>
      </c>
      <c r="L281" t="inlineStr">
        <is>
          <t>IPP</t>
        </is>
      </c>
      <c r="M281" t="inlineStr">
        <is>
          <t>IPP</t>
        </is>
      </c>
      <c r="N281" t="inlineStr">
        <is>
          <t>IPP</t>
        </is>
      </c>
      <c r="O281" t="inlineStr">
        <is>
          <t>IPP</t>
        </is>
      </c>
      <c r="P281" t="inlineStr">
        <is>
          <t>IPP</t>
        </is>
      </c>
      <c r="Q281" t="inlineStr">
        <is>
          <t>IPP</t>
        </is>
      </c>
      <c r="R281" t="inlineStr">
        <is>
          <t>IPP</t>
        </is>
      </c>
      <c r="S281" t="inlineStr">
        <is>
          <t>IPP</t>
        </is>
      </c>
      <c r="T281" t="inlineStr">
        <is>
          <t>IPP</t>
        </is>
      </c>
      <c r="U281" t="inlineStr">
        <is>
          <t>IPP</t>
        </is>
      </c>
      <c r="V281" t="inlineStr">
        <is>
          <t>IPP</t>
        </is>
      </c>
      <c r="W281" t="inlineStr">
        <is>
          <t>IPP</t>
        </is>
      </c>
      <c r="X281" t="inlineStr">
        <is>
          <t>IPP</t>
        </is>
      </c>
      <c r="Y281" t="inlineStr">
        <is>
          <t>IPP</t>
        </is>
      </c>
      <c r="Z281" t="inlineStr">
        <is>
          <t>IPP</t>
        </is>
      </c>
      <c r="AA281" t="inlineStr">
        <is>
          <t>IPP</t>
        </is>
      </c>
      <c r="AB281" t="inlineStr">
        <is>
          <t>IPP</t>
        </is>
      </c>
      <c r="AC281" t="inlineStr">
        <is>
          <t>IPP</t>
        </is>
      </c>
      <c r="AD281" t="inlineStr">
        <is>
          <t>IPP</t>
        </is>
      </c>
      <c r="AE281" t="inlineStr">
        <is>
          <t>IPP</t>
        </is>
      </c>
      <c r="AF281" t="inlineStr">
        <is>
          <t>IPP</t>
        </is>
      </c>
      <c r="AG281" t="inlineStr">
        <is>
          <t>IPP</t>
        </is>
      </c>
      <c r="AH281" t="inlineStr">
        <is>
          <t>IPP</t>
        </is>
      </c>
      <c r="AI281" t="inlineStr">
        <is>
          <t>IPP</t>
        </is>
      </c>
      <c r="AJ281" t="inlineStr">
        <is>
          <t>IPP</t>
        </is>
      </c>
      <c r="AK281" t="inlineStr">
        <is>
          <t>IPP</t>
        </is>
      </c>
      <c r="AL281" t="inlineStr">
        <is>
          <t>IPP</t>
        </is>
      </c>
      <c r="AM281" t="inlineStr">
        <is>
          <t>IPP</t>
        </is>
      </c>
      <c r="AN281" t="inlineStr">
        <is>
          <t>IPP</t>
        </is>
      </c>
      <c r="AO281" t="inlineStr">
        <is>
          <t>IPP</t>
        </is>
      </c>
      <c r="AP281" t="inlineStr">
        <is>
          <t>IPP</t>
        </is>
      </c>
      <c r="AQ281" t="inlineStr">
        <is>
          <t>IPP</t>
        </is>
      </c>
      <c r="AR281" t="inlineStr">
        <is>
          <t>IPP</t>
        </is>
      </c>
      <c r="AS281" t="inlineStr">
        <is>
          <t>IPP</t>
        </is>
      </c>
      <c r="AT281" t="inlineStr">
        <is>
          <t>IPP</t>
        </is>
      </c>
      <c r="AU281" t="inlineStr">
        <is>
          <t>IPP</t>
        </is>
      </c>
      <c r="AV281" t="inlineStr">
        <is>
          <t>IPP</t>
        </is>
      </c>
      <c r="AW281" t="inlineStr">
        <is>
          <t>IPP</t>
        </is>
      </c>
      <c r="AX281" t="inlineStr">
        <is>
          <t>IPP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</row>
    <row r="283">
      <c r="A283" t="inlineStr">
        <is>
          <t>PLTU CELUKAN BAWANG #1</t>
        </is>
      </c>
      <c r="B283" t="n">
        <v>125</v>
      </c>
      <c r="C283" t="n">
        <v>125</v>
      </c>
      <c r="D283" t="n">
        <v>125</v>
      </c>
      <c r="E283" t="n">
        <v>121</v>
      </c>
      <c r="F283" t="n">
        <v>74</v>
      </c>
      <c r="G283" t="n">
        <v>62.5</v>
      </c>
      <c r="H283" t="n">
        <v>62.5</v>
      </c>
      <c r="I283" t="n">
        <v>62.5</v>
      </c>
      <c r="J283" t="n">
        <v>62.5</v>
      </c>
      <c r="K283" t="n">
        <v>62.5</v>
      </c>
      <c r="L283" t="n">
        <v>62.5</v>
      </c>
      <c r="M283" t="n">
        <v>62.5</v>
      </c>
      <c r="N283" t="n">
        <v>62.5</v>
      </c>
      <c r="O283" t="n">
        <v>62.5</v>
      </c>
      <c r="P283" t="n">
        <v>62.5</v>
      </c>
      <c r="Q283" t="n">
        <v>62.5</v>
      </c>
      <c r="R283" t="n">
        <v>68</v>
      </c>
      <c r="S283" t="n">
        <v>90</v>
      </c>
      <c r="T283" t="n">
        <v>95</v>
      </c>
      <c r="U283" t="n">
        <v>96</v>
      </c>
      <c r="V283" t="n">
        <v>110</v>
      </c>
      <c r="W283" t="n">
        <v>118.5</v>
      </c>
      <c r="X283" t="n">
        <v>120</v>
      </c>
      <c r="Y283" t="n">
        <v>120</v>
      </c>
      <c r="Z283" t="n">
        <v>110</v>
      </c>
      <c r="AA283" t="n">
        <v>115</v>
      </c>
      <c r="AB283" t="n">
        <v>118.5</v>
      </c>
      <c r="AC283" t="n">
        <v>125</v>
      </c>
      <c r="AD283" t="n">
        <v>125</v>
      </c>
      <c r="AE283" t="n">
        <v>125</v>
      </c>
      <c r="AF283" t="n">
        <v>125</v>
      </c>
      <c r="AG283" t="n">
        <v>125</v>
      </c>
      <c r="AH283" t="n">
        <v>125</v>
      </c>
      <c r="AI283" t="n">
        <v>123</v>
      </c>
      <c r="AJ283" t="n">
        <v>120</v>
      </c>
      <c r="AK283" t="n">
        <v>115</v>
      </c>
      <c r="AL283" t="n">
        <v>115</v>
      </c>
      <c r="AM283" t="n">
        <v>125</v>
      </c>
      <c r="AN283" t="n">
        <v>125</v>
      </c>
      <c r="AO283" t="n">
        <v>125</v>
      </c>
      <c r="AP283" t="n">
        <v>125</v>
      </c>
      <c r="AQ283" t="n">
        <v>125</v>
      </c>
      <c r="AR283" t="n">
        <v>125</v>
      </c>
      <c r="AS283" t="n">
        <v>125</v>
      </c>
      <c r="AT283" t="n">
        <v>125</v>
      </c>
      <c r="AU283" t="n">
        <v>122</v>
      </c>
      <c r="AV283" t="n">
        <v>118</v>
      </c>
      <c r="AW283" t="n">
        <v>110</v>
      </c>
      <c r="AX283" t="n">
        <v>100</v>
      </c>
    </row>
    <row r="284">
      <c r="A284" t="inlineStr">
        <is>
          <t>PLTU CELUKAN BAWANG #2</t>
        </is>
      </c>
      <c r="B284" t="n">
        <v>125</v>
      </c>
      <c r="C284" t="n">
        <v>125</v>
      </c>
      <c r="D284" t="n">
        <v>125</v>
      </c>
      <c r="E284" t="n">
        <v>125</v>
      </c>
      <c r="F284" t="n">
        <v>74</v>
      </c>
      <c r="G284" t="n">
        <v>62.5</v>
      </c>
      <c r="H284" t="n">
        <v>62.5</v>
      </c>
      <c r="I284" t="n">
        <v>62.5</v>
      </c>
      <c r="J284" t="n">
        <v>62.5</v>
      </c>
      <c r="K284" t="n">
        <v>62.5</v>
      </c>
      <c r="L284" t="n">
        <v>62.5</v>
      </c>
      <c r="M284" t="n">
        <v>62.5</v>
      </c>
      <c r="N284" t="n">
        <v>62.5</v>
      </c>
      <c r="O284" t="n">
        <v>62.5</v>
      </c>
      <c r="P284" t="n">
        <v>62.5</v>
      </c>
      <c r="Q284" t="n">
        <v>62.5</v>
      </c>
      <c r="R284" t="n">
        <v>68</v>
      </c>
      <c r="S284" t="n">
        <v>90.3</v>
      </c>
      <c r="T284" t="n">
        <v>95</v>
      </c>
      <c r="U284" t="n">
        <v>98</v>
      </c>
      <c r="V284" t="n">
        <v>110</v>
      </c>
      <c r="W284" t="n">
        <v>120</v>
      </c>
      <c r="X284" t="n">
        <v>120</v>
      </c>
      <c r="Y284" t="n">
        <v>120</v>
      </c>
      <c r="Z284" t="n">
        <v>114</v>
      </c>
      <c r="AA284" t="n">
        <v>115.3</v>
      </c>
      <c r="AB284" t="n">
        <v>120</v>
      </c>
      <c r="AC284" t="n">
        <v>125</v>
      </c>
      <c r="AD284" t="n">
        <v>125</v>
      </c>
      <c r="AE284" t="n">
        <v>125</v>
      </c>
      <c r="AF284" t="n">
        <v>125</v>
      </c>
      <c r="AG284" t="n">
        <v>125</v>
      </c>
      <c r="AH284" t="n">
        <v>125</v>
      </c>
      <c r="AI284" t="n">
        <v>120</v>
      </c>
      <c r="AJ284" t="n">
        <v>120</v>
      </c>
      <c r="AK284" t="n">
        <v>115</v>
      </c>
      <c r="AL284" t="n">
        <v>115</v>
      </c>
      <c r="AM284" t="n">
        <v>125</v>
      </c>
      <c r="AN284" t="n">
        <v>125</v>
      </c>
      <c r="AO284" t="n">
        <v>125</v>
      </c>
      <c r="AP284" t="n">
        <v>125</v>
      </c>
      <c r="AQ284" t="n">
        <v>125</v>
      </c>
      <c r="AR284" t="n">
        <v>125</v>
      </c>
      <c r="AS284" t="n">
        <v>125</v>
      </c>
      <c r="AT284" t="n">
        <v>125</v>
      </c>
      <c r="AU284" t="n">
        <v>125</v>
      </c>
      <c r="AV284" t="n">
        <v>118</v>
      </c>
      <c r="AW284" t="n">
        <v>110</v>
      </c>
      <c r="AX284" t="n">
        <v>100</v>
      </c>
    </row>
    <row r="285">
      <c r="A285" t="inlineStr">
        <is>
          <t>PLTU CELUKAN BAWANG #3</t>
        </is>
      </c>
      <c r="B285" t="n">
        <v>130</v>
      </c>
      <c r="C285" t="n">
        <v>130</v>
      </c>
      <c r="D285" t="n">
        <v>130</v>
      </c>
      <c r="E285" t="n">
        <v>130</v>
      </c>
      <c r="F285" t="n">
        <v>74</v>
      </c>
      <c r="G285" t="n">
        <v>65</v>
      </c>
      <c r="H285" t="n">
        <v>65</v>
      </c>
      <c r="I285" t="n">
        <v>65</v>
      </c>
      <c r="J285" t="n">
        <v>65</v>
      </c>
      <c r="K285" t="n">
        <v>65</v>
      </c>
      <c r="L285" t="n">
        <v>65</v>
      </c>
      <c r="M285" t="n">
        <v>65</v>
      </c>
      <c r="N285" t="n">
        <v>65</v>
      </c>
      <c r="O285" t="n">
        <v>65</v>
      </c>
      <c r="P285" t="n">
        <v>65</v>
      </c>
      <c r="Q285" t="n">
        <v>65</v>
      </c>
      <c r="R285" t="n">
        <v>68</v>
      </c>
      <c r="S285" t="n">
        <v>95</v>
      </c>
      <c r="T285" t="n">
        <v>100.5</v>
      </c>
      <c r="U285" t="n">
        <v>100</v>
      </c>
      <c r="V285" t="n">
        <v>113</v>
      </c>
      <c r="W285" t="n">
        <v>120</v>
      </c>
      <c r="X285" t="n">
        <v>121</v>
      </c>
      <c r="Y285" t="n">
        <v>122</v>
      </c>
      <c r="Z285" t="n">
        <v>130</v>
      </c>
      <c r="AA285" t="n">
        <v>117</v>
      </c>
      <c r="AB285" t="n">
        <v>120</v>
      </c>
      <c r="AC285" t="n">
        <v>130</v>
      </c>
      <c r="AD285" t="n">
        <v>130</v>
      </c>
      <c r="AE285" t="n">
        <v>130</v>
      </c>
      <c r="AF285" t="n">
        <v>130</v>
      </c>
      <c r="AG285" t="n">
        <v>130</v>
      </c>
      <c r="AH285" t="n">
        <v>130</v>
      </c>
      <c r="AI285" t="n">
        <v>130</v>
      </c>
      <c r="AJ285" t="n">
        <v>120.5</v>
      </c>
      <c r="AK285" t="n">
        <v>118</v>
      </c>
      <c r="AL285" t="n">
        <v>118</v>
      </c>
      <c r="AM285" t="n">
        <v>130</v>
      </c>
      <c r="AN285" t="n">
        <v>130</v>
      </c>
      <c r="AO285" t="n">
        <v>130</v>
      </c>
      <c r="AP285" t="n">
        <v>130</v>
      </c>
      <c r="AQ285" t="n">
        <v>130</v>
      </c>
      <c r="AR285" t="n">
        <v>130</v>
      </c>
      <c r="AS285" t="n">
        <v>130</v>
      </c>
      <c r="AT285" t="n">
        <v>130</v>
      </c>
      <c r="AU285" t="n">
        <v>130</v>
      </c>
      <c r="AV285" t="n">
        <v>120</v>
      </c>
      <c r="AW285" t="n">
        <v>114.5</v>
      </c>
      <c r="AX285" t="n">
        <v>100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</row>
    <row r="287">
      <c r="A287" t="inlineStr">
        <is>
          <t>PLTD SEWA PEMARON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25.76</v>
      </c>
      <c r="U287" t="n">
        <v>60</v>
      </c>
      <c r="V287" t="n">
        <v>60</v>
      </c>
      <c r="W287" t="n">
        <v>60</v>
      </c>
      <c r="X287" t="n">
        <v>60</v>
      </c>
      <c r="Y287" t="n">
        <v>60</v>
      </c>
      <c r="Z287" t="n">
        <v>60</v>
      </c>
      <c r="AA287" t="n">
        <v>60</v>
      </c>
      <c r="AB287" t="n">
        <v>60</v>
      </c>
      <c r="AC287" t="n">
        <v>60</v>
      </c>
      <c r="AD287" t="n">
        <v>60</v>
      </c>
      <c r="AE287" t="n">
        <v>60</v>
      </c>
      <c r="AF287" t="n">
        <v>60</v>
      </c>
      <c r="AG287" t="n">
        <v>60</v>
      </c>
      <c r="AH287" t="n">
        <v>60</v>
      </c>
      <c r="AI287" t="n">
        <v>60</v>
      </c>
      <c r="AJ287" t="n">
        <v>60</v>
      </c>
      <c r="AK287" t="n">
        <v>60</v>
      </c>
      <c r="AL287" t="n">
        <v>40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inlineStr">
        <is>
          <t>PLTD SEWA PEMARON TAHAP 2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</row>
    <row r="290">
      <c r="A290" t="inlineStr">
        <is>
          <t>PLTS BALI TIMUR</t>
        </is>
      </c>
      <c r="B290" t="n">
        <v>22.2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</row>
    <row r="292">
      <c r="A292" t="inlineStr">
        <is>
          <t>PLTD SEWA KUBU STAGE-1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18.5</v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40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inlineStr">
        <is>
          <t>PLTD SEWA KUBU STAGE-2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</row>
    <row r="295">
      <c r="A295" t="inlineStr">
        <is>
          <t>Pembangkitan Area</t>
        </is>
      </c>
      <c r="B295" t="inlineStr"/>
      <c r="C295" t="n">
        <v>819.9400000000001</v>
      </c>
      <c r="D295" t="n">
        <v>800.8</v>
      </c>
      <c r="E295" t="n">
        <v>781.34</v>
      </c>
      <c r="F295" t="n">
        <v>610</v>
      </c>
      <c r="G295" t="n">
        <v>475</v>
      </c>
      <c r="H295" t="n">
        <v>464</v>
      </c>
      <c r="I295" t="n">
        <v>450</v>
      </c>
      <c r="J295" t="n">
        <v>446</v>
      </c>
      <c r="K295" t="n">
        <v>447.5</v>
      </c>
      <c r="L295" t="n">
        <v>461.5</v>
      </c>
      <c r="M295" t="n">
        <v>488.5</v>
      </c>
      <c r="N295" t="n">
        <v>513</v>
      </c>
      <c r="O295" t="n">
        <v>520.5</v>
      </c>
      <c r="P295" t="n">
        <v>519</v>
      </c>
      <c r="Q295" t="n">
        <v>582</v>
      </c>
      <c r="R295" t="n">
        <v>626</v>
      </c>
      <c r="S295" t="n">
        <v>697.3</v>
      </c>
      <c r="T295" t="n">
        <v>738.26</v>
      </c>
      <c r="U295" t="n">
        <v>776</v>
      </c>
      <c r="V295" t="n">
        <v>815</v>
      </c>
      <c r="W295" t="n">
        <v>840.5</v>
      </c>
      <c r="X295" t="n">
        <v>843</v>
      </c>
      <c r="Y295" t="n">
        <v>844</v>
      </c>
      <c r="Z295" t="n">
        <v>836</v>
      </c>
      <c r="AA295" t="n">
        <v>829.3</v>
      </c>
      <c r="AB295" t="n">
        <v>840.5</v>
      </c>
      <c r="AC295" t="n">
        <v>862.6</v>
      </c>
      <c r="AD295" t="n">
        <v>878.5</v>
      </c>
      <c r="AE295" t="n">
        <v>888.5</v>
      </c>
      <c r="AF295" t="n">
        <v>901</v>
      </c>
      <c r="AG295" t="n">
        <v>899</v>
      </c>
      <c r="AH295" t="n">
        <v>896</v>
      </c>
      <c r="AI295" t="n">
        <v>880.8</v>
      </c>
      <c r="AJ295" t="n">
        <v>866.5</v>
      </c>
      <c r="AK295" t="n">
        <v>854</v>
      </c>
      <c r="AL295" t="n">
        <v>850.2</v>
      </c>
      <c r="AM295" t="n">
        <v>905</v>
      </c>
      <c r="AN295" t="n">
        <v>918</v>
      </c>
      <c r="AO295" t="n">
        <v>904.5</v>
      </c>
      <c r="AP295" t="n">
        <v>884</v>
      </c>
      <c r="AQ295" t="n">
        <v>869</v>
      </c>
      <c r="AR295" t="n">
        <v>837</v>
      </c>
      <c r="AS295" t="n">
        <v>801</v>
      </c>
      <c r="AT295" t="n">
        <v>760.27</v>
      </c>
      <c r="AU295" t="n">
        <v>709</v>
      </c>
      <c r="AV295" t="n">
        <v>668</v>
      </c>
      <c r="AW295" t="n">
        <v>631.5</v>
      </c>
      <c r="AX295" t="n">
        <v>597</v>
      </c>
    </row>
    <row r="296">
      <c r="A296" t="inlineStr">
        <is>
          <t>Beban Area</t>
        </is>
      </c>
      <c r="B296" t="inlineStr"/>
      <c r="C296" t="n">
        <v>819.9400000000001</v>
      </c>
      <c r="D296" t="n">
        <v>800.8</v>
      </c>
      <c r="E296" t="n">
        <v>781.12</v>
      </c>
      <c r="F296" t="n">
        <v>760.03</v>
      </c>
      <c r="G296" t="n">
        <v>745.04</v>
      </c>
      <c r="H296" t="n">
        <v>733.8</v>
      </c>
      <c r="I296" t="n">
        <v>719.61</v>
      </c>
      <c r="J296" t="n">
        <v>716.03</v>
      </c>
      <c r="K296" t="n">
        <v>717.5</v>
      </c>
      <c r="L296" t="n">
        <v>731.53</v>
      </c>
      <c r="M296" t="n">
        <v>758.13</v>
      </c>
      <c r="N296" t="n">
        <v>785.28</v>
      </c>
      <c r="O296" t="n">
        <v>796.61</v>
      </c>
      <c r="P296" t="n">
        <v>799.01</v>
      </c>
      <c r="Q296" t="n">
        <v>866.34</v>
      </c>
      <c r="R296" t="n">
        <v>913.45</v>
      </c>
      <c r="S296" t="n">
        <v>986.72</v>
      </c>
      <c r="T296" t="n">
        <v>1028.38</v>
      </c>
      <c r="U296" t="n">
        <v>1066.62</v>
      </c>
      <c r="V296" t="n">
        <v>1105.86</v>
      </c>
      <c r="W296" t="n">
        <v>1131.22</v>
      </c>
      <c r="X296" t="n">
        <v>1133.64</v>
      </c>
      <c r="Y296" t="n">
        <v>1134.85</v>
      </c>
      <c r="Z296" t="n">
        <v>1127</v>
      </c>
      <c r="AA296" t="n">
        <v>1120</v>
      </c>
      <c r="AB296" t="n">
        <v>1131</v>
      </c>
      <c r="AC296" t="n">
        <v>1152.89</v>
      </c>
      <c r="AD296" t="n">
        <v>1168</v>
      </c>
      <c r="AE296" t="n">
        <v>1177</v>
      </c>
      <c r="AF296" t="n">
        <v>1186</v>
      </c>
      <c r="AG296" t="n">
        <v>1180</v>
      </c>
      <c r="AH296" t="n">
        <v>1173</v>
      </c>
      <c r="AI296" t="n">
        <v>1154</v>
      </c>
      <c r="AJ296" t="n">
        <v>1138</v>
      </c>
      <c r="AK296" t="n">
        <v>1124</v>
      </c>
      <c r="AL296" t="n">
        <v>1120</v>
      </c>
      <c r="AM296" t="n">
        <v>1174.75</v>
      </c>
      <c r="AN296" t="n">
        <v>1188</v>
      </c>
      <c r="AO296" t="n">
        <v>1174.37</v>
      </c>
      <c r="AP296" t="n">
        <v>1153.64</v>
      </c>
      <c r="AQ296" t="n">
        <v>1138.57</v>
      </c>
      <c r="AR296" t="n">
        <v>1106.69</v>
      </c>
      <c r="AS296" t="n">
        <v>1070.73</v>
      </c>
      <c r="AT296" t="n">
        <v>1030.21</v>
      </c>
      <c r="AU296" t="n">
        <v>979</v>
      </c>
      <c r="AV296" t="n">
        <v>937.7</v>
      </c>
      <c r="AW296" t="n">
        <v>901.22</v>
      </c>
      <c r="AX296" t="n">
        <v>866.6799999999999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</row>
    <row r="298">
      <c r="A298" t="inlineStr">
        <is>
          <t>Total Sistem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</row>
    <row r="300">
      <c r="A300" t="inlineStr">
        <is>
          <t>Pembangkitan Total</t>
        </is>
      </c>
      <c r="B300" t="inlineStr"/>
      <c r="C300" t="n">
        <v>25635.39</v>
      </c>
      <c r="D300" t="n">
        <v>25592.88</v>
      </c>
      <c r="E300" t="n">
        <v>25413.2</v>
      </c>
      <c r="F300" t="n">
        <v>25155.89</v>
      </c>
      <c r="G300" t="n">
        <v>25031.19</v>
      </c>
      <c r="H300" t="n">
        <v>24851.13</v>
      </c>
      <c r="I300" t="n">
        <v>24837.13</v>
      </c>
      <c r="J300" t="n">
        <v>24954.84</v>
      </c>
      <c r="K300" t="n">
        <v>25541.87</v>
      </c>
      <c r="L300" t="n">
        <v>26319.75</v>
      </c>
      <c r="M300" t="n">
        <v>27048.82</v>
      </c>
      <c r="N300" t="n">
        <v>26835.08</v>
      </c>
      <c r="O300" t="n">
        <v>26617.94</v>
      </c>
      <c r="P300" t="n">
        <v>26960.56</v>
      </c>
      <c r="Q300" t="n">
        <v>28331.83</v>
      </c>
      <c r="R300" t="n">
        <v>29455.37</v>
      </c>
      <c r="S300" t="n">
        <v>30320.56</v>
      </c>
      <c r="T300" t="n">
        <v>31314.26</v>
      </c>
      <c r="U300" t="n">
        <v>31858.66</v>
      </c>
      <c r="V300" t="n">
        <v>32259.08</v>
      </c>
      <c r="W300" t="n">
        <v>32626.12</v>
      </c>
      <c r="X300" t="n">
        <v>32712.66</v>
      </c>
      <c r="Y300" t="n">
        <v>32477.83</v>
      </c>
      <c r="Z300" t="n">
        <v>31633.17</v>
      </c>
      <c r="AA300" t="n">
        <v>31608.81</v>
      </c>
      <c r="AB300" t="n">
        <v>32524.27</v>
      </c>
      <c r="AC300" t="n">
        <v>33774.27</v>
      </c>
      <c r="AD300" t="n">
        <v>33872.29</v>
      </c>
      <c r="AE300" t="n">
        <v>33950.5</v>
      </c>
      <c r="AF300" t="n">
        <v>33948.24</v>
      </c>
      <c r="AG300" t="n">
        <v>33920.86</v>
      </c>
      <c r="AH300" t="n">
        <v>33572.68</v>
      </c>
      <c r="AI300" t="n">
        <v>33326.83</v>
      </c>
      <c r="AJ300" t="n">
        <v>33251.42</v>
      </c>
      <c r="AK300" t="n">
        <v>33663.91</v>
      </c>
      <c r="AL300" t="n">
        <v>34596.58</v>
      </c>
      <c r="AM300" t="n">
        <v>34387.61</v>
      </c>
      <c r="AN300" t="n">
        <v>34050.69</v>
      </c>
      <c r="AO300" t="n">
        <v>33868.98</v>
      </c>
      <c r="AP300" t="n">
        <v>33545.45</v>
      </c>
      <c r="AQ300" t="n">
        <v>33279.18</v>
      </c>
      <c r="AR300" t="n">
        <v>32770.26</v>
      </c>
      <c r="AS300" t="n">
        <v>32173.72</v>
      </c>
      <c r="AT300" t="n">
        <v>31495.09</v>
      </c>
      <c r="AU300" t="n">
        <v>30782.03</v>
      </c>
      <c r="AV300" t="n">
        <v>29958.71</v>
      </c>
      <c r="AW300" t="n">
        <v>29495.02</v>
      </c>
      <c r="AX300" t="n">
        <v>28784.1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LOKASI</t>
        </is>
      </c>
      <c r="B1" t="inlineStr">
        <is>
          <t>DMN</t>
        </is>
      </c>
      <c r="C1" t="inlineStr">
        <is>
          <t>00.30</t>
        </is>
      </c>
      <c r="D1" t="inlineStr">
        <is>
          <t>01.00</t>
        </is>
      </c>
      <c r="E1" t="inlineStr">
        <is>
          <t>01.30</t>
        </is>
      </c>
      <c r="F1" t="inlineStr">
        <is>
          <t>02.00</t>
        </is>
      </c>
      <c r="G1" t="inlineStr">
        <is>
          <t>02.30</t>
        </is>
      </c>
      <c r="H1" t="inlineStr">
        <is>
          <t>03.00</t>
        </is>
      </c>
      <c r="I1" t="inlineStr">
        <is>
          <t>03.30</t>
        </is>
      </c>
      <c r="J1" t="inlineStr">
        <is>
          <t>04.00</t>
        </is>
      </c>
      <c r="K1" t="inlineStr">
        <is>
          <t>04.30</t>
        </is>
      </c>
      <c r="L1" t="inlineStr">
        <is>
          <t>05.00</t>
        </is>
      </c>
      <c r="M1" t="inlineStr">
        <is>
          <t>05.30</t>
        </is>
      </c>
      <c r="N1" t="inlineStr">
        <is>
          <t>06.00</t>
        </is>
      </c>
      <c r="O1" t="inlineStr">
        <is>
          <t>06.30</t>
        </is>
      </c>
      <c r="P1" t="inlineStr">
        <is>
          <t>07.00</t>
        </is>
      </c>
      <c r="Q1" t="inlineStr">
        <is>
          <t>07.30</t>
        </is>
      </c>
      <c r="R1" t="inlineStr">
        <is>
          <t>08.00</t>
        </is>
      </c>
      <c r="S1" t="inlineStr">
        <is>
          <t>08.30</t>
        </is>
      </c>
      <c r="T1" t="inlineStr">
        <is>
          <t>09.00</t>
        </is>
      </c>
      <c r="U1" t="inlineStr">
        <is>
          <t>09.30</t>
        </is>
      </c>
      <c r="V1" t="inlineStr">
        <is>
          <t>10.00</t>
        </is>
      </c>
      <c r="W1" t="inlineStr">
        <is>
          <t>10.30</t>
        </is>
      </c>
      <c r="X1" t="inlineStr">
        <is>
          <t>11.00</t>
        </is>
      </c>
      <c r="Y1" t="inlineStr">
        <is>
          <t>11.30</t>
        </is>
      </c>
      <c r="Z1" t="inlineStr">
        <is>
          <t>12.00</t>
        </is>
      </c>
      <c r="AA1" t="inlineStr">
        <is>
          <t>12.30</t>
        </is>
      </c>
      <c r="AB1" t="inlineStr">
        <is>
          <t>13.00</t>
        </is>
      </c>
      <c r="AC1" t="inlineStr">
        <is>
          <t>13.30</t>
        </is>
      </c>
      <c r="AD1" t="inlineStr">
        <is>
          <t>14.00</t>
        </is>
      </c>
      <c r="AE1" t="inlineStr">
        <is>
          <t>14.30</t>
        </is>
      </c>
      <c r="AF1" t="inlineStr">
        <is>
          <t>15.00</t>
        </is>
      </c>
      <c r="AG1" t="inlineStr">
        <is>
          <t>15.30</t>
        </is>
      </c>
      <c r="AH1" t="inlineStr">
        <is>
          <t>16.00</t>
        </is>
      </c>
      <c r="AI1" t="inlineStr">
        <is>
          <t>16.30</t>
        </is>
      </c>
      <c r="AJ1" t="inlineStr">
        <is>
          <t>17.00</t>
        </is>
      </c>
      <c r="AK1" t="inlineStr">
        <is>
          <t>17.30</t>
        </is>
      </c>
      <c r="AL1" t="inlineStr">
        <is>
          <t>18.00</t>
        </is>
      </c>
      <c r="AM1" t="inlineStr">
        <is>
          <t>18.30</t>
        </is>
      </c>
      <c r="AN1" t="inlineStr">
        <is>
          <t>19.00</t>
        </is>
      </c>
      <c r="AO1" t="inlineStr">
        <is>
          <t>19.30</t>
        </is>
      </c>
      <c r="AP1" t="inlineStr">
        <is>
          <t>20.00</t>
        </is>
      </c>
      <c r="AQ1" t="inlineStr">
        <is>
          <t>20.30</t>
        </is>
      </c>
      <c r="AR1" t="inlineStr">
        <is>
          <t>21.00</t>
        </is>
      </c>
      <c r="AS1" t="inlineStr">
        <is>
          <t>21.30</t>
        </is>
      </c>
      <c r="AT1" t="inlineStr">
        <is>
          <t>22.00</t>
        </is>
      </c>
      <c r="AU1" t="inlineStr">
        <is>
          <t>22.30</t>
        </is>
      </c>
      <c r="AV1" t="inlineStr">
        <is>
          <t>23.00</t>
        </is>
      </c>
      <c r="AW1" t="inlineStr">
        <is>
          <t>23.30</t>
        </is>
      </c>
      <c r="AX1" t="inlineStr">
        <is>
          <t>24.00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RJKB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>
        <is>
          <t>PT. INDONESIA POWER</t>
        </is>
      </c>
      <c r="D4" t="inlineStr">
        <is>
          <t>PT. INDONESIA POWER</t>
        </is>
      </c>
      <c r="E4" t="inlineStr">
        <is>
          <t>PT. INDONESIA POWER</t>
        </is>
      </c>
      <c r="F4" t="inlineStr">
        <is>
          <t>PT. INDONESIA POWER</t>
        </is>
      </c>
      <c r="G4" t="inlineStr">
        <is>
          <t>PT. INDONESIA POWER</t>
        </is>
      </c>
      <c r="H4" t="inlineStr">
        <is>
          <t>PT. INDONESIA POWER</t>
        </is>
      </c>
      <c r="I4" t="inlineStr">
        <is>
          <t>PT. INDONESIA POWER</t>
        </is>
      </c>
      <c r="J4" t="inlineStr">
        <is>
          <t>PT. INDONESIA POWER</t>
        </is>
      </c>
      <c r="K4" t="inlineStr">
        <is>
          <t>PT. INDONESIA POWER</t>
        </is>
      </c>
      <c r="L4" t="inlineStr">
        <is>
          <t>PT. INDONESIA POWER</t>
        </is>
      </c>
      <c r="M4" t="inlineStr">
        <is>
          <t>PT. INDONESIA POWER</t>
        </is>
      </c>
      <c r="N4" t="inlineStr">
        <is>
          <t>PT. INDONESIA POWER</t>
        </is>
      </c>
      <c r="O4" t="inlineStr">
        <is>
          <t>PT. INDONESIA POWER</t>
        </is>
      </c>
      <c r="P4" t="inlineStr">
        <is>
          <t>PT. INDONESIA POWER</t>
        </is>
      </c>
      <c r="Q4" t="inlineStr">
        <is>
          <t>PT. INDONESIA POWER</t>
        </is>
      </c>
      <c r="R4" t="inlineStr">
        <is>
          <t>PT. INDONESIA POWER</t>
        </is>
      </c>
      <c r="S4" t="inlineStr">
        <is>
          <t>PT. INDONESIA POWER</t>
        </is>
      </c>
      <c r="T4" t="inlineStr">
        <is>
          <t>PT. INDONESIA POWER</t>
        </is>
      </c>
      <c r="U4" t="inlineStr">
        <is>
          <t>PT. INDONESIA POWER</t>
        </is>
      </c>
      <c r="V4" t="inlineStr">
        <is>
          <t>PT. INDONESIA POWER</t>
        </is>
      </c>
      <c r="W4" t="inlineStr">
        <is>
          <t>PT. INDONESIA POWER</t>
        </is>
      </c>
      <c r="X4" t="inlineStr">
        <is>
          <t>PT. INDONESIA POWER</t>
        </is>
      </c>
      <c r="Y4" t="inlineStr">
        <is>
          <t>PT. INDONESIA POWER</t>
        </is>
      </c>
      <c r="Z4" t="inlineStr">
        <is>
          <t>PT. INDONESIA POWER</t>
        </is>
      </c>
      <c r="AA4" t="inlineStr">
        <is>
          <t>PT. INDONESIA POWER</t>
        </is>
      </c>
      <c r="AB4" t="inlineStr">
        <is>
          <t>PT. INDONESIA POWER</t>
        </is>
      </c>
      <c r="AC4" t="inlineStr">
        <is>
          <t>PT. INDONESIA POWER</t>
        </is>
      </c>
      <c r="AD4" t="inlineStr">
        <is>
          <t>PT. INDONESIA POWER</t>
        </is>
      </c>
      <c r="AE4" t="inlineStr">
        <is>
          <t>PT. INDONESIA POWER</t>
        </is>
      </c>
      <c r="AF4" t="inlineStr">
        <is>
          <t>PT. INDONESIA POWER</t>
        </is>
      </c>
      <c r="AG4" t="inlineStr">
        <is>
          <t>PT. INDONESIA POWER</t>
        </is>
      </c>
      <c r="AH4" t="inlineStr">
        <is>
          <t>PT. INDONESIA POWER</t>
        </is>
      </c>
      <c r="AI4" t="inlineStr">
        <is>
          <t>PT. INDONESIA POWER</t>
        </is>
      </c>
      <c r="AJ4" t="inlineStr">
        <is>
          <t>PT. INDONESIA POWER</t>
        </is>
      </c>
      <c r="AK4" t="inlineStr">
        <is>
          <t>PT. INDONESIA POWER</t>
        </is>
      </c>
      <c r="AL4" t="inlineStr">
        <is>
          <t>PT. INDONESIA POWER</t>
        </is>
      </c>
      <c r="AM4" t="inlineStr">
        <is>
          <t>PT. INDONESIA POWER</t>
        </is>
      </c>
      <c r="AN4" t="inlineStr">
        <is>
          <t>PT. INDONESIA POWER</t>
        </is>
      </c>
      <c r="AO4" t="inlineStr">
        <is>
          <t>PT. INDONESIA POWER</t>
        </is>
      </c>
      <c r="AP4" t="inlineStr">
        <is>
          <t>PT. INDONESIA POWER</t>
        </is>
      </c>
      <c r="AQ4" t="inlineStr">
        <is>
          <t>PT. INDONESIA POWER</t>
        </is>
      </c>
      <c r="AR4" t="inlineStr">
        <is>
          <t>PT. INDONESIA POWER</t>
        </is>
      </c>
      <c r="AS4" t="inlineStr">
        <is>
          <t>PT. INDONESIA POWER</t>
        </is>
      </c>
      <c r="AT4" t="inlineStr">
        <is>
          <t>PT. INDONESIA POWER</t>
        </is>
      </c>
      <c r="AU4" t="inlineStr">
        <is>
          <t>PT. INDONESIA POWER</t>
        </is>
      </c>
      <c r="AV4" t="inlineStr">
        <is>
          <t>PT. INDONESIA POWER</t>
        </is>
      </c>
      <c r="AW4" t="inlineStr">
        <is>
          <t>PT. INDONESIA POWER</t>
        </is>
      </c>
      <c r="AX4" t="inlineStr">
        <is>
          <t>PT. INDONESIA POWER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PLTA Region 1</t>
        </is>
      </c>
      <c r="B6" t="inlineStr"/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8</v>
      </c>
      <c r="X6" t="n">
        <v>8</v>
      </c>
      <c r="Y6" t="n">
        <v>8</v>
      </c>
      <c r="Z6" t="n">
        <v>8</v>
      </c>
      <c r="AA6" t="n">
        <v>8</v>
      </c>
      <c r="AB6" t="n">
        <v>8</v>
      </c>
      <c r="AC6" t="n">
        <v>8</v>
      </c>
      <c r="AD6" t="n">
        <v>8</v>
      </c>
      <c r="AE6" t="n">
        <v>8</v>
      </c>
      <c r="AF6" t="n">
        <v>8</v>
      </c>
      <c r="AG6" t="n">
        <v>8</v>
      </c>
      <c r="AH6" t="n">
        <v>8</v>
      </c>
      <c r="AI6" t="n">
        <v>8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PLTU SRLYA #1</t>
        </is>
      </c>
      <c r="B8" t="n">
        <v>371.5</v>
      </c>
      <c r="C8" t="n">
        <v>200</v>
      </c>
      <c r="D8" t="n">
        <v>200</v>
      </c>
      <c r="E8" t="n">
        <v>200</v>
      </c>
      <c r="F8" t="n">
        <v>200</v>
      </c>
      <c r="G8" t="n">
        <v>200</v>
      </c>
      <c r="H8" t="n">
        <v>200</v>
      </c>
      <c r="I8" t="n">
        <v>200</v>
      </c>
      <c r="J8" t="n">
        <v>200</v>
      </c>
      <c r="K8" t="n">
        <v>200</v>
      </c>
      <c r="L8" t="n">
        <v>200</v>
      </c>
      <c r="M8" t="n">
        <v>200</v>
      </c>
      <c r="N8" t="n">
        <v>200</v>
      </c>
      <c r="O8" t="n">
        <v>200</v>
      </c>
      <c r="P8" t="n">
        <v>200</v>
      </c>
      <c r="Q8" t="n">
        <v>200</v>
      </c>
      <c r="R8" t="n">
        <v>200</v>
      </c>
      <c r="S8" t="n">
        <v>200</v>
      </c>
      <c r="T8" t="n">
        <v>200</v>
      </c>
      <c r="U8" t="n">
        <v>200</v>
      </c>
      <c r="V8" t="n">
        <v>200</v>
      </c>
      <c r="W8" t="n">
        <v>200</v>
      </c>
      <c r="X8" t="n">
        <v>200</v>
      </c>
      <c r="Y8" t="n">
        <v>200</v>
      </c>
      <c r="Z8" t="n">
        <v>200</v>
      </c>
      <c r="AA8" t="n">
        <v>200</v>
      </c>
      <c r="AB8" t="n">
        <v>200</v>
      </c>
      <c r="AC8" t="n">
        <v>200</v>
      </c>
      <c r="AD8" t="n">
        <v>200</v>
      </c>
      <c r="AE8" t="n">
        <v>200</v>
      </c>
      <c r="AF8" t="n">
        <v>200</v>
      </c>
      <c r="AG8" t="n">
        <v>200</v>
      </c>
      <c r="AH8" t="n">
        <v>200</v>
      </c>
      <c r="AI8" t="n">
        <v>200</v>
      </c>
      <c r="AJ8" t="n">
        <v>200</v>
      </c>
      <c r="AK8" t="n">
        <v>200</v>
      </c>
      <c r="AL8" t="n">
        <v>200</v>
      </c>
      <c r="AM8" t="n">
        <v>200</v>
      </c>
      <c r="AN8" t="n">
        <v>200</v>
      </c>
      <c r="AO8" t="n">
        <v>200</v>
      </c>
      <c r="AP8" t="n">
        <v>200</v>
      </c>
      <c r="AQ8" t="n">
        <v>200</v>
      </c>
      <c r="AR8" t="n">
        <v>250.01</v>
      </c>
      <c r="AS8" t="n">
        <v>200</v>
      </c>
      <c r="AT8" t="n">
        <v>200</v>
      </c>
      <c r="AU8" t="n">
        <v>200</v>
      </c>
      <c r="AV8" t="n">
        <v>200</v>
      </c>
      <c r="AW8" t="n">
        <v>200</v>
      </c>
      <c r="AX8" t="n">
        <v>200</v>
      </c>
    </row>
    <row r="9">
      <c r="A9" t="inlineStr">
        <is>
          <t>PLTU SRLYA #2</t>
        </is>
      </c>
      <c r="B9" t="n">
        <v>371.5</v>
      </c>
      <c r="C9" t="n">
        <v>200</v>
      </c>
      <c r="D9" t="n">
        <v>200</v>
      </c>
      <c r="E9" t="n">
        <v>200</v>
      </c>
      <c r="F9" t="n">
        <v>200</v>
      </c>
      <c r="G9" t="n">
        <v>200</v>
      </c>
      <c r="H9" t="n">
        <v>200</v>
      </c>
      <c r="I9" t="n">
        <v>200</v>
      </c>
      <c r="J9" t="n">
        <v>200</v>
      </c>
      <c r="K9" t="n">
        <v>200</v>
      </c>
      <c r="L9" t="n">
        <v>200</v>
      </c>
      <c r="M9" t="n">
        <v>200</v>
      </c>
      <c r="N9" t="n">
        <v>200</v>
      </c>
      <c r="O9" t="n">
        <v>200</v>
      </c>
      <c r="P9" t="n">
        <v>200</v>
      </c>
      <c r="Q9" t="n">
        <v>200</v>
      </c>
      <c r="R9" t="n">
        <v>200</v>
      </c>
      <c r="S9" t="n">
        <v>200</v>
      </c>
      <c r="T9" t="n">
        <v>240.51</v>
      </c>
      <c r="U9" t="n">
        <v>240.51</v>
      </c>
      <c r="V9" t="n">
        <v>240.51</v>
      </c>
      <c r="W9" t="n">
        <v>240.51</v>
      </c>
      <c r="X9" t="n">
        <v>240.51</v>
      </c>
      <c r="Y9" t="n">
        <v>240.51</v>
      </c>
      <c r="Z9" t="n">
        <v>240.51</v>
      </c>
      <c r="AA9" t="n">
        <v>240.51</v>
      </c>
      <c r="AB9" t="n">
        <v>240.51</v>
      </c>
      <c r="AC9" t="n">
        <v>240.51</v>
      </c>
      <c r="AD9" t="n">
        <v>240.51</v>
      </c>
      <c r="AE9" t="n">
        <v>240.51</v>
      </c>
      <c r="AF9" t="n">
        <v>240.51</v>
      </c>
      <c r="AG9" t="n">
        <v>240.51</v>
      </c>
      <c r="AH9" t="n">
        <v>240.51</v>
      </c>
      <c r="AI9" t="n">
        <v>240.51</v>
      </c>
      <c r="AJ9" t="n">
        <v>240.51</v>
      </c>
      <c r="AK9" t="n">
        <v>240.51</v>
      </c>
      <c r="AL9" t="n">
        <v>240.51</v>
      </c>
      <c r="AM9" t="n">
        <v>240.51</v>
      </c>
      <c r="AN9" t="n">
        <v>240.51</v>
      </c>
      <c r="AO9" t="n">
        <v>240.51</v>
      </c>
      <c r="AP9" t="n">
        <v>240.51</v>
      </c>
      <c r="AQ9" t="n">
        <v>240.51</v>
      </c>
      <c r="AR9" t="n">
        <v>284.2</v>
      </c>
      <c r="AS9" t="n">
        <v>200</v>
      </c>
      <c r="AT9" t="n">
        <v>200</v>
      </c>
      <c r="AU9" t="n">
        <v>200</v>
      </c>
      <c r="AV9" t="n">
        <v>200</v>
      </c>
      <c r="AW9" t="n">
        <v>200</v>
      </c>
      <c r="AX9" t="n">
        <v>200</v>
      </c>
    </row>
    <row r="10">
      <c r="A10" t="inlineStr">
        <is>
          <t>PLTU SRLYA #4</t>
        </is>
      </c>
      <c r="B10" t="n">
        <v>371.5</v>
      </c>
      <c r="C10" t="n">
        <v>200</v>
      </c>
      <c r="D10" t="n">
        <v>200</v>
      </c>
      <c r="E10" t="n">
        <v>200</v>
      </c>
      <c r="F10" t="n">
        <v>200</v>
      </c>
      <c r="G10" t="n">
        <v>200</v>
      </c>
      <c r="H10" t="n">
        <v>200</v>
      </c>
      <c r="I10" t="n">
        <v>200</v>
      </c>
      <c r="J10" t="n">
        <v>200</v>
      </c>
      <c r="K10" t="n">
        <v>200</v>
      </c>
      <c r="L10" t="n">
        <v>200</v>
      </c>
      <c r="M10" t="n">
        <v>200</v>
      </c>
      <c r="N10" t="n">
        <v>200</v>
      </c>
      <c r="O10" t="n">
        <v>200</v>
      </c>
      <c r="P10" t="n">
        <v>200</v>
      </c>
      <c r="Q10" t="n">
        <v>200</v>
      </c>
      <c r="R10" t="n">
        <v>200</v>
      </c>
      <c r="S10" t="n">
        <v>200</v>
      </c>
      <c r="T10" t="n">
        <v>284.2</v>
      </c>
      <c r="U10" t="n">
        <v>284.2</v>
      </c>
      <c r="V10" t="n">
        <v>284.2</v>
      </c>
      <c r="W10" t="n">
        <v>284.2</v>
      </c>
      <c r="X10" t="n">
        <v>284.2</v>
      </c>
      <c r="Y10" t="n">
        <v>284.2</v>
      </c>
      <c r="Z10" t="n">
        <v>284.2</v>
      </c>
      <c r="AA10" t="n">
        <v>284.2</v>
      </c>
      <c r="AB10" t="n">
        <v>284.2</v>
      </c>
      <c r="AC10" t="n">
        <v>284.2</v>
      </c>
      <c r="AD10" t="n">
        <v>284.2</v>
      </c>
      <c r="AE10" t="n">
        <v>284.2</v>
      </c>
      <c r="AF10" t="n">
        <v>284.2</v>
      </c>
      <c r="AG10" t="n">
        <v>284.2</v>
      </c>
      <c r="AH10" t="n">
        <v>284.2</v>
      </c>
      <c r="AI10" t="n">
        <v>284.2</v>
      </c>
      <c r="AJ10" t="n">
        <v>284.2</v>
      </c>
      <c r="AK10" t="n">
        <v>284.2</v>
      </c>
      <c r="AL10" t="n">
        <v>284.2</v>
      </c>
      <c r="AM10" t="n">
        <v>284.2</v>
      </c>
      <c r="AN10" t="n">
        <v>284.2</v>
      </c>
      <c r="AO10" t="n">
        <v>284.2</v>
      </c>
      <c r="AP10" t="n">
        <v>284.2</v>
      </c>
      <c r="AQ10" t="n">
        <v>284.2</v>
      </c>
      <c r="AR10" t="n">
        <v>284.2</v>
      </c>
      <c r="AS10" t="n">
        <v>200</v>
      </c>
      <c r="AT10" t="n">
        <v>200</v>
      </c>
      <c r="AU10" t="n">
        <v>200</v>
      </c>
      <c r="AV10" t="n">
        <v>200</v>
      </c>
      <c r="AW10" t="n">
        <v>200</v>
      </c>
      <c r="AX10" t="n">
        <v>200</v>
      </c>
    </row>
    <row r="11">
      <c r="A11" t="inlineStr">
        <is>
          <t>PLTU SRLYA #5</t>
        </is>
      </c>
      <c r="B11" t="n">
        <v>575.2</v>
      </c>
      <c r="C11" t="n">
        <v>500</v>
      </c>
      <c r="D11" t="n">
        <v>510</v>
      </c>
      <c r="E11" t="n">
        <v>510</v>
      </c>
      <c r="F11" t="n">
        <v>513.7</v>
      </c>
      <c r="G11" t="n">
        <v>563.7</v>
      </c>
      <c r="H11" t="n">
        <v>503.7</v>
      </c>
      <c r="I11" t="n">
        <v>503.7</v>
      </c>
      <c r="J11" t="n">
        <v>503.7</v>
      </c>
      <c r="K11" t="n">
        <v>503.7</v>
      </c>
      <c r="L11" t="n">
        <v>503.7</v>
      </c>
      <c r="M11" t="n">
        <v>503.7</v>
      </c>
      <c r="N11" t="n">
        <v>503.7</v>
      </c>
      <c r="O11" t="n">
        <v>563.7</v>
      </c>
      <c r="P11" t="n">
        <v>513.7</v>
      </c>
      <c r="Q11" t="n">
        <v>509.5</v>
      </c>
      <c r="R11" t="n">
        <v>419.5</v>
      </c>
      <c r="S11" t="n">
        <v>419.5</v>
      </c>
      <c r="T11" t="n">
        <v>563.7</v>
      </c>
      <c r="U11" t="n">
        <v>563.7</v>
      </c>
      <c r="V11" t="n">
        <v>563.7</v>
      </c>
      <c r="W11" t="n">
        <v>563.7</v>
      </c>
      <c r="X11" t="n">
        <v>563.7</v>
      </c>
      <c r="Y11" t="n">
        <v>563.7</v>
      </c>
      <c r="Z11" t="n">
        <v>563.7</v>
      </c>
      <c r="AA11" t="n">
        <v>563.7</v>
      </c>
      <c r="AB11" t="n">
        <v>563.7</v>
      </c>
      <c r="AC11" t="n">
        <v>563.7</v>
      </c>
      <c r="AD11" t="n">
        <v>563.7</v>
      </c>
      <c r="AE11" t="n">
        <v>563.7</v>
      </c>
      <c r="AF11" t="n">
        <v>563.7</v>
      </c>
      <c r="AG11" t="n">
        <v>563.7</v>
      </c>
      <c r="AH11" t="n">
        <v>563.7</v>
      </c>
      <c r="AI11" t="n">
        <v>563.7</v>
      </c>
      <c r="AJ11" t="n">
        <v>563.7</v>
      </c>
      <c r="AK11" t="n">
        <v>563.7</v>
      </c>
      <c r="AL11" t="n">
        <v>563.7</v>
      </c>
      <c r="AM11" t="n">
        <v>563.7</v>
      </c>
      <c r="AN11" t="n">
        <v>563.7</v>
      </c>
      <c r="AO11" t="n">
        <v>563.7</v>
      </c>
      <c r="AP11" t="n">
        <v>563.7</v>
      </c>
      <c r="AQ11" t="n">
        <v>563.7</v>
      </c>
      <c r="AR11" t="n">
        <v>563.7</v>
      </c>
      <c r="AS11" t="n">
        <v>490</v>
      </c>
      <c r="AT11" t="n">
        <v>513.7</v>
      </c>
      <c r="AU11" t="n">
        <v>563.7</v>
      </c>
      <c r="AV11" t="n">
        <v>503.7</v>
      </c>
      <c r="AW11" t="n">
        <v>503.7</v>
      </c>
      <c r="AX11" t="n">
        <v>503.7</v>
      </c>
    </row>
    <row r="12">
      <c r="A12" t="inlineStr">
        <is>
          <t>PLTU SRLYA #6</t>
        </is>
      </c>
      <c r="B12" t="n">
        <v>575.2</v>
      </c>
      <c r="C12" t="n">
        <v>300</v>
      </c>
      <c r="D12" t="n">
        <v>300</v>
      </c>
      <c r="E12" t="n">
        <v>300</v>
      </c>
      <c r="F12" t="n">
        <v>300</v>
      </c>
      <c r="G12" t="n">
        <v>340</v>
      </c>
      <c r="H12" t="n">
        <v>490</v>
      </c>
      <c r="I12" t="n">
        <v>496.3</v>
      </c>
      <c r="J12" t="n">
        <v>496.3</v>
      </c>
      <c r="K12" t="n">
        <v>496.3</v>
      </c>
      <c r="L12" t="n">
        <v>496.3</v>
      </c>
      <c r="M12" t="n">
        <v>496.3</v>
      </c>
      <c r="N12" t="n">
        <v>490</v>
      </c>
      <c r="O12" t="n">
        <v>340</v>
      </c>
      <c r="P12" t="n">
        <v>300</v>
      </c>
      <c r="Q12" t="n">
        <v>300</v>
      </c>
      <c r="R12" t="n">
        <v>340</v>
      </c>
      <c r="S12" t="n">
        <v>340</v>
      </c>
      <c r="T12" t="n">
        <v>563.7</v>
      </c>
      <c r="U12" t="n">
        <v>563.7</v>
      </c>
      <c r="V12" t="n">
        <v>563.7</v>
      </c>
      <c r="W12" t="n">
        <v>563.7</v>
      </c>
      <c r="X12" t="n">
        <v>563.7</v>
      </c>
      <c r="Y12" t="n">
        <v>563.7</v>
      </c>
      <c r="Z12" t="n">
        <v>563.7</v>
      </c>
      <c r="AA12" t="n">
        <v>563.7</v>
      </c>
      <c r="AB12" t="n">
        <v>563.7</v>
      </c>
      <c r="AC12" t="n">
        <v>563.7</v>
      </c>
      <c r="AD12" t="n">
        <v>563.7</v>
      </c>
      <c r="AE12" t="n">
        <v>563.7</v>
      </c>
      <c r="AF12" t="n">
        <v>563.7</v>
      </c>
      <c r="AG12" t="n">
        <v>563.7</v>
      </c>
      <c r="AH12" t="n">
        <v>563.7</v>
      </c>
      <c r="AI12" t="n">
        <v>563.7</v>
      </c>
      <c r="AJ12" t="n">
        <v>563.7</v>
      </c>
      <c r="AK12" t="n">
        <v>563.7</v>
      </c>
      <c r="AL12" t="n">
        <v>563.7</v>
      </c>
      <c r="AM12" t="n">
        <v>563.7</v>
      </c>
      <c r="AN12" t="n">
        <v>563.7</v>
      </c>
      <c r="AO12" t="n">
        <v>563.7</v>
      </c>
      <c r="AP12" t="n">
        <v>563.7</v>
      </c>
      <c r="AQ12" t="n">
        <v>563.7</v>
      </c>
      <c r="AR12" t="n">
        <v>470</v>
      </c>
      <c r="AS12" t="n">
        <v>320</v>
      </c>
      <c r="AT12" t="n">
        <v>300</v>
      </c>
      <c r="AU12" t="n">
        <v>340</v>
      </c>
      <c r="AV12" t="n">
        <v>490</v>
      </c>
      <c r="AW12" t="n">
        <v>496.3</v>
      </c>
      <c r="AX12" t="n">
        <v>496.3</v>
      </c>
    </row>
    <row r="13">
      <c r="A13" t="inlineStr">
        <is>
          <t>PLTU SRLYA #7</t>
        </is>
      </c>
      <c r="B13" t="n">
        <v>575.2</v>
      </c>
      <c r="C13" t="n">
        <v>500</v>
      </c>
      <c r="D13" t="n">
        <v>490</v>
      </c>
      <c r="E13" t="n">
        <v>490</v>
      </c>
      <c r="F13" t="n">
        <v>486.3</v>
      </c>
      <c r="G13" t="n">
        <v>396.3</v>
      </c>
      <c r="H13" t="n">
        <v>306.3</v>
      </c>
      <c r="I13" t="n">
        <v>300</v>
      </c>
      <c r="J13" t="n">
        <v>300</v>
      </c>
      <c r="K13" t="n">
        <v>300</v>
      </c>
      <c r="L13" t="n">
        <v>300</v>
      </c>
      <c r="M13" t="n">
        <v>300</v>
      </c>
      <c r="N13" t="n">
        <v>306.3</v>
      </c>
      <c r="O13" t="n">
        <v>396.3</v>
      </c>
      <c r="P13" t="n">
        <v>486.3</v>
      </c>
      <c r="Q13" t="n">
        <v>490.5</v>
      </c>
      <c r="R13" t="n">
        <v>540.5</v>
      </c>
      <c r="S13" t="n">
        <v>540.5</v>
      </c>
      <c r="T13" t="n">
        <v>563.7</v>
      </c>
      <c r="U13" t="n">
        <v>563.7</v>
      </c>
      <c r="V13" t="n">
        <v>563.7</v>
      </c>
      <c r="W13" t="n">
        <v>563.7</v>
      </c>
      <c r="X13" t="n">
        <v>563.7</v>
      </c>
      <c r="Y13" t="n">
        <v>563.7</v>
      </c>
      <c r="Z13" t="n">
        <v>563.7</v>
      </c>
      <c r="AA13" t="n">
        <v>563.7</v>
      </c>
      <c r="AB13" t="n">
        <v>563.7</v>
      </c>
      <c r="AC13" t="n">
        <v>563.7</v>
      </c>
      <c r="AD13" t="n">
        <v>563.7</v>
      </c>
      <c r="AE13" t="n">
        <v>563.7</v>
      </c>
      <c r="AF13" t="n">
        <v>563.7</v>
      </c>
      <c r="AG13" t="n">
        <v>563.7</v>
      </c>
      <c r="AH13" t="n">
        <v>563.7</v>
      </c>
      <c r="AI13" t="n">
        <v>563.7</v>
      </c>
      <c r="AJ13" t="n">
        <v>563.7</v>
      </c>
      <c r="AK13" t="n">
        <v>563.7</v>
      </c>
      <c r="AL13" t="n">
        <v>563.7</v>
      </c>
      <c r="AM13" t="n">
        <v>563.7</v>
      </c>
      <c r="AN13" t="n">
        <v>563.7</v>
      </c>
      <c r="AO13" t="n">
        <v>563.7</v>
      </c>
      <c r="AP13" t="n">
        <v>563.7</v>
      </c>
      <c r="AQ13" t="n">
        <v>563.7</v>
      </c>
      <c r="AR13" t="n">
        <v>563.7</v>
      </c>
      <c r="AS13" t="n">
        <v>490</v>
      </c>
      <c r="AT13" t="n">
        <v>486.3</v>
      </c>
      <c r="AU13" t="n">
        <v>396.3</v>
      </c>
      <c r="AV13" t="n">
        <v>306.3</v>
      </c>
      <c r="AW13" t="n">
        <v>300</v>
      </c>
      <c r="AX13" t="n">
        <v>300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PLTGU PRIOK #1</t>
        </is>
      </c>
      <c r="B15" t="inlineStr"/>
      <c r="C15" t="n">
        <v>204.4</v>
      </c>
      <c r="D15" t="n">
        <v>204.4</v>
      </c>
      <c r="E15" t="n">
        <v>204.4</v>
      </c>
      <c r="F15" t="n">
        <v>204.4</v>
      </c>
      <c r="G15" t="n">
        <v>204.4</v>
      </c>
      <c r="H15" t="n">
        <v>204.4</v>
      </c>
      <c r="I15" t="n">
        <v>204.4</v>
      </c>
      <c r="J15" t="n">
        <v>204.4</v>
      </c>
      <c r="K15" t="n">
        <v>204.4</v>
      </c>
      <c r="L15" t="n">
        <v>204.4</v>
      </c>
      <c r="M15" t="n">
        <v>204.4</v>
      </c>
      <c r="N15" t="n">
        <v>279.55</v>
      </c>
      <c r="O15" t="n">
        <v>306.6</v>
      </c>
      <c r="P15" t="n">
        <v>547.5</v>
      </c>
      <c r="Q15" t="n">
        <v>547.5</v>
      </c>
      <c r="R15" t="n">
        <v>547.5</v>
      </c>
      <c r="S15" t="n">
        <v>547.5</v>
      </c>
      <c r="T15" t="n">
        <v>354.78</v>
      </c>
      <c r="U15" t="n">
        <v>355.67</v>
      </c>
      <c r="V15" t="n">
        <v>354.78</v>
      </c>
      <c r="W15" t="n">
        <v>354.78</v>
      </c>
      <c r="X15" t="n">
        <v>354.78</v>
      </c>
      <c r="Y15" t="n">
        <v>354.78</v>
      </c>
      <c r="Z15" t="n">
        <v>354.78</v>
      </c>
      <c r="AA15" t="n">
        <v>354.78</v>
      </c>
      <c r="AB15" t="n">
        <v>357.72</v>
      </c>
      <c r="AC15" t="n">
        <v>381.06</v>
      </c>
      <c r="AD15" t="n">
        <v>381.06</v>
      </c>
      <c r="AE15" t="n">
        <v>381.06</v>
      </c>
      <c r="AF15" t="n">
        <v>381.06</v>
      </c>
      <c r="AG15" t="n">
        <v>381.06</v>
      </c>
      <c r="AH15" t="n">
        <v>354.78</v>
      </c>
      <c r="AI15" t="n">
        <v>354.78</v>
      </c>
      <c r="AJ15" t="n">
        <v>354.78</v>
      </c>
      <c r="AK15" t="n">
        <v>354.78</v>
      </c>
      <c r="AL15" t="n">
        <v>386.9</v>
      </c>
      <c r="AM15" t="n">
        <v>354.78</v>
      </c>
      <c r="AN15" t="n">
        <v>354.78</v>
      </c>
      <c r="AO15" t="n">
        <v>354.78</v>
      </c>
      <c r="AP15" t="n">
        <v>354.78</v>
      </c>
      <c r="AQ15" t="n">
        <v>354.78</v>
      </c>
      <c r="AR15" t="n">
        <v>354.78</v>
      </c>
      <c r="AS15" t="n">
        <v>354.78</v>
      </c>
      <c r="AT15" t="n">
        <v>354.78</v>
      </c>
      <c r="AU15" t="n">
        <v>252.58</v>
      </c>
      <c r="AV15" t="n">
        <v>252.58</v>
      </c>
      <c r="AW15" t="n">
        <v>251.49</v>
      </c>
      <c r="AX15" t="n">
        <v>204.4</v>
      </c>
    </row>
    <row r="16">
      <c r="A16" t="inlineStr">
        <is>
          <t>PLTGU PRIOK #2</t>
        </is>
      </c>
      <c r="B16" t="inlineStr"/>
      <c r="C16" t="n">
        <v>204.4</v>
      </c>
      <c r="D16" t="n">
        <v>204.4</v>
      </c>
      <c r="E16" t="n">
        <v>204.4</v>
      </c>
      <c r="F16" t="n">
        <v>204.4</v>
      </c>
      <c r="G16" t="n">
        <v>204.4</v>
      </c>
      <c r="H16" t="n">
        <v>204.4</v>
      </c>
      <c r="I16" t="n">
        <v>204.4</v>
      </c>
      <c r="J16" t="n">
        <v>204.4</v>
      </c>
      <c r="K16" t="n">
        <v>204.4</v>
      </c>
      <c r="L16" t="n">
        <v>204.4</v>
      </c>
      <c r="M16" t="n">
        <v>204.4</v>
      </c>
      <c r="N16" t="n">
        <v>204.4</v>
      </c>
      <c r="O16" t="n">
        <v>204.4</v>
      </c>
      <c r="P16" t="n">
        <v>204.4</v>
      </c>
      <c r="Q16" t="n">
        <v>204.4</v>
      </c>
      <c r="R16" t="n">
        <v>204.4</v>
      </c>
      <c r="S16" t="n">
        <v>204.4</v>
      </c>
      <c r="T16" t="n">
        <v>252.58</v>
      </c>
      <c r="U16" t="n">
        <v>253.59</v>
      </c>
      <c r="V16" t="n">
        <v>252.58</v>
      </c>
      <c r="W16" t="n">
        <v>252.58</v>
      </c>
      <c r="X16" t="n">
        <v>252.58</v>
      </c>
      <c r="Y16" t="n">
        <v>252.58</v>
      </c>
      <c r="Z16" t="n">
        <v>252.58</v>
      </c>
      <c r="AA16" t="n">
        <v>252.58</v>
      </c>
      <c r="AB16" t="n">
        <v>261.31</v>
      </c>
      <c r="AC16" t="n">
        <v>278.86</v>
      </c>
      <c r="AD16" t="n">
        <v>278.86</v>
      </c>
      <c r="AE16" t="n">
        <v>278.86</v>
      </c>
      <c r="AF16" t="n">
        <v>278.86</v>
      </c>
      <c r="AG16" t="n">
        <v>278.86</v>
      </c>
      <c r="AH16" t="n">
        <v>252.58</v>
      </c>
      <c r="AI16" t="n">
        <v>252.58</v>
      </c>
      <c r="AJ16" t="n">
        <v>252.58</v>
      </c>
      <c r="AK16" t="n">
        <v>252.58</v>
      </c>
      <c r="AL16" t="n">
        <v>284.7</v>
      </c>
      <c r="AM16" t="n">
        <v>252.58</v>
      </c>
      <c r="AN16" t="n">
        <v>252.58</v>
      </c>
      <c r="AO16" t="n">
        <v>252.58</v>
      </c>
      <c r="AP16" t="n">
        <v>252.58</v>
      </c>
      <c r="AQ16" t="n">
        <v>252.58</v>
      </c>
      <c r="AR16" t="n">
        <v>252.58</v>
      </c>
      <c r="AS16" t="n">
        <v>252.58</v>
      </c>
      <c r="AT16" t="n">
        <v>252.58</v>
      </c>
      <c r="AU16" t="n">
        <v>252.58</v>
      </c>
      <c r="AV16" t="n">
        <v>231.54</v>
      </c>
      <c r="AW16" t="n">
        <v>250.23</v>
      </c>
      <c r="AX16" t="n">
        <v>248.21</v>
      </c>
    </row>
    <row r="17">
      <c r="A17" t="inlineStr">
        <is>
          <t>PLTGU PRIOK #3</t>
        </is>
      </c>
      <c r="B17" t="inlineStr"/>
      <c r="C17" t="n">
        <v>444.26</v>
      </c>
      <c r="D17" t="n">
        <v>444.26</v>
      </c>
      <c r="E17" t="n">
        <v>444.26</v>
      </c>
      <c r="F17" t="n">
        <v>444.26</v>
      </c>
      <c r="G17" t="n">
        <v>444.26</v>
      </c>
      <c r="H17" t="n">
        <v>444.26</v>
      </c>
      <c r="I17" t="n">
        <v>444.26</v>
      </c>
      <c r="J17" t="n">
        <v>444.26</v>
      </c>
      <c r="K17" t="n">
        <v>444.26</v>
      </c>
      <c r="L17" t="n">
        <v>444.26</v>
      </c>
      <c r="M17" t="n">
        <v>444.26</v>
      </c>
      <c r="N17" t="n">
        <v>444.26</v>
      </c>
      <c r="O17" t="n">
        <v>444.26</v>
      </c>
      <c r="P17" t="n">
        <v>444.26</v>
      </c>
      <c r="Q17" t="n">
        <v>444.26</v>
      </c>
      <c r="R17" t="n">
        <v>539.23</v>
      </c>
      <c r="S17" t="n">
        <v>539.23</v>
      </c>
      <c r="T17" t="n">
        <v>696.3200000000001</v>
      </c>
      <c r="U17" t="n">
        <v>720</v>
      </c>
      <c r="V17" t="n">
        <v>666.77</v>
      </c>
      <c r="W17" t="n">
        <v>697.0700000000001</v>
      </c>
      <c r="X17" t="n">
        <v>716.77</v>
      </c>
      <c r="Y17" t="n">
        <v>705.05</v>
      </c>
      <c r="Z17" t="n">
        <v>693.65</v>
      </c>
      <c r="AA17" t="n">
        <v>675.64</v>
      </c>
      <c r="AB17" t="n">
        <v>720</v>
      </c>
      <c r="AC17" t="n">
        <v>720</v>
      </c>
      <c r="AD17" t="n">
        <v>720</v>
      </c>
      <c r="AE17" t="n">
        <v>720</v>
      </c>
      <c r="AF17" t="n">
        <v>720</v>
      </c>
      <c r="AG17" t="n">
        <v>720</v>
      </c>
      <c r="AH17" t="n">
        <v>717.83</v>
      </c>
      <c r="AI17" t="n">
        <v>684.6900000000001</v>
      </c>
      <c r="AJ17" t="n">
        <v>652.11</v>
      </c>
      <c r="AK17" t="n">
        <v>582.64</v>
      </c>
      <c r="AL17" t="n">
        <v>720</v>
      </c>
      <c r="AM17" t="n">
        <v>713.87</v>
      </c>
      <c r="AN17" t="n">
        <v>626.55</v>
      </c>
      <c r="AO17" t="n">
        <v>582.24</v>
      </c>
      <c r="AP17" t="n">
        <v>539.23</v>
      </c>
      <c r="AQ17" t="n">
        <v>626.55</v>
      </c>
      <c r="AR17" t="n">
        <v>611.8099999999999</v>
      </c>
      <c r="AS17" t="n">
        <v>637.14</v>
      </c>
      <c r="AT17" t="n">
        <v>574.2</v>
      </c>
      <c r="AU17" t="n">
        <v>636.72</v>
      </c>
      <c r="AV17" t="n">
        <v>539.23</v>
      </c>
      <c r="AW17" t="n">
        <v>539.23</v>
      </c>
      <c r="AX17" t="n">
        <v>539.23</v>
      </c>
    </row>
    <row r="18">
      <c r="A18" t="inlineStr">
        <is>
          <t>PLTGU PRIOK #4</t>
        </is>
      </c>
      <c r="B18" t="inlineStr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53.74</v>
      </c>
      <c r="V18" t="n">
        <v>150</v>
      </c>
      <c r="W18" t="n">
        <v>150</v>
      </c>
      <c r="X18" t="n">
        <v>150</v>
      </c>
      <c r="Y18" t="n">
        <v>150</v>
      </c>
      <c r="Z18" t="n">
        <v>150</v>
      </c>
      <c r="AA18" t="n">
        <v>150</v>
      </c>
      <c r="AB18" t="n">
        <v>150</v>
      </c>
      <c r="AC18" t="n">
        <v>164.97</v>
      </c>
      <c r="AD18" t="n">
        <v>172.28</v>
      </c>
      <c r="AE18" t="n">
        <v>179.16</v>
      </c>
      <c r="AF18" t="n">
        <v>180.01</v>
      </c>
      <c r="AG18" t="n">
        <v>168.78</v>
      </c>
      <c r="AH18" t="n">
        <v>150</v>
      </c>
      <c r="AI18" t="n">
        <v>150</v>
      </c>
      <c r="AJ18" t="n">
        <v>150</v>
      </c>
      <c r="AK18" t="n">
        <v>150</v>
      </c>
      <c r="AL18" t="n">
        <v>221</v>
      </c>
      <c r="AM18" t="n">
        <v>150</v>
      </c>
      <c r="AN18" t="n">
        <v>150</v>
      </c>
      <c r="AO18" t="n">
        <v>150</v>
      </c>
      <c r="AP18" t="n">
        <v>150</v>
      </c>
      <c r="AQ18" t="n">
        <v>75</v>
      </c>
      <c r="AR18" t="n">
        <v>25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PLTP SALAK #1</t>
        </is>
      </c>
      <c r="B20" t="n">
        <v>56.5</v>
      </c>
      <c r="C20" t="n">
        <v>56.5</v>
      </c>
      <c r="D20" t="n">
        <v>56.5</v>
      </c>
      <c r="E20" t="n">
        <v>56.5</v>
      </c>
      <c r="F20" t="n">
        <v>56.5</v>
      </c>
      <c r="G20" t="n">
        <v>56.5</v>
      </c>
      <c r="H20" t="n">
        <v>56.5</v>
      </c>
      <c r="I20" t="n">
        <v>56.5</v>
      </c>
      <c r="J20" t="n">
        <v>56.5</v>
      </c>
      <c r="K20" t="n">
        <v>56.5</v>
      </c>
      <c r="L20" t="n">
        <v>56.5</v>
      </c>
      <c r="M20" t="n">
        <v>56.5</v>
      </c>
      <c r="N20" t="n">
        <v>56.5</v>
      </c>
      <c r="O20" t="n">
        <v>56.5</v>
      </c>
      <c r="P20" t="n">
        <v>56.5</v>
      </c>
      <c r="Q20" t="n">
        <v>46.5</v>
      </c>
      <c r="R20" t="n">
        <v>46.5</v>
      </c>
      <c r="S20" t="n">
        <v>56.5</v>
      </c>
      <c r="T20" t="n">
        <v>56.5</v>
      </c>
      <c r="U20" t="n">
        <v>56.5</v>
      </c>
      <c r="V20" t="n">
        <v>56.5</v>
      </c>
      <c r="W20" t="n">
        <v>56.5</v>
      </c>
      <c r="X20" t="n">
        <v>56.5</v>
      </c>
      <c r="Y20" t="n">
        <v>56.5</v>
      </c>
      <c r="Z20" t="n">
        <v>56.5</v>
      </c>
      <c r="AA20" t="n">
        <v>56.5</v>
      </c>
      <c r="AB20" t="n">
        <v>56.5</v>
      </c>
      <c r="AC20" t="n">
        <v>56.5</v>
      </c>
      <c r="AD20" t="n">
        <v>56.5</v>
      </c>
      <c r="AE20" t="n">
        <v>56.5</v>
      </c>
      <c r="AF20" t="n">
        <v>56.5</v>
      </c>
      <c r="AG20" t="n">
        <v>56.5</v>
      </c>
      <c r="AH20" t="n">
        <v>56.5</v>
      </c>
      <c r="AI20" t="n">
        <v>56.5</v>
      </c>
      <c r="AJ20" t="n">
        <v>56.5</v>
      </c>
      <c r="AK20" t="n">
        <v>56.5</v>
      </c>
      <c r="AL20" t="n">
        <v>56.5</v>
      </c>
      <c r="AM20" t="n">
        <v>56.5</v>
      </c>
      <c r="AN20" t="n">
        <v>56.5</v>
      </c>
      <c r="AO20" t="n">
        <v>56.5</v>
      </c>
      <c r="AP20" t="n">
        <v>56.5</v>
      </c>
      <c r="AQ20" t="n">
        <v>56.5</v>
      </c>
      <c r="AR20" t="n">
        <v>56.5</v>
      </c>
      <c r="AS20" t="n">
        <v>56.5</v>
      </c>
      <c r="AT20" t="n">
        <v>56.5</v>
      </c>
      <c r="AU20" t="n">
        <v>56.5</v>
      </c>
      <c r="AV20" t="n">
        <v>56.5</v>
      </c>
      <c r="AW20" t="n">
        <v>56.5</v>
      </c>
      <c r="AX20" t="n">
        <v>56.5</v>
      </c>
    </row>
    <row r="21">
      <c r="A21" t="inlineStr">
        <is>
          <t>PLTP SALAK #2</t>
        </is>
      </c>
      <c r="B21" t="n">
        <v>56.5</v>
      </c>
      <c r="C21" t="n">
        <v>56.5</v>
      </c>
      <c r="D21" t="n">
        <v>56.5</v>
      </c>
      <c r="E21" t="n">
        <v>56.5</v>
      </c>
      <c r="F21" t="n">
        <v>56.5</v>
      </c>
      <c r="G21" t="n">
        <v>56.5</v>
      </c>
      <c r="H21" t="n">
        <v>56.5</v>
      </c>
      <c r="I21" t="n">
        <v>56.5</v>
      </c>
      <c r="J21" t="n">
        <v>56.5</v>
      </c>
      <c r="K21" t="n">
        <v>56.5</v>
      </c>
      <c r="L21" t="n">
        <v>56.5</v>
      </c>
      <c r="M21" t="n">
        <v>56.5</v>
      </c>
      <c r="N21" t="n">
        <v>56.5</v>
      </c>
      <c r="O21" t="n">
        <v>56.5</v>
      </c>
      <c r="P21" t="n">
        <v>56.5</v>
      </c>
      <c r="Q21" t="n">
        <v>46.5</v>
      </c>
      <c r="R21" t="n">
        <v>46.5</v>
      </c>
      <c r="S21" t="n">
        <v>56.5</v>
      </c>
      <c r="T21" t="n">
        <v>56.5</v>
      </c>
      <c r="U21" t="n">
        <v>56.5</v>
      </c>
      <c r="V21" t="n">
        <v>56.5</v>
      </c>
      <c r="W21" t="n">
        <v>56.5</v>
      </c>
      <c r="X21" t="n">
        <v>56.5</v>
      </c>
      <c r="Y21" t="n">
        <v>56.5</v>
      </c>
      <c r="Z21" t="n">
        <v>56.5</v>
      </c>
      <c r="AA21" t="n">
        <v>56.5</v>
      </c>
      <c r="AB21" t="n">
        <v>56.5</v>
      </c>
      <c r="AC21" t="n">
        <v>56.5</v>
      </c>
      <c r="AD21" t="n">
        <v>56.5</v>
      </c>
      <c r="AE21" t="n">
        <v>56.5</v>
      </c>
      <c r="AF21" t="n">
        <v>56.5</v>
      </c>
      <c r="AG21" t="n">
        <v>56.5</v>
      </c>
      <c r="AH21" t="n">
        <v>56.5</v>
      </c>
      <c r="AI21" t="n">
        <v>56.5</v>
      </c>
      <c r="AJ21" t="n">
        <v>56.5</v>
      </c>
      <c r="AK21" t="n">
        <v>56.5</v>
      </c>
      <c r="AL21" t="n">
        <v>56.5</v>
      </c>
      <c r="AM21" t="n">
        <v>56.5</v>
      </c>
      <c r="AN21" t="n">
        <v>56.5</v>
      </c>
      <c r="AO21" t="n">
        <v>56.5</v>
      </c>
      <c r="AP21" t="n">
        <v>56.5</v>
      </c>
      <c r="AQ21" t="n">
        <v>56.5</v>
      </c>
      <c r="AR21" t="n">
        <v>56.5</v>
      </c>
      <c r="AS21" t="n">
        <v>56.5</v>
      </c>
      <c r="AT21" t="n">
        <v>56.5</v>
      </c>
      <c r="AU21" t="n">
        <v>56.5</v>
      </c>
      <c r="AV21" t="n">
        <v>56.5</v>
      </c>
      <c r="AW21" t="n">
        <v>56.5</v>
      </c>
      <c r="AX21" t="n">
        <v>56.5</v>
      </c>
    </row>
    <row r="22">
      <c r="A22" t="inlineStr">
        <is>
          <t>PLTP SALAK #3</t>
        </is>
      </c>
      <c r="B22" t="n">
        <v>57</v>
      </c>
      <c r="C22" t="n">
        <v>57</v>
      </c>
      <c r="D22" t="n">
        <v>57</v>
      </c>
      <c r="E22" t="n">
        <v>57</v>
      </c>
      <c r="F22" t="n">
        <v>57</v>
      </c>
      <c r="G22" t="n">
        <v>57</v>
      </c>
      <c r="H22" t="n">
        <v>57</v>
      </c>
      <c r="I22" t="n">
        <v>57</v>
      </c>
      <c r="J22" t="n">
        <v>57</v>
      </c>
      <c r="K22" t="n">
        <v>57</v>
      </c>
      <c r="L22" t="n">
        <v>57</v>
      </c>
      <c r="M22" t="n">
        <v>57</v>
      </c>
      <c r="N22" t="n">
        <v>57</v>
      </c>
      <c r="O22" t="n">
        <v>57</v>
      </c>
      <c r="P22" t="n">
        <v>57</v>
      </c>
      <c r="Q22" t="n">
        <v>47</v>
      </c>
      <c r="R22" t="n">
        <v>47</v>
      </c>
      <c r="S22" t="n">
        <v>57</v>
      </c>
      <c r="T22" t="n">
        <v>57</v>
      </c>
      <c r="U22" t="n">
        <v>57</v>
      </c>
      <c r="V22" t="n">
        <v>57</v>
      </c>
      <c r="W22" t="n">
        <v>57</v>
      </c>
      <c r="X22" t="n">
        <v>57</v>
      </c>
      <c r="Y22" t="n">
        <v>57</v>
      </c>
      <c r="Z22" t="n">
        <v>57</v>
      </c>
      <c r="AA22" t="n">
        <v>57</v>
      </c>
      <c r="AB22" t="n">
        <v>57</v>
      </c>
      <c r="AC22" t="n">
        <v>57</v>
      </c>
      <c r="AD22" t="n">
        <v>57</v>
      </c>
      <c r="AE22" t="n">
        <v>57</v>
      </c>
      <c r="AF22" t="n">
        <v>57</v>
      </c>
      <c r="AG22" t="n">
        <v>57</v>
      </c>
      <c r="AH22" t="n">
        <v>57</v>
      </c>
      <c r="AI22" t="n">
        <v>57</v>
      </c>
      <c r="AJ22" t="n">
        <v>57</v>
      </c>
      <c r="AK22" t="n">
        <v>57</v>
      </c>
      <c r="AL22" t="n">
        <v>57</v>
      </c>
      <c r="AM22" t="n">
        <v>57</v>
      </c>
      <c r="AN22" t="n">
        <v>57</v>
      </c>
      <c r="AO22" t="n">
        <v>57</v>
      </c>
      <c r="AP22" t="n">
        <v>57</v>
      </c>
      <c r="AQ22" t="n">
        <v>57</v>
      </c>
      <c r="AR22" t="n">
        <v>57</v>
      </c>
      <c r="AS22" t="n">
        <v>57</v>
      </c>
      <c r="AT22" t="n">
        <v>57</v>
      </c>
      <c r="AU22" t="n">
        <v>57</v>
      </c>
      <c r="AV22" t="n">
        <v>57</v>
      </c>
      <c r="AW22" t="n">
        <v>57</v>
      </c>
      <c r="AX22" t="n">
        <v>57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PLTD SNYAN #1</t>
        </is>
      </c>
      <c r="B24" t="n">
        <v>17.02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inlineStr">
        <is>
          <t>PLTD SNYAN #2</t>
        </is>
      </c>
      <c r="B25" t="n">
        <v>17.02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inlineStr">
        <is>
          <t>PLTD SNYAN #3</t>
        </is>
      </c>
      <c r="B26" t="n">
        <v>17.02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inlineStr">
        <is>
          <t>PLTD SNYAN #4</t>
        </is>
      </c>
      <c r="B27" t="n">
        <v>17.02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inlineStr">
        <is>
          <t>PLTD SNYAN #5</t>
        </is>
      </c>
      <c r="B28" t="n">
        <v>17.02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inlineStr">
        <is>
          <t>PLTD SNYAN #6</t>
        </is>
      </c>
      <c r="B29" t="n">
        <v>17.02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PLTGU CLGN #1</t>
        </is>
      </c>
      <c r="B31" t="inlineStr"/>
      <c r="C31" t="n">
        <v>140.09</v>
      </c>
      <c r="D31" t="n">
        <v>140.09</v>
      </c>
      <c r="E31" t="n">
        <v>140.09</v>
      </c>
      <c r="F31" t="n">
        <v>140.09</v>
      </c>
      <c r="G31" t="n">
        <v>140.09</v>
      </c>
      <c r="H31" t="n">
        <v>140.09</v>
      </c>
      <c r="I31" t="n">
        <v>140.09</v>
      </c>
      <c r="J31" t="n">
        <v>140.09</v>
      </c>
      <c r="K31" t="n">
        <v>140.09</v>
      </c>
      <c r="L31" t="n">
        <v>140.09</v>
      </c>
      <c r="M31" t="n">
        <v>140.09</v>
      </c>
      <c r="N31" t="n">
        <v>140.09</v>
      </c>
      <c r="O31" t="n">
        <v>140.09</v>
      </c>
      <c r="P31" t="n">
        <v>140.09</v>
      </c>
      <c r="Q31" t="n">
        <v>140.09</v>
      </c>
      <c r="R31" t="n">
        <v>140.09</v>
      </c>
      <c r="S31" t="n">
        <v>140.09</v>
      </c>
      <c r="T31" t="n">
        <v>233.49</v>
      </c>
      <c r="U31" t="n">
        <v>233.49</v>
      </c>
      <c r="V31" t="n">
        <v>233.49</v>
      </c>
      <c r="W31" t="n">
        <v>233.49</v>
      </c>
      <c r="X31" t="n">
        <v>233.49</v>
      </c>
      <c r="Y31" t="n">
        <v>233.49</v>
      </c>
      <c r="Z31" t="n">
        <v>233.49</v>
      </c>
      <c r="AA31" t="n">
        <v>233.49</v>
      </c>
      <c r="AB31" t="n">
        <v>233.49</v>
      </c>
      <c r="AC31" t="n">
        <v>233.49</v>
      </c>
      <c r="AD31" t="n">
        <v>233.49</v>
      </c>
      <c r="AE31" t="n">
        <v>233.49</v>
      </c>
      <c r="AF31" t="n">
        <v>233.49</v>
      </c>
      <c r="AG31" t="n">
        <v>233.49</v>
      </c>
      <c r="AH31" t="n">
        <v>233.49</v>
      </c>
      <c r="AI31" t="n">
        <v>233.49</v>
      </c>
      <c r="AJ31" t="n">
        <v>233.49</v>
      </c>
      <c r="AK31" t="n">
        <v>233.49</v>
      </c>
      <c r="AL31" t="n">
        <v>233.49</v>
      </c>
      <c r="AM31" t="n">
        <v>233.49</v>
      </c>
      <c r="AN31" t="n">
        <v>233.49</v>
      </c>
      <c r="AO31" t="n">
        <v>233.49</v>
      </c>
      <c r="AP31" t="n">
        <v>233.49</v>
      </c>
      <c r="AQ31" t="n">
        <v>233.49</v>
      </c>
      <c r="AR31" t="n">
        <v>140.09</v>
      </c>
      <c r="AS31" t="n">
        <v>140.09</v>
      </c>
      <c r="AT31" t="n">
        <v>140.09</v>
      </c>
      <c r="AU31" t="n">
        <v>140.09</v>
      </c>
      <c r="AV31" t="n">
        <v>140.09</v>
      </c>
      <c r="AW31" t="n">
        <v>140.09</v>
      </c>
      <c r="AX31" t="n">
        <v>140.09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PLTU LABUAN #1</t>
        </is>
      </c>
      <c r="B33" t="n">
        <v>280</v>
      </c>
      <c r="C33" t="n">
        <v>240</v>
      </c>
      <c r="D33" t="n">
        <v>240</v>
      </c>
      <c r="E33" t="n">
        <v>240</v>
      </c>
      <c r="F33" t="n">
        <v>240</v>
      </c>
      <c r="G33" t="n">
        <v>240</v>
      </c>
      <c r="H33" t="n">
        <v>240</v>
      </c>
      <c r="I33" t="n">
        <v>240</v>
      </c>
      <c r="J33" t="n">
        <v>240</v>
      </c>
      <c r="K33" t="n">
        <v>240</v>
      </c>
      <c r="L33" t="n">
        <v>240</v>
      </c>
      <c r="M33" t="n">
        <v>240</v>
      </c>
      <c r="N33" t="n">
        <v>240</v>
      </c>
      <c r="O33" t="n">
        <v>240</v>
      </c>
      <c r="P33" t="n">
        <v>240</v>
      </c>
      <c r="Q33" t="n">
        <v>240</v>
      </c>
      <c r="R33" t="n">
        <v>240</v>
      </c>
      <c r="S33" t="n">
        <v>240</v>
      </c>
      <c r="T33" t="n">
        <v>240</v>
      </c>
      <c r="U33" t="n">
        <v>240</v>
      </c>
      <c r="V33" t="n">
        <v>240</v>
      </c>
      <c r="W33" t="n">
        <v>240</v>
      </c>
      <c r="X33" t="n">
        <v>240</v>
      </c>
      <c r="Y33" t="n">
        <v>240</v>
      </c>
      <c r="Z33" t="n">
        <v>240</v>
      </c>
      <c r="AA33" t="n">
        <v>240</v>
      </c>
      <c r="AB33" t="n">
        <v>260</v>
      </c>
      <c r="AC33" t="n">
        <v>260</v>
      </c>
      <c r="AD33" t="n">
        <v>260</v>
      </c>
      <c r="AE33" t="n">
        <v>260</v>
      </c>
      <c r="AF33" t="n">
        <v>260</v>
      </c>
      <c r="AG33" t="n">
        <v>260</v>
      </c>
      <c r="AH33" t="n">
        <v>260</v>
      </c>
      <c r="AI33" t="n">
        <v>260</v>
      </c>
      <c r="AJ33" t="n">
        <v>260</v>
      </c>
      <c r="AK33" t="n">
        <v>260</v>
      </c>
      <c r="AL33" t="n">
        <v>260</v>
      </c>
      <c r="AM33" t="n">
        <v>260</v>
      </c>
      <c r="AN33" t="n">
        <v>260</v>
      </c>
      <c r="AO33" t="n">
        <v>260</v>
      </c>
      <c r="AP33" t="n">
        <v>260</v>
      </c>
      <c r="AQ33" t="n">
        <v>260</v>
      </c>
      <c r="AR33" t="n">
        <v>260</v>
      </c>
      <c r="AS33" t="n">
        <v>260</v>
      </c>
      <c r="AT33" t="n">
        <v>260</v>
      </c>
      <c r="AU33" t="n">
        <v>240</v>
      </c>
      <c r="AV33" t="n">
        <v>240</v>
      </c>
      <c r="AW33" t="n">
        <v>240</v>
      </c>
      <c r="AX33" t="n">
        <v>240</v>
      </c>
    </row>
    <row r="34">
      <c r="A34" t="inlineStr">
        <is>
          <t>PLTU LABUAN #2</t>
        </is>
      </c>
      <c r="B34" t="n">
        <v>280</v>
      </c>
      <c r="C34" t="n">
        <v>240</v>
      </c>
      <c r="D34" t="n">
        <v>240</v>
      </c>
      <c r="E34" t="n">
        <v>240</v>
      </c>
      <c r="F34" t="n">
        <v>240</v>
      </c>
      <c r="G34" t="n">
        <v>240</v>
      </c>
      <c r="H34" t="n">
        <v>240</v>
      </c>
      <c r="I34" t="n">
        <v>240</v>
      </c>
      <c r="J34" t="n">
        <v>240</v>
      </c>
      <c r="K34" t="n">
        <v>240</v>
      </c>
      <c r="L34" t="n">
        <v>240</v>
      </c>
      <c r="M34" t="n">
        <v>240</v>
      </c>
      <c r="N34" t="n">
        <v>240</v>
      </c>
      <c r="O34" t="n">
        <v>240</v>
      </c>
      <c r="P34" t="n">
        <v>240</v>
      </c>
      <c r="Q34" t="n">
        <v>240</v>
      </c>
      <c r="R34" t="n">
        <v>240</v>
      </c>
      <c r="S34" t="n">
        <v>240</v>
      </c>
      <c r="T34" t="n">
        <v>240</v>
      </c>
      <c r="U34" t="n">
        <v>240</v>
      </c>
      <c r="V34" t="n">
        <v>240</v>
      </c>
      <c r="W34" t="n">
        <v>240</v>
      </c>
      <c r="X34" t="n">
        <v>240</v>
      </c>
      <c r="Y34" t="n">
        <v>240</v>
      </c>
      <c r="Z34" t="n">
        <v>240</v>
      </c>
      <c r="AA34" t="n">
        <v>240</v>
      </c>
      <c r="AB34" t="n">
        <v>260</v>
      </c>
      <c r="AC34" t="n">
        <v>260</v>
      </c>
      <c r="AD34" t="n">
        <v>260</v>
      </c>
      <c r="AE34" t="n">
        <v>260</v>
      </c>
      <c r="AF34" t="n">
        <v>260</v>
      </c>
      <c r="AG34" t="n">
        <v>260</v>
      </c>
      <c r="AH34" t="n">
        <v>260</v>
      </c>
      <c r="AI34" t="n">
        <v>260</v>
      </c>
      <c r="AJ34" t="n">
        <v>260</v>
      </c>
      <c r="AK34" t="n">
        <v>260</v>
      </c>
      <c r="AL34" t="n">
        <v>260</v>
      </c>
      <c r="AM34" t="n">
        <v>260</v>
      </c>
      <c r="AN34" t="n">
        <v>260</v>
      </c>
      <c r="AO34" t="n">
        <v>260</v>
      </c>
      <c r="AP34" t="n">
        <v>260</v>
      </c>
      <c r="AQ34" t="n">
        <v>260</v>
      </c>
      <c r="AR34" t="n">
        <v>260</v>
      </c>
      <c r="AS34" t="n">
        <v>260</v>
      </c>
      <c r="AT34" t="n">
        <v>260</v>
      </c>
      <c r="AU34" t="n">
        <v>240</v>
      </c>
      <c r="AV34" t="n">
        <v>240</v>
      </c>
      <c r="AW34" t="n">
        <v>240</v>
      </c>
      <c r="AX34" t="n">
        <v>240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PLTU SRLYA #8</t>
        </is>
      </c>
      <c r="B36" t="n">
        <v>540</v>
      </c>
      <c r="C36" t="n">
        <v>400</v>
      </c>
      <c r="D36" t="n">
        <v>400</v>
      </c>
      <c r="E36" t="n">
        <v>400</v>
      </c>
      <c r="F36" t="n">
        <v>400</v>
      </c>
      <c r="G36" t="n">
        <v>400</v>
      </c>
      <c r="H36" t="n">
        <v>400</v>
      </c>
      <c r="I36" t="n">
        <v>400</v>
      </c>
      <c r="J36" t="n">
        <v>400</v>
      </c>
      <c r="K36" t="n">
        <v>400</v>
      </c>
      <c r="L36" t="n">
        <v>400</v>
      </c>
      <c r="M36" t="n">
        <v>400</v>
      </c>
      <c r="N36" t="n">
        <v>400</v>
      </c>
      <c r="O36" t="n">
        <v>400</v>
      </c>
      <c r="P36" t="n">
        <v>400</v>
      </c>
      <c r="Q36" t="n">
        <v>400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400</v>
      </c>
      <c r="Z36" t="n">
        <v>400</v>
      </c>
      <c r="AA36" t="n">
        <v>400</v>
      </c>
      <c r="AB36" t="n">
        <v>400</v>
      </c>
      <c r="AC36" t="n">
        <v>400</v>
      </c>
      <c r="AD36" t="n">
        <v>400</v>
      </c>
      <c r="AE36" t="n">
        <v>400</v>
      </c>
      <c r="AF36" t="n">
        <v>400</v>
      </c>
      <c r="AG36" t="n">
        <v>400</v>
      </c>
      <c r="AH36" t="n">
        <v>400</v>
      </c>
      <c r="AI36" t="n">
        <v>400</v>
      </c>
      <c r="AJ36" t="n">
        <v>400</v>
      </c>
      <c r="AK36" t="n">
        <v>400</v>
      </c>
      <c r="AL36" t="n">
        <v>400</v>
      </c>
      <c r="AM36" t="n">
        <v>400</v>
      </c>
      <c r="AN36" t="n">
        <v>400</v>
      </c>
      <c r="AO36" t="n">
        <v>400</v>
      </c>
      <c r="AP36" t="n">
        <v>400</v>
      </c>
      <c r="AQ36" t="n">
        <v>400</v>
      </c>
      <c r="AR36" t="n">
        <v>400</v>
      </c>
      <c r="AS36" t="n">
        <v>400</v>
      </c>
      <c r="AT36" t="n">
        <v>400</v>
      </c>
      <c r="AU36" t="n">
        <v>400</v>
      </c>
      <c r="AV36" t="n">
        <v>400</v>
      </c>
      <c r="AW36" t="n">
        <v>400</v>
      </c>
      <c r="AX36" t="n">
        <v>400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PLTU PRATU #1</t>
        </is>
      </c>
      <c r="B38" t="n">
        <v>323</v>
      </c>
      <c r="C38" t="n">
        <v>300</v>
      </c>
      <c r="D38" t="n">
        <v>300</v>
      </c>
      <c r="E38" t="n">
        <v>300</v>
      </c>
      <c r="F38" t="n">
        <v>300</v>
      </c>
      <c r="G38" t="n">
        <v>300</v>
      </c>
      <c r="H38" t="n">
        <v>300</v>
      </c>
      <c r="I38" t="n">
        <v>300</v>
      </c>
      <c r="J38" t="n">
        <v>300</v>
      </c>
      <c r="K38" t="n">
        <v>300</v>
      </c>
      <c r="L38" t="n">
        <v>300</v>
      </c>
      <c r="M38" t="n">
        <v>300</v>
      </c>
      <c r="N38" t="n">
        <v>300</v>
      </c>
      <c r="O38" t="n">
        <v>300</v>
      </c>
      <c r="P38" t="n">
        <v>300</v>
      </c>
      <c r="Q38" t="n">
        <v>300</v>
      </c>
      <c r="R38" t="n">
        <v>300</v>
      </c>
      <c r="S38" t="n">
        <v>300</v>
      </c>
      <c r="T38" t="n">
        <v>310</v>
      </c>
      <c r="U38" t="n">
        <v>310</v>
      </c>
      <c r="V38" t="n">
        <v>310</v>
      </c>
      <c r="W38" t="n">
        <v>310</v>
      </c>
      <c r="X38" t="n">
        <v>310</v>
      </c>
      <c r="Y38" t="n">
        <v>310</v>
      </c>
      <c r="Z38" t="n">
        <v>310</v>
      </c>
      <c r="AA38" t="n">
        <v>310</v>
      </c>
      <c r="AB38" t="n">
        <v>310</v>
      </c>
      <c r="AC38" t="n">
        <v>310</v>
      </c>
      <c r="AD38" t="n">
        <v>310</v>
      </c>
      <c r="AE38" t="n">
        <v>310</v>
      </c>
      <c r="AF38" t="n">
        <v>310</v>
      </c>
      <c r="AG38" t="n">
        <v>310</v>
      </c>
      <c r="AH38" t="n">
        <v>310</v>
      </c>
      <c r="AI38" t="n">
        <v>310</v>
      </c>
      <c r="AJ38" t="n">
        <v>315</v>
      </c>
      <c r="AK38" t="n">
        <v>315</v>
      </c>
      <c r="AL38" t="n">
        <v>315</v>
      </c>
      <c r="AM38" t="n">
        <v>315</v>
      </c>
      <c r="AN38" t="n">
        <v>315</v>
      </c>
      <c r="AO38" t="n">
        <v>315</v>
      </c>
      <c r="AP38" t="n">
        <v>315</v>
      </c>
      <c r="AQ38" t="n">
        <v>315</v>
      </c>
      <c r="AR38" t="n">
        <v>315</v>
      </c>
      <c r="AS38" t="n">
        <v>315</v>
      </c>
      <c r="AT38" t="n">
        <v>315</v>
      </c>
      <c r="AU38" t="n">
        <v>315</v>
      </c>
      <c r="AV38" t="n">
        <v>300</v>
      </c>
      <c r="AW38" t="n">
        <v>300</v>
      </c>
      <c r="AX38" t="n">
        <v>300</v>
      </c>
    </row>
    <row r="39">
      <c r="A39" t="inlineStr">
        <is>
          <t>PLTU PRATU #2</t>
        </is>
      </c>
      <c r="B39" t="n">
        <v>323</v>
      </c>
      <c r="C39" t="n">
        <v>300</v>
      </c>
      <c r="D39" t="n">
        <v>300</v>
      </c>
      <c r="E39" t="n">
        <v>300</v>
      </c>
      <c r="F39" t="n">
        <v>300</v>
      </c>
      <c r="G39" t="n">
        <v>300</v>
      </c>
      <c r="H39" t="n">
        <v>300</v>
      </c>
      <c r="I39" t="n">
        <v>300</v>
      </c>
      <c r="J39" t="n">
        <v>300</v>
      </c>
      <c r="K39" t="n">
        <v>300</v>
      </c>
      <c r="L39" t="n">
        <v>300</v>
      </c>
      <c r="M39" t="n">
        <v>300</v>
      </c>
      <c r="N39" t="n">
        <v>300</v>
      </c>
      <c r="O39" t="n">
        <v>300</v>
      </c>
      <c r="P39" t="n">
        <v>300</v>
      </c>
      <c r="Q39" t="n">
        <v>300</v>
      </c>
      <c r="R39" t="n">
        <v>300</v>
      </c>
      <c r="S39" t="n">
        <v>300</v>
      </c>
      <c r="T39" t="n">
        <v>310</v>
      </c>
      <c r="U39" t="n">
        <v>310</v>
      </c>
      <c r="V39" t="n">
        <v>310</v>
      </c>
      <c r="W39" t="n">
        <v>310</v>
      </c>
      <c r="X39" t="n">
        <v>310</v>
      </c>
      <c r="Y39" t="n">
        <v>310</v>
      </c>
      <c r="Z39" t="n">
        <v>310</v>
      </c>
      <c r="AA39" t="n">
        <v>310</v>
      </c>
      <c r="AB39" t="n">
        <v>310</v>
      </c>
      <c r="AC39" t="n">
        <v>310</v>
      </c>
      <c r="AD39" t="n">
        <v>310</v>
      </c>
      <c r="AE39" t="n">
        <v>310</v>
      </c>
      <c r="AF39" t="n">
        <v>310</v>
      </c>
      <c r="AG39" t="n">
        <v>310</v>
      </c>
      <c r="AH39" t="n">
        <v>310</v>
      </c>
      <c r="AI39" t="n">
        <v>310</v>
      </c>
      <c r="AJ39" t="n">
        <v>315</v>
      </c>
      <c r="AK39" t="n">
        <v>315</v>
      </c>
      <c r="AL39" t="n">
        <v>315</v>
      </c>
      <c r="AM39" t="n">
        <v>315</v>
      </c>
      <c r="AN39" t="n">
        <v>315</v>
      </c>
      <c r="AO39" t="n">
        <v>315</v>
      </c>
      <c r="AP39" t="n">
        <v>315</v>
      </c>
      <c r="AQ39" t="n">
        <v>315</v>
      </c>
      <c r="AR39" t="n">
        <v>315</v>
      </c>
      <c r="AS39" t="n">
        <v>315</v>
      </c>
      <c r="AT39" t="n">
        <v>315</v>
      </c>
      <c r="AU39" t="n">
        <v>315</v>
      </c>
      <c r="AV39" t="n">
        <v>300</v>
      </c>
      <c r="AW39" t="n">
        <v>300</v>
      </c>
      <c r="AX39" t="n">
        <v>300</v>
      </c>
    </row>
    <row r="40">
      <c r="A40" t="inlineStr">
        <is>
          <t>PLTU PRATU #3</t>
        </is>
      </c>
      <c r="B40" t="n">
        <v>323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135</v>
      </c>
      <c r="K40" t="n">
        <v>135</v>
      </c>
      <c r="L40" t="n">
        <v>135</v>
      </c>
      <c r="M40" t="n">
        <v>135</v>
      </c>
      <c r="N40" t="n">
        <v>135</v>
      </c>
      <c r="O40" t="n">
        <v>135</v>
      </c>
      <c r="P40" t="n">
        <v>135</v>
      </c>
      <c r="Q40" t="n">
        <v>135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  <c r="Z40" t="n">
        <v>135</v>
      </c>
      <c r="AA40" t="n">
        <v>135</v>
      </c>
      <c r="AB40" t="n">
        <v>135</v>
      </c>
      <c r="AC40" t="n">
        <v>135</v>
      </c>
      <c r="AD40" t="n">
        <v>135</v>
      </c>
      <c r="AE40" t="n">
        <v>135</v>
      </c>
      <c r="AF40" t="n">
        <v>135</v>
      </c>
      <c r="AG40" t="n">
        <v>135</v>
      </c>
      <c r="AH40" t="n">
        <v>135</v>
      </c>
      <c r="AI40" t="n">
        <v>135</v>
      </c>
      <c r="AJ40" t="n">
        <v>135</v>
      </c>
      <c r="AK40" t="n">
        <v>135</v>
      </c>
      <c r="AL40" t="n">
        <v>135</v>
      </c>
      <c r="AM40" t="n">
        <v>135</v>
      </c>
      <c r="AN40" t="n">
        <v>135</v>
      </c>
      <c r="AO40" t="n">
        <v>135</v>
      </c>
      <c r="AP40" t="n">
        <v>135</v>
      </c>
      <c r="AQ40" t="n">
        <v>135</v>
      </c>
      <c r="AR40" t="n">
        <v>135</v>
      </c>
      <c r="AS40" t="n">
        <v>135</v>
      </c>
      <c r="AT40" t="n">
        <v>135</v>
      </c>
      <c r="AU40" t="n">
        <v>135</v>
      </c>
      <c r="AV40" t="n">
        <v>135</v>
      </c>
      <c r="AW40" t="n">
        <v>135</v>
      </c>
      <c r="AX40" t="n">
        <v>135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PLTU LONTAR #1</t>
        </is>
      </c>
      <c r="B42" t="n">
        <v>280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inlineStr">
        <is>
          <t>PLTU LONTAR #2</t>
        </is>
      </c>
      <c r="B43" t="n">
        <v>280</v>
      </c>
      <c r="C43" t="n">
        <v>250</v>
      </c>
      <c r="D43" t="n">
        <v>250</v>
      </c>
      <c r="E43" t="n">
        <v>250</v>
      </c>
      <c r="F43" t="n">
        <v>250</v>
      </c>
      <c r="G43" t="n">
        <v>250</v>
      </c>
      <c r="H43" t="n">
        <v>250</v>
      </c>
      <c r="I43" t="n">
        <v>250</v>
      </c>
      <c r="J43" t="n">
        <v>250</v>
      </c>
      <c r="K43" t="n">
        <v>250</v>
      </c>
      <c r="L43" t="n">
        <v>250</v>
      </c>
      <c r="M43" t="n">
        <v>250</v>
      </c>
      <c r="N43" t="n">
        <v>260</v>
      </c>
      <c r="O43" t="n">
        <v>260</v>
      </c>
      <c r="P43" t="n">
        <v>275</v>
      </c>
      <c r="Q43" t="n">
        <v>275</v>
      </c>
      <c r="R43" t="n">
        <v>280</v>
      </c>
      <c r="S43" t="n">
        <v>280</v>
      </c>
      <c r="T43" t="n">
        <v>280</v>
      </c>
      <c r="U43" t="n">
        <v>280</v>
      </c>
      <c r="V43" t="n">
        <v>280</v>
      </c>
      <c r="W43" t="n">
        <v>280</v>
      </c>
      <c r="X43" t="n">
        <v>280</v>
      </c>
      <c r="Y43" t="n">
        <v>280</v>
      </c>
      <c r="Z43" t="n">
        <v>280</v>
      </c>
      <c r="AA43" t="n">
        <v>280</v>
      </c>
      <c r="AB43" t="n">
        <v>280</v>
      </c>
      <c r="AC43" t="n">
        <v>280</v>
      </c>
      <c r="AD43" t="n">
        <v>280</v>
      </c>
      <c r="AE43" t="n">
        <v>280</v>
      </c>
      <c r="AF43" t="n">
        <v>280</v>
      </c>
      <c r="AG43" t="n">
        <v>280</v>
      </c>
      <c r="AH43" t="n">
        <v>280</v>
      </c>
      <c r="AI43" t="n">
        <v>280</v>
      </c>
      <c r="AJ43" t="n">
        <v>280</v>
      </c>
      <c r="AK43" t="n">
        <v>280</v>
      </c>
      <c r="AL43" t="n">
        <v>280</v>
      </c>
      <c r="AM43" t="n">
        <v>280</v>
      </c>
      <c r="AN43" t="n">
        <v>280</v>
      </c>
      <c r="AO43" t="n">
        <v>280</v>
      </c>
      <c r="AP43" t="n">
        <v>280</v>
      </c>
      <c r="AQ43" t="n">
        <v>280</v>
      </c>
      <c r="AR43" t="n">
        <v>275</v>
      </c>
      <c r="AS43" t="n">
        <v>275</v>
      </c>
      <c r="AT43" t="n">
        <v>250</v>
      </c>
      <c r="AU43" t="n">
        <v>250</v>
      </c>
      <c r="AV43" t="n">
        <v>250</v>
      </c>
      <c r="AW43" t="n">
        <v>250</v>
      </c>
      <c r="AX43" t="n">
        <v>250</v>
      </c>
    </row>
    <row r="44">
      <c r="A44" t="inlineStr">
        <is>
          <t>PLTU LONTAR #3</t>
        </is>
      </c>
      <c r="B44" t="n">
        <v>280</v>
      </c>
      <c r="C44" t="n">
        <v>250</v>
      </c>
      <c r="D44" t="n">
        <v>250</v>
      </c>
      <c r="E44" t="n">
        <v>250</v>
      </c>
      <c r="F44" t="n">
        <v>250</v>
      </c>
      <c r="G44" t="n">
        <v>250</v>
      </c>
      <c r="H44" t="n">
        <v>250</v>
      </c>
      <c r="I44" t="n">
        <v>250</v>
      </c>
      <c r="J44" t="n">
        <v>250</v>
      </c>
      <c r="K44" t="n">
        <v>250</v>
      </c>
      <c r="L44" t="n">
        <v>250</v>
      </c>
      <c r="M44" t="n">
        <v>250</v>
      </c>
      <c r="N44" t="n">
        <v>260</v>
      </c>
      <c r="O44" t="n">
        <v>260</v>
      </c>
      <c r="P44" t="n">
        <v>275</v>
      </c>
      <c r="Q44" t="n">
        <v>275</v>
      </c>
      <c r="R44" t="n">
        <v>280</v>
      </c>
      <c r="S44" t="n">
        <v>280</v>
      </c>
      <c r="T44" t="n">
        <v>280</v>
      </c>
      <c r="U44" t="n">
        <v>280</v>
      </c>
      <c r="V44" t="n">
        <v>280</v>
      </c>
      <c r="W44" t="n">
        <v>280</v>
      </c>
      <c r="X44" t="n">
        <v>280</v>
      </c>
      <c r="Y44" t="n">
        <v>280</v>
      </c>
      <c r="Z44" t="n">
        <v>280</v>
      </c>
      <c r="AA44" t="n">
        <v>280</v>
      </c>
      <c r="AB44" t="n">
        <v>280</v>
      </c>
      <c r="AC44" t="n">
        <v>280</v>
      </c>
      <c r="AD44" t="n">
        <v>280</v>
      </c>
      <c r="AE44" t="n">
        <v>280</v>
      </c>
      <c r="AF44" t="n">
        <v>280</v>
      </c>
      <c r="AG44" t="n">
        <v>280</v>
      </c>
      <c r="AH44" t="n">
        <v>280</v>
      </c>
      <c r="AI44" t="n">
        <v>280</v>
      </c>
      <c r="AJ44" t="n">
        <v>280</v>
      </c>
      <c r="AK44" t="n">
        <v>280</v>
      </c>
      <c r="AL44" t="n">
        <v>280</v>
      </c>
      <c r="AM44" t="n">
        <v>280</v>
      </c>
      <c r="AN44" t="n">
        <v>280</v>
      </c>
      <c r="AO44" t="n">
        <v>280</v>
      </c>
      <c r="AP44" t="n">
        <v>280</v>
      </c>
      <c r="AQ44" t="n">
        <v>280</v>
      </c>
      <c r="AR44" t="n">
        <v>275</v>
      </c>
      <c r="AS44" t="n">
        <v>275</v>
      </c>
      <c r="AT44" t="n">
        <v>250</v>
      </c>
      <c r="AU44" t="n">
        <v>250</v>
      </c>
      <c r="AV44" t="n">
        <v>250</v>
      </c>
      <c r="AW44" t="n">
        <v>250</v>
      </c>
      <c r="AX44" t="n">
        <v>250</v>
      </c>
    </row>
    <row r="45">
      <c r="A45" t="inlineStr">
        <is>
          <t>PLTU LONTAR #4</t>
        </is>
      </c>
      <c r="B45" t="n">
        <v>293</v>
      </c>
      <c r="C45" t="n">
        <v>220</v>
      </c>
      <c r="D45" t="n">
        <v>220</v>
      </c>
      <c r="E45" t="n">
        <v>220</v>
      </c>
      <c r="F45" t="n">
        <v>220</v>
      </c>
      <c r="G45" t="n">
        <v>220</v>
      </c>
      <c r="H45" t="n">
        <v>220</v>
      </c>
      <c r="I45" t="n">
        <v>220</v>
      </c>
      <c r="J45" t="n">
        <v>220</v>
      </c>
      <c r="K45" t="n">
        <v>220</v>
      </c>
      <c r="L45" t="n">
        <v>220</v>
      </c>
      <c r="M45" t="n">
        <v>220</v>
      </c>
      <c r="N45" t="n">
        <v>220</v>
      </c>
      <c r="O45" t="n">
        <v>220</v>
      </c>
      <c r="P45" t="n">
        <v>220</v>
      </c>
      <c r="Q45" t="n">
        <v>220</v>
      </c>
      <c r="R45" t="n">
        <v>240</v>
      </c>
      <c r="S45" t="n">
        <v>240</v>
      </c>
      <c r="T45" t="n">
        <v>240</v>
      </c>
      <c r="U45" t="n">
        <v>240</v>
      </c>
      <c r="V45" t="n">
        <v>240</v>
      </c>
      <c r="W45" t="n">
        <v>240</v>
      </c>
      <c r="X45" t="n">
        <v>240</v>
      </c>
      <c r="Y45" t="n">
        <v>240</v>
      </c>
      <c r="Z45" t="n">
        <v>240</v>
      </c>
      <c r="AA45" t="n">
        <v>240</v>
      </c>
      <c r="AB45" t="n">
        <v>240</v>
      </c>
      <c r="AC45" t="n">
        <v>240</v>
      </c>
      <c r="AD45" t="n">
        <v>240</v>
      </c>
      <c r="AE45" t="n">
        <v>240</v>
      </c>
      <c r="AF45" t="n">
        <v>240</v>
      </c>
      <c r="AG45" t="n">
        <v>240</v>
      </c>
      <c r="AH45" t="n">
        <v>240</v>
      </c>
      <c r="AI45" t="n">
        <v>240</v>
      </c>
      <c r="AJ45" t="n">
        <v>240</v>
      </c>
      <c r="AK45" t="n">
        <v>240</v>
      </c>
      <c r="AL45" t="n">
        <v>240</v>
      </c>
      <c r="AM45" t="n">
        <v>240</v>
      </c>
      <c r="AN45" t="n">
        <v>240</v>
      </c>
      <c r="AO45" t="n">
        <v>240</v>
      </c>
      <c r="AP45" t="n">
        <v>240</v>
      </c>
      <c r="AQ45" t="n">
        <v>240</v>
      </c>
      <c r="AR45" t="n">
        <v>220</v>
      </c>
      <c r="AS45" t="n">
        <v>220</v>
      </c>
      <c r="AT45" t="n">
        <v>220</v>
      </c>
      <c r="AU45" t="n">
        <v>220</v>
      </c>
      <c r="AV45" t="n">
        <v>220</v>
      </c>
      <c r="AW45" t="n">
        <v>220</v>
      </c>
      <c r="AX45" t="n">
        <v>220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PLTU SRLYA #3</t>
        </is>
      </c>
      <c r="B47" t="n">
        <v>371.5</v>
      </c>
      <c r="C47" t="n">
        <v>200</v>
      </c>
      <c r="D47" t="n">
        <v>200</v>
      </c>
      <c r="E47" t="n">
        <v>200</v>
      </c>
      <c r="F47" t="n">
        <v>200</v>
      </c>
      <c r="G47" t="n">
        <v>200</v>
      </c>
      <c r="H47" t="n">
        <v>200</v>
      </c>
      <c r="I47" t="n">
        <v>200</v>
      </c>
      <c r="J47" t="n">
        <v>200</v>
      </c>
      <c r="K47" t="n">
        <v>200</v>
      </c>
      <c r="L47" t="n">
        <v>200</v>
      </c>
      <c r="M47" t="n">
        <v>200</v>
      </c>
      <c r="N47" t="n">
        <v>200</v>
      </c>
      <c r="O47" t="n">
        <v>200</v>
      </c>
      <c r="P47" t="n">
        <v>200</v>
      </c>
      <c r="Q47" t="n">
        <v>200</v>
      </c>
      <c r="R47" t="n">
        <v>200</v>
      </c>
      <c r="S47" t="n">
        <v>200</v>
      </c>
      <c r="T47" t="n">
        <v>284.2</v>
      </c>
      <c r="U47" t="n">
        <v>284.2</v>
      </c>
      <c r="V47" t="n">
        <v>284.2</v>
      </c>
      <c r="W47" t="n">
        <v>284.2</v>
      </c>
      <c r="X47" t="n">
        <v>284.2</v>
      </c>
      <c r="Y47" t="n">
        <v>284.2</v>
      </c>
      <c r="Z47" t="n">
        <v>284.2</v>
      </c>
      <c r="AA47" t="n">
        <v>284.2</v>
      </c>
      <c r="AB47" t="n">
        <v>284.2</v>
      </c>
      <c r="AC47" t="n">
        <v>284.2</v>
      </c>
      <c r="AD47" t="n">
        <v>284.2</v>
      </c>
      <c r="AE47" t="n">
        <v>284.2</v>
      </c>
      <c r="AF47" t="n">
        <v>284.2</v>
      </c>
      <c r="AG47" t="n">
        <v>284.2</v>
      </c>
      <c r="AH47" t="n">
        <v>284.2</v>
      </c>
      <c r="AI47" t="n">
        <v>284.2</v>
      </c>
      <c r="AJ47" t="n">
        <v>284.2</v>
      </c>
      <c r="AK47" t="n">
        <v>284.2</v>
      </c>
      <c r="AL47" t="n">
        <v>284.2</v>
      </c>
      <c r="AM47" t="n">
        <v>284.2</v>
      </c>
      <c r="AN47" t="n">
        <v>284.2</v>
      </c>
      <c r="AO47" t="n">
        <v>284.2</v>
      </c>
      <c r="AP47" t="n">
        <v>284.2</v>
      </c>
      <c r="AQ47" t="n">
        <v>284.2</v>
      </c>
      <c r="AR47" t="n">
        <v>284.2</v>
      </c>
      <c r="AS47" t="n">
        <v>200</v>
      </c>
      <c r="AT47" t="n">
        <v>200</v>
      </c>
      <c r="AU47" t="n">
        <v>200</v>
      </c>
      <c r="AV47" t="n">
        <v>200</v>
      </c>
      <c r="AW47" t="n">
        <v>200</v>
      </c>
      <c r="AX47" t="n">
        <v>200</v>
      </c>
    </row>
    <row r="48">
      <c r="A48" t="inlineStr"/>
      <c r="B48" t="inlineStr"/>
      <c r="C48" t="inlineStr">
        <is>
          <t>PT. PEMBANGKITAN JAWA-BALI</t>
        </is>
      </c>
      <c r="D48" t="inlineStr">
        <is>
          <t>PT. PEMBANGKITAN JAWA-BALI</t>
        </is>
      </c>
      <c r="E48" t="inlineStr">
        <is>
          <t>PT. PEMBANGKITAN JAWA-BALI</t>
        </is>
      </c>
      <c r="F48" t="inlineStr">
        <is>
          <t>PT. PEMBANGKITAN JAWA-BALI</t>
        </is>
      </c>
      <c r="G48" t="inlineStr">
        <is>
          <t>PT. PEMBANGKITAN JAWA-BALI</t>
        </is>
      </c>
      <c r="H48" t="inlineStr">
        <is>
          <t>PT. PEMBANGKITAN JAWA-BALI</t>
        </is>
      </c>
      <c r="I48" t="inlineStr">
        <is>
          <t>PT. PEMBANGKITAN JAWA-BALI</t>
        </is>
      </c>
      <c r="J48" t="inlineStr">
        <is>
          <t>PT. PEMBANGKITAN JAWA-BALI</t>
        </is>
      </c>
      <c r="K48" t="inlineStr">
        <is>
          <t>PT. PEMBANGKITAN JAWA-BALI</t>
        </is>
      </c>
      <c r="L48" t="inlineStr">
        <is>
          <t>PT. PEMBANGKITAN JAWA-BALI</t>
        </is>
      </c>
      <c r="M48" t="inlineStr">
        <is>
          <t>PT. PEMBANGKITAN JAWA-BALI</t>
        </is>
      </c>
      <c r="N48" t="inlineStr">
        <is>
          <t>PT. PEMBANGKITAN JAWA-BALI</t>
        </is>
      </c>
      <c r="O48" t="inlineStr">
        <is>
          <t>PT. PEMBANGKITAN JAWA-BALI</t>
        </is>
      </c>
      <c r="P48" t="inlineStr">
        <is>
          <t>PT. PEMBANGKITAN JAWA-BALI</t>
        </is>
      </c>
      <c r="Q48" t="inlineStr">
        <is>
          <t>PT. PEMBANGKITAN JAWA-BALI</t>
        </is>
      </c>
      <c r="R48" t="inlineStr">
        <is>
          <t>PT. PEMBANGKITAN JAWA-BALI</t>
        </is>
      </c>
      <c r="S48" t="inlineStr">
        <is>
          <t>PT. PEMBANGKITAN JAWA-BALI</t>
        </is>
      </c>
      <c r="T48" t="inlineStr">
        <is>
          <t>PT. PEMBANGKITAN JAWA-BALI</t>
        </is>
      </c>
      <c r="U48" t="inlineStr">
        <is>
          <t>PT. PEMBANGKITAN JAWA-BALI</t>
        </is>
      </c>
      <c r="V48" t="inlineStr">
        <is>
          <t>PT. PEMBANGKITAN JAWA-BALI</t>
        </is>
      </c>
      <c r="W48" t="inlineStr">
        <is>
          <t>PT. PEMBANGKITAN JAWA-BALI</t>
        </is>
      </c>
      <c r="X48" t="inlineStr">
        <is>
          <t>PT. PEMBANGKITAN JAWA-BALI</t>
        </is>
      </c>
      <c r="Y48" t="inlineStr">
        <is>
          <t>PT. PEMBANGKITAN JAWA-BALI</t>
        </is>
      </c>
      <c r="Z48" t="inlineStr">
        <is>
          <t>PT. PEMBANGKITAN JAWA-BALI</t>
        </is>
      </c>
      <c r="AA48" t="inlineStr">
        <is>
          <t>PT. PEMBANGKITAN JAWA-BALI</t>
        </is>
      </c>
      <c r="AB48" t="inlineStr">
        <is>
          <t>PT. PEMBANGKITAN JAWA-BALI</t>
        </is>
      </c>
      <c r="AC48" t="inlineStr">
        <is>
          <t>PT. PEMBANGKITAN JAWA-BALI</t>
        </is>
      </c>
      <c r="AD48" t="inlineStr">
        <is>
          <t>PT. PEMBANGKITAN JAWA-BALI</t>
        </is>
      </c>
      <c r="AE48" t="inlineStr">
        <is>
          <t>PT. PEMBANGKITAN JAWA-BALI</t>
        </is>
      </c>
      <c r="AF48" t="inlineStr">
        <is>
          <t>PT. PEMBANGKITAN JAWA-BALI</t>
        </is>
      </c>
      <c r="AG48" t="inlineStr">
        <is>
          <t>PT. PEMBANGKITAN JAWA-BALI</t>
        </is>
      </c>
      <c r="AH48" t="inlineStr">
        <is>
          <t>PT. PEMBANGKITAN JAWA-BALI</t>
        </is>
      </c>
      <c r="AI48" t="inlineStr">
        <is>
          <t>PT. PEMBANGKITAN JAWA-BALI</t>
        </is>
      </c>
      <c r="AJ48" t="inlineStr">
        <is>
          <t>PT. PEMBANGKITAN JAWA-BALI</t>
        </is>
      </c>
      <c r="AK48" t="inlineStr">
        <is>
          <t>PT. PEMBANGKITAN JAWA-BALI</t>
        </is>
      </c>
      <c r="AL48" t="inlineStr">
        <is>
          <t>PT. PEMBANGKITAN JAWA-BALI</t>
        </is>
      </c>
      <c r="AM48" t="inlineStr">
        <is>
          <t>PT. PEMBANGKITAN JAWA-BALI</t>
        </is>
      </c>
      <c r="AN48" t="inlineStr">
        <is>
          <t>PT. PEMBANGKITAN JAWA-BALI</t>
        </is>
      </c>
      <c r="AO48" t="inlineStr">
        <is>
          <t>PT. PEMBANGKITAN JAWA-BALI</t>
        </is>
      </c>
      <c r="AP48" t="inlineStr">
        <is>
          <t>PT. PEMBANGKITAN JAWA-BALI</t>
        </is>
      </c>
      <c r="AQ48" t="inlineStr">
        <is>
          <t>PT. PEMBANGKITAN JAWA-BALI</t>
        </is>
      </c>
      <c r="AR48" t="inlineStr">
        <is>
          <t>PT. PEMBANGKITAN JAWA-BALI</t>
        </is>
      </c>
      <c r="AS48" t="inlineStr">
        <is>
          <t>PT. PEMBANGKITAN JAWA-BALI</t>
        </is>
      </c>
      <c r="AT48" t="inlineStr">
        <is>
          <t>PT. PEMBANGKITAN JAWA-BALI</t>
        </is>
      </c>
      <c r="AU48" t="inlineStr">
        <is>
          <t>PT. PEMBANGKITAN JAWA-BALI</t>
        </is>
      </c>
      <c r="AV48" t="inlineStr">
        <is>
          <t>PT. PEMBANGKITAN JAWA-BALI</t>
        </is>
      </c>
      <c r="AW48" t="inlineStr">
        <is>
          <t>PT. PEMBANGKITAN JAWA-BALI</t>
        </is>
      </c>
      <c r="AX48" t="inlineStr">
        <is>
          <t>PT. PEMBANGKITAN JAWA-BALI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PLTU MKRNG #4</t>
        </is>
      </c>
      <c r="B50" t="n">
        <v>162</v>
      </c>
      <c r="C50" t="n">
        <v>90</v>
      </c>
      <c r="D50" t="n">
        <v>90</v>
      </c>
      <c r="E50" t="n">
        <v>90</v>
      </c>
      <c r="F50" t="n">
        <v>90</v>
      </c>
      <c r="G50" t="n">
        <v>90</v>
      </c>
      <c r="H50" t="n">
        <v>90</v>
      </c>
      <c r="I50" t="n">
        <v>90</v>
      </c>
      <c r="J50" t="n">
        <v>90</v>
      </c>
      <c r="K50" t="n">
        <v>90</v>
      </c>
      <c r="L50" t="n">
        <v>90</v>
      </c>
      <c r="M50" t="n">
        <v>90</v>
      </c>
      <c r="N50" t="n">
        <v>90</v>
      </c>
      <c r="O50" t="n">
        <v>90</v>
      </c>
      <c r="P50" t="n">
        <v>90</v>
      </c>
      <c r="Q50" t="n">
        <v>90</v>
      </c>
      <c r="R50" t="n">
        <v>90</v>
      </c>
      <c r="S50" t="n">
        <v>90</v>
      </c>
      <c r="T50" t="n">
        <v>90</v>
      </c>
      <c r="U50" t="n">
        <v>90</v>
      </c>
      <c r="V50" t="n">
        <v>90</v>
      </c>
      <c r="W50" t="n">
        <v>90</v>
      </c>
      <c r="X50" t="n">
        <v>90</v>
      </c>
      <c r="Y50" t="n">
        <v>90</v>
      </c>
      <c r="Z50" t="n">
        <v>90</v>
      </c>
      <c r="AA50" t="n">
        <v>90</v>
      </c>
      <c r="AB50" t="n">
        <v>90</v>
      </c>
      <c r="AC50" t="n">
        <v>90</v>
      </c>
      <c r="AD50" t="n">
        <v>90</v>
      </c>
      <c r="AE50" t="n">
        <v>90</v>
      </c>
      <c r="AF50" t="n">
        <v>90</v>
      </c>
      <c r="AG50" t="n">
        <v>90</v>
      </c>
      <c r="AH50" t="n">
        <v>90</v>
      </c>
      <c r="AI50" t="n">
        <v>90</v>
      </c>
      <c r="AJ50" t="n">
        <v>90</v>
      </c>
      <c r="AK50" t="n">
        <v>90</v>
      </c>
      <c r="AL50" t="n">
        <v>90</v>
      </c>
      <c r="AM50" t="n">
        <v>90</v>
      </c>
      <c r="AN50" t="n">
        <v>90</v>
      </c>
      <c r="AO50" t="n">
        <v>90</v>
      </c>
      <c r="AP50" t="n">
        <v>90</v>
      </c>
      <c r="AQ50" t="n">
        <v>90</v>
      </c>
      <c r="AR50" t="n">
        <v>90</v>
      </c>
      <c r="AS50" t="n">
        <v>90</v>
      </c>
      <c r="AT50" t="n">
        <v>90</v>
      </c>
      <c r="AU50" t="n">
        <v>90</v>
      </c>
      <c r="AV50" t="n">
        <v>90</v>
      </c>
      <c r="AW50" t="n">
        <v>90</v>
      </c>
      <c r="AX50" t="n">
        <v>90</v>
      </c>
    </row>
    <row r="51">
      <c r="A51" t="inlineStr">
        <is>
          <t>PLTU MKRNG #5</t>
        </is>
      </c>
      <c r="B51" t="n">
        <v>162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PLTGU MKRNG #1</t>
        </is>
      </c>
      <c r="B53" t="inlineStr"/>
      <c r="C53" t="n">
        <v>122.28</v>
      </c>
      <c r="D53" t="n">
        <v>122.28</v>
      </c>
      <c r="E53" t="n">
        <v>122.28</v>
      </c>
      <c r="F53" t="n">
        <v>122.28</v>
      </c>
      <c r="G53" t="n">
        <v>122.28</v>
      </c>
      <c r="H53" t="n">
        <v>122.28</v>
      </c>
      <c r="I53" t="n">
        <v>122.28</v>
      </c>
      <c r="J53" t="n">
        <v>122.28</v>
      </c>
      <c r="K53" t="n">
        <v>122.28</v>
      </c>
      <c r="L53" t="n">
        <v>122.28</v>
      </c>
      <c r="M53" t="n">
        <v>122.28</v>
      </c>
      <c r="N53" t="n">
        <v>122.28</v>
      </c>
      <c r="O53" t="n">
        <v>122.28</v>
      </c>
      <c r="P53" t="n">
        <v>122.28</v>
      </c>
      <c r="Q53" t="n">
        <v>151.25</v>
      </c>
      <c r="R53" t="n">
        <v>187.57</v>
      </c>
      <c r="S53" t="n">
        <v>187.57</v>
      </c>
      <c r="T53" t="n">
        <v>245.04</v>
      </c>
      <c r="U53" t="n">
        <v>281.36</v>
      </c>
      <c r="V53" t="n">
        <v>281.36</v>
      </c>
      <c r="W53" t="n">
        <v>281.36</v>
      </c>
      <c r="X53" t="n">
        <v>281.36</v>
      </c>
      <c r="Y53" t="n">
        <v>281.36</v>
      </c>
      <c r="Z53" t="n">
        <v>281.36</v>
      </c>
      <c r="AA53" t="n">
        <v>281.36</v>
      </c>
      <c r="AB53" t="n">
        <v>281.36</v>
      </c>
      <c r="AC53" t="n">
        <v>281.36</v>
      </c>
      <c r="AD53" t="n">
        <v>281.36</v>
      </c>
      <c r="AE53" t="n">
        <v>281.36</v>
      </c>
      <c r="AF53" t="n">
        <v>281.36</v>
      </c>
      <c r="AG53" t="n">
        <v>281.36</v>
      </c>
      <c r="AH53" t="n">
        <v>281.36</v>
      </c>
      <c r="AI53" t="n">
        <v>281.36</v>
      </c>
      <c r="AJ53" t="n">
        <v>281.36</v>
      </c>
      <c r="AK53" t="n">
        <v>281.36</v>
      </c>
      <c r="AL53" t="n">
        <v>310.21</v>
      </c>
      <c r="AM53" t="n">
        <v>281.36</v>
      </c>
      <c r="AN53" t="n">
        <v>281.36</v>
      </c>
      <c r="AO53" t="n">
        <v>281.36</v>
      </c>
      <c r="AP53" t="n">
        <v>270.72</v>
      </c>
      <c r="AQ53" t="n">
        <v>187.57</v>
      </c>
      <c r="AR53" t="n">
        <v>176.94</v>
      </c>
      <c r="AS53" t="n">
        <v>122.28</v>
      </c>
      <c r="AT53" t="n">
        <v>122.28</v>
      </c>
      <c r="AU53" t="n">
        <v>122.28</v>
      </c>
      <c r="AV53" t="n">
        <v>122.28</v>
      </c>
      <c r="AW53" t="n">
        <v>122.28</v>
      </c>
      <c r="AX53" t="n">
        <v>122.28</v>
      </c>
    </row>
    <row r="54">
      <c r="A54" t="inlineStr">
        <is>
          <t>PLTGU MKRNG #2</t>
        </is>
      </c>
      <c r="B54" t="inlineStr"/>
      <c r="C54" t="n">
        <v>180.85</v>
      </c>
      <c r="D54" t="n">
        <v>180.85</v>
      </c>
      <c r="E54" t="n">
        <v>180.85</v>
      </c>
      <c r="F54" t="n">
        <v>180.85</v>
      </c>
      <c r="G54" t="n">
        <v>180.85</v>
      </c>
      <c r="H54" t="n">
        <v>180.85</v>
      </c>
      <c r="I54" t="n">
        <v>180.85</v>
      </c>
      <c r="J54" t="n">
        <v>180.85</v>
      </c>
      <c r="K54" t="n">
        <v>180.85</v>
      </c>
      <c r="L54" t="n">
        <v>180.85</v>
      </c>
      <c r="M54" t="n">
        <v>180.85</v>
      </c>
      <c r="N54" t="n">
        <v>180.85</v>
      </c>
      <c r="O54" t="n">
        <v>180.85</v>
      </c>
      <c r="P54" t="n">
        <v>180.85</v>
      </c>
      <c r="Q54" t="n">
        <v>180.97</v>
      </c>
      <c r="R54" t="n">
        <v>180.85</v>
      </c>
      <c r="S54" t="n">
        <v>180.85</v>
      </c>
      <c r="T54" t="n">
        <v>180.85</v>
      </c>
      <c r="U54" t="n">
        <v>180.85</v>
      </c>
      <c r="V54" t="n">
        <v>184.66</v>
      </c>
      <c r="W54" t="n">
        <v>230.43</v>
      </c>
      <c r="X54" t="n">
        <v>248.24</v>
      </c>
      <c r="Y54" t="n">
        <v>202.67</v>
      </c>
      <c r="Z54" t="n">
        <v>186.46</v>
      </c>
      <c r="AA54" t="n">
        <v>182.1</v>
      </c>
      <c r="AB54" t="n">
        <v>221.23</v>
      </c>
      <c r="AC54" t="n">
        <v>258.82</v>
      </c>
      <c r="AD54" t="n">
        <v>326.34</v>
      </c>
      <c r="AE54" t="n">
        <v>280.9</v>
      </c>
      <c r="AF54" t="n">
        <v>322.06</v>
      </c>
      <c r="AG54" t="n">
        <v>251.74</v>
      </c>
      <c r="AH54" t="n">
        <v>251.74</v>
      </c>
      <c r="AI54" t="n">
        <v>180.85</v>
      </c>
      <c r="AJ54" t="n">
        <v>180.85</v>
      </c>
      <c r="AK54" t="n">
        <v>180.85</v>
      </c>
      <c r="AL54" t="n">
        <v>340</v>
      </c>
      <c r="AM54" t="n">
        <v>321.51</v>
      </c>
      <c r="AN54" t="n">
        <v>251.74</v>
      </c>
      <c r="AO54" t="n">
        <v>251.74</v>
      </c>
      <c r="AP54" t="n">
        <v>251.74</v>
      </c>
      <c r="AQ54" t="n">
        <v>251.74</v>
      </c>
      <c r="AR54" t="n">
        <v>196.45</v>
      </c>
      <c r="AS54" t="n">
        <v>251.74</v>
      </c>
      <c r="AT54" t="n">
        <v>251.74</v>
      </c>
      <c r="AU54" t="n">
        <v>251.74</v>
      </c>
      <c r="AV54" t="n">
        <v>225.17</v>
      </c>
      <c r="AW54" t="n">
        <v>183.73</v>
      </c>
      <c r="AX54" t="n">
        <v>249.33</v>
      </c>
    </row>
    <row r="55">
      <c r="A55" t="inlineStr">
        <is>
          <t>PLTGU MKRNG #3 .0</t>
        </is>
      </c>
      <c r="B55" t="n">
        <v>165</v>
      </c>
      <c r="C55" t="n">
        <v>82.5</v>
      </c>
      <c r="D55" t="n">
        <v>82.5</v>
      </c>
      <c r="E55" t="n">
        <v>82.5</v>
      </c>
      <c r="F55" t="n">
        <v>82.5</v>
      </c>
      <c r="G55" t="n">
        <v>82.5</v>
      </c>
      <c r="H55" t="n">
        <v>82.5</v>
      </c>
      <c r="I55" t="n">
        <v>82.5</v>
      </c>
      <c r="J55" t="n">
        <v>82.5</v>
      </c>
      <c r="K55" t="n">
        <v>82.5</v>
      </c>
      <c r="L55" t="n">
        <v>82.5</v>
      </c>
      <c r="M55" t="n">
        <v>82.5</v>
      </c>
      <c r="N55" t="n">
        <v>82.5</v>
      </c>
      <c r="O55" t="n">
        <v>82.5</v>
      </c>
      <c r="P55" t="n">
        <v>82.5</v>
      </c>
      <c r="Q55" t="n">
        <v>90.22</v>
      </c>
      <c r="R55" t="n">
        <v>119.76</v>
      </c>
      <c r="S55" t="n">
        <v>165</v>
      </c>
      <c r="T55" t="n">
        <v>165</v>
      </c>
      <c r="U55" t="n">
        <v>165</v>
      </c>
      <c r="V55" t="n">
        <v>165</v>
      </c>
      <c r="W55" t="n">
        <v>165</v>
      </c>
      <c r="X55" t="n">
        <v>165</v>
      </c>
      <c r="Y55" t="n">
        <v>165</v>
      </c>
      <c r="Z55" t="n">
        <v>165</v>
      </c>
      <c r="AA55" t="n">
        <v>165</v>
      </c>
      <c r="AB55" t="n">
        <v>165</v>
      </c>
      <c r="AC55" t="n">
        <v>165</v>
      </c>
      <c r="AD55" t="n">
        <v>165</v>
      </c>
      <c r="AE55" t="n">
        <v>165</v>
      </c>
      <c r="AF55" t="n">
        <v>165</v>
      </c>
      <c r="AG55" t="n">
        <v>165</v>
      </c>
      <c r="AH55" t="n">
        <v>165</v>
      </c>
      <c r="AI55" t="n">
        <v>165</v>
      </c>
      <c r="AJ55" t="n">
        <v>165</v>
      </c>
      <c r="AK55" t="n">
        <v>165</v>
      </c>
      <c r="AL55" t="n">
        <v>165</v>
      </c>
      <c r="AM55" t="n">
        <v>165</v>
      </c>
      <c r="AN55" t="n">
        <v>165</v>
      </c>
      <c r="AO55" t="n">
        <v>165</v>
      </c>
      <c r="AP55" t="n">
        <v>165</v>
      </c>
      <c r="AQ55" t="n">
        <v>165</v>
      </c>
      <c r="AR55" t="n">
        <v>165</v>
      </c>
      <c r="AS55" t="n">
        <v>165</v>
      </c>
      <c r="AT55" t="n">
        <v>165</v>
      </c>
      <c r="AU55" t="n">
        <v>165</v>
      </c>
      <c r="AV55" t="n">
        <v>165</v>
      </c>
      <c r="AW55" t="n">
        <v>88.88</v>
      </c>
      <c r="AX55" t="n">
        <v>165</v>
      </c>
    </row>
    <row r="56">
      <c r="A56" t="inlineStr">
        <is>
          <t>PLTGU MKRNG #3 .1</t>
        </is>
      </c>
      <c r="B56" t="n">
        <v>330</v>
      </c>
      <c r="C56" t="n">
        <v>165</v>
      </c>
      <c r="D56" t="n">
        <v>165</v>
      </c>
      <c r="E56" t="n">
        <v>165</v>
      </c>
      <c r="F56" t="n">
        <v>165</v>
      </c>
      <c r="G56" t="n">
        <v>165</v>
      </c>
      <c r="H56" t="n">
        <v>165</v>
      </c>
      <c r="I56" t="n">
        <v>165</v>
      </c>
      <c r="J56" t="n">
        <v>165</v>
      </c>
      <c r="K56" t="n">
        <v>165</v>
      </c>
      <c r="L56" t="n">
        <v>165</v>
      </c>
      <c r="M56" t="n">
        <v>165</v>
      </c>
      <c r="N56" t="n">
        <v>165</v>
      </c>
      <c r="O56" t="n">
        <v>165</v>
      </c>
      <c r="P56" t="n">
        <v>165</v>
      </c>
      <c r="Q56" t="n">
        <v>180.45</v>
      </c>
      <c r="R56" t="n">
        <v>239.53</v>
      </c>
      <c r="S56" t="n">
        <v>330</v>
      </c>
      <c r="T56" t="n">
        <v>330</v>
      </c>
      <c r="U56" t="n">
        <v>330</v>
      </c>
      <c r="V56" t="n">
        <v>330</v>
      </c>
      <c r="W56" t="n">
        <v>330</v>
      </c>
      <c r="X56" t="n">
        <v>330</v>
      </c>
      <c r="Y56" t="n">
        <v>330</v>
      </c>
      <c r="Z56" t="n">
        <v>330</v>
      </c>
      <c r="AA56" t="n">
        <v>330</v>
      </c>
      <c r="AB56" t="n">
        <v>330</v>
      </c>
      <c r="AC56" t="n">
        <v>330</v>
      </c>
      <c r="AD56" t="n">
        <v>330</v>
      </c>
      <c r="AE56" t="n">
        <v>330</v>
      </c>
      <c r="AF56" t="n">
        <v>330</v>
      </c>
      <c r="AG56" t="n">
        <v>330</v>
      </c>
      <c r="AH56" t="n">
        <v>330</v>
      </c>
      <c r="AI56" t="n">
        <v>330</v>
      </c>
      <c r="AJ56" t="n">
        <v>330</v>
      </c>
      <c r="AK56" t="n">
        <v>330</v>
      </c>
      <c r="AL56" t="n">
        <v>330</v>
      </c>
      <c r="AM56" t="n">
        <v>330</v>
      </c>
      <c r="AN56" t="n">
        <v>330</v>
      </c>
      <c r="AO56" t="n">
        <v>330</v>
      </c>
      <c r="AP56" t="n">
        <v>330</v>
      </c>
      <c r="AQ56" t="n">
        <v>330</v>
      </c>
      <c r="AR56" t="n">
        <v>330</v>
      </c>
      <c r="AS56" t="n">
        <v>330</v>
      </c>
      <c r="AT56" t="n">
        <v>330</v>
      </c>
      <c r="AU56" t="n">
        <v>330</v>
      </c>
      <c r="AV56" t="n">
        <v>330</v>
      </c>
      <c r="AW56" t="n">
        <v>177.76</v>
      </c>
      <c r="AX56" t="n">
        <v>330</v>
      </c>
    </row>
    <row r="57">
      <c r="A57" t="inlineStr"/>
      <c r="B57" t="inlineStr"/>
      <c r="C57" t="inlineStr">
        <is>
          <t>IPP</t>
        </is>
      </c>
      <c r="D57" t="inlineStr">
        <is>
          <t>IPP</t>
        </is>
      </c>
      <c r="E57" t="inlineStr">
        <is>
          <t>IPP</t>
        </is>
      </c>
      <c r="F57" t="inlineStr">
        <is>
          <t>IPP</t>
        </is>
      </c>
      <c r="G57" t="inlineStr">
        <is>
          <t>IPP</t>
        </is>
      </c>
      <c r="H57" t="inlineStr">
        <is>
          <t>IPP</t>
        </is>
      </c>
      <c r="I57" t="inlineStr">
        <is>
          <t>IPP</t>
        </is>
      </c>
      <c r="J57" t="inlineStr">
        <is>
          <t>IPP</t>
        </is>
      </c>
      <c r="K57" t="inlineStr">
        <is>
          <t>IPP</t>
        </is>
      </c>
      <c r="L57" t="inlineStr">
        <is>
          <t>IPP</t>
        </is>
      </c>
      <c r="M57" t="inlineStr">
        <is>
          <t>IPP</t>
        </is>
      </c>
      <c r="N57" t="inlineStr">
        <is>
          <t>IPP</t>
        </is>
      </c>
      <c r="O57" t="inlineStr">
        <is>
          <t>IPP</t>
        </is>
      </c>
      <c r="P57" t="inlineStr">
        <is>
          <t>IPP</t>
        </is>
      </c>
      <c r="Q57" t="inlineStr">
        <is>
          <t>IPP</t>
        </is>
      </c>
      <c r="R57" t="inlineStr">
        <is>
          <t>IPP</t>
        </is>
      </c>
      <c r="S57" t="inlineStr">
        <is>
          <t>IPP</t>
        </is>
      </c>
      <c r="T57" t="inlineStr">
        <is>
          <t>IPP</t>
        </is>
      </c>
      <c r="U57" t="inlineStr">
        <is>
          <t>IPP</t>
        </is>
      </c>
      <c r="V57" t="inlineStr">
        <is>
          <t>IPP</t>
        </is>
      </c>
      <c r="W57" t="inlineStr">
        <is>
          <t>IPP</t>
        </is>
      </c>
      <c r="X57" t="inlineStr">
        <is>
          <t>IPP</t>
        </is>
      </c>
      <c r="Y57" t="inlineStr">
        <is>
          <t>IPP</t>
        </is>
      </c>
      <c r="Z57" t="inlineStr">
        <is>
          <t>IPP</t>
        </is>
      </c>
      <c r="AA57" t="inlineStr">
        <is>
          <t>IPP</t>
        </is>
      </c>
      <c r="AB57" t="inlineStr">
        <is>
          <t>IPP</t>
        </is>
      </c>
      <c r="AC57" t="inlineStr">
        <is>
          <t>IPP</t>
        </is>
      </c>
      <c r="AD57" t="inlineStr">
        <is>
          <t>IPP</t>
        </is>
      </c>
      <c r="AE57" t="inlineStr">
        <is>
          <t>IPP</t>
        </is>
      </c>
      <c r="AF57" t="inlineStr">
        <is>
          <t>IPP</t>
        </is>
      </c>
      <c r="AG57" t="inlineStr">
        <is>
          <t>IPP</t>
        </is>
      </c>
      <c r="AH57" t="inlineStr">
        <is>
          <t>IPP</t>
        </is>
      </c>
      <c r="AI57" t="inlineStr">
        <is>
          <t>IPP</t>
        </is>
      </c>
      <c r="AJ57" t="inlineStr">
        <is>
          <t>IPP</t>
        </is>
      </c>
      <c r="AK57" t="inlineStr">
        <is>
          <t>IPP</t>
        </is>
      </c>
      <c r="AL57" t="inlineStr">
        <is>
          <t>IPP</t>
        </is>
      </c>
      <c r="AM57" t="inlineStr">
        <is>
          <t>IPP</t>
        </is>
      </c>
      <c r="AN57" t="inlineStr">
        <is>
          <t>IPP</t>
        </is>
      </c>
      <c r="AO57" t="inlineStr">
        <is>
          <t>IPP</t>
        </is>
      </c>
      <c r="AP57" t="inlineStr">
        <is>
          <t>IPP</t>
        </is>
      </c>
      <c r="AQ57" t="inlineStr">
        <is>
          <t>IPP</t>
        </is>
      </c>
      <c r="AR57" t="inlineStr">
        <is>
          <t>IPP</t>
        </is>
      </c>
      <c r="AS57" t="inlineStr">
        <is>
          <t>IPP</t>
        </is>
      </c>
      <c r="AT57" t="inlineStr">
        <is>
          <t>IPP</t>
        </is>
      </c>
      <c r="AU57" t="inlineStr">
        <is>
          <t>IPP</t>
        </is>
      </c>
      <c r="AV57" t="inlineStr">
        <is>
          <t>IPP</t>
        </is>
      </c>
      <c r="AW57" t="inlineStr">
        <is>
          <t>IPP</t>
        </is>
      </c>
      <c r="AX57" t="inlineStr">
        <is>
          <t>IPP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PLTP SALAK</t>
        </is>
      </c>
      <c r="B59" t="inlineStr"/>
      <c r="C59" t="n">
        <v>188.19</v>
      </c>
      <c r="D59" t="n">
        <v>188.19</v>
      </c>
      <c r="E59" t="n">
        <v>188.19</v>
      </c>
      <c r="F59" t="n">
        <v>188.19</v>
      </c>
      <c r="G59" t="n">
        <v>188.19</v>
      </c>
      <c r="H59" t="n">
        <v>188.19</v>
      </c>
      <c r="I59" t="n">
        <v>188.19</v>
      </c>
      <c r="J59" t="n">
        <v>188.19</v>
      </c>
      <c r="K59" t="n">
        <v>188.19</v>
      </c>
      <c r="L59" t="n">
        <v>188.19</v>
      </c>
      <c r="M59" t="n">
        <v>188.19</v>
      </c>
      <c r="N59" t="n">
        <v>188.19</v>
      </c>
      <c r="O59" t="n">
        <v>188.19</v>
      </c>
      <c r="P59" t="n">
        <v>188.19</v>
      </c>
      <c r="Q59" t="n">
        <v>188.19</v>
      </c>
      <c r="R59" t="n">
        <v>188.19</v>
      </c>
      <c r="S59" t="n">
        <v>188.19</v>
      </c>
      <c r="T59" t="n">
        <v>188.19</v>
      </c>
      <c r="U59" t="n">
        <v>188.19</v>
      </c>
      <c r="V59" t="n">
        <v>188.19</v>
      </c>
      <c r="W59" t="n">
        <v>188.19</v>
      </c>
      <c r="X59" t="n">
        <v>188.19</v>
      </c>
      <c r="Y59" t="n">
        <v>188.19</v>
      </c>
      <c r="Z59" t="n">
        <v>188.19</v>
      </c>
      <c r="AA59" t="n">
        <v>188.19</v>
      </c>
      <c r="AB59" t="n">
        <v>188.19</v>
      </c>
      <c r="AC59" t="n">
        <v>188.19</v>
      </c>
      <c r="AD59" t="n">
        <v>188.19</v>
      </c>
      <c r="AE59" t="n">
        <v>188.19</v>
      </c>
      <c r="AF59" t="n">
        <v>188.19</v>
      </c>
      <c r="AG59" t="n">
        <v>188.19</v>
      </c>
      <c r="AH59" t="n">
        <v>188.19</v>
      </c>
      <c r="AI59" t="n">
        <v>188.19</v>
      </c>
      <c r="AJ59" t="n">
        <v>188.19</v>
      </c>
      <c r="AK59" t="n">
        <v>188.19</v>
      </c>
      <c r="AL59" t="n">
        <v>208.77</v>
      </c>
      <c r="AM59" t="n">
        <v>188.19</v>
      </c>
      <c r="AN59" t="n">
        <v>188.19</v>
      </c>
      <c r="AO59" t="n">
        <v>188.19</v>
      </c>
      <c r="AP59" t="n">
        <v>188.19</v>
      </c>
      <c r="AQ59" t="n">
        <v>188.19</v>
      </c>
      <c r="AR59" t="n">
        <v>188.19</v>
      </c>
      <c r="AS59" t="n">
        <v>188.19</v>
      </c>
      <c r="AT59" t="n">
        <v>188.19</v>
      </c>
      <c r="AU59" t="n">
        <v>188.19</v>
      </c>
      <c r="AV59" t="n">
        <v>188.19</v>
      </c>
      <c r="AW59" t="n">
        <v>188.19</v>
      </c>
      <c r="AX59" t="n">
        <v>188.19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PLTU KDL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PLTU LBE #1</t>
        </is>
      </c>
      <c r="B63" t="n">
        <v>625</v>
      </c>
      <c r="C63" t="n">
        <v>612.5</v>
      </c>
      <c r="D63" t="n">
        <v>612.5</v>
      </c>
      <c r="E63" t="n">
        <v>612.5</v>
      </c>
      <c r="F63" t="n">
        <v>612.5</v>
      </c>
      <c r="G63" t="n">
        <v>612.5</v>
      </c>
      <c r="H63" t="n">
        <v>612.5</v>
      </c>
      <c r="I63" t="n">
        <v>612.5</v>
      </c>
      <c r="J63" t="n">
        <v>612.5</v>
      </c>
      <c r="K63" t="n">
        <v>612.5</v>
      </c>
      <c r="L63" t="n">
        <v>612.5</v>
      </c>
      <c r="M63" t="n">
        <v>612.5</v>
      </c>
      <c r="N63" t="n">
        <v>612.5</v>
      </c>
      <c r="O63" t="n">
        <v>612.5</v>
      </c>
      <c r="P63" t="n">
        <v>612.5</v>
      </c>
      <c r="Q63" t="n">
        <v>612.5</v>
      </c>
      <c r="R63" t="n">
        <v>612.5</v>
      </c>
      <c r="S63" t="n">
        <v>612.5</v>
      </c>
      <c r="T63" t="n">
        <v>612.5</v>
      </c>
      <c r="U63" t="n">
        <v>612.5</v>
      </c>
      <c r="V63" t="n">
        <v>612.5</v>
      </c>
      <c r="W63" t="n">
        <v>612.5</v>
      </c>
      <c r="X63" t="n">
        <v>612.5</v>
      </c>
      <c r="Y63" t="n">
        <v>612.5</v>
      </c>
      <c r="Z63" t="n">
        <v>612.5</v>
      </c>
      <c r="AA63" t="n">
        <v>612.5</v>
      </c>
      <c r="AB63" t="n">
        <v>612.5</v>
      </c>
      <c r="AC63" t="n">
        <v>612.5</v>
      </c>
      <c r="AD63" t="n">
        <v>612.5</v>
      </c>
      <c r="AE63" t="n">
        <v>612.5</v>
      </c>
      <c r="AF63" t="n">
        <v>612.5</v>
      </c>
      <c r="AG63" t="n">
        <v>612.5</v>
      </c>
      <c r="AH63" t="n">
        <v>612.5</v>
      </c>
      <c r="AI63" t="n">
        <v>612.5</v>
      </c>
      <c r="AJ63" t="n">
        <v>612.5</v>
      </c>
      <c r="AK63" t="n">
        <v>612.5</v>
      </c>
      <c r="AL63" t="n">
        <v>612.5</v>
      </c>
      <c r="AM63" t="n">
        <v>612.5</v>
      </c>
      <c r="AN63" t="n">
        <v>612.5</v>
      </c>
      <c r="AO63" t="n">
        <v>612.5</v>
      </c>
      <c r="AP63" t="n">
        <v>612.5</v>
      </c>
      <c r="AQ63" t="n">
        <v>612.5</v>
      </c>
      <c r="AR63" t="n">
        <v>612.5</v>
      </c>
      <c r="AS63" t="n">
        <v>612.5</v>
      </c>
      <c r="AT63" t="n">
        <v>612.5</v>
      </c>
      <c r="AU63" t="n">
        <v>612.5</v>
      </c>
      <c r="AV63" t="n">
        <v>612.5</v>
      </c>
      <c r="AW63" t="n">
        <v>612.5</v>
      </c>
      <c r="AX63" t="n">
        <v>612.5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PLTU JAWA 7 #1</t>
        </is>
      </c>
      <c r="B65" t="n">
        <v>991</v>
      </c>
      <c r="C65" t="n">
        <v>691.9</v>
      </c>
      <c r="D65" t="n">
        <v>766.09</v>
      </c>
      <c r="E65" t="n">
        <v>722.05</v>
      </c>
      <c r="F65" t="n">
        <v>572.05</v>
      </c>
      <c r="G65" t="n">
        <v>594.6</v>
      </c>
      <c r="H65" t="n">
        <v>463.25</v>
      </c>
      <c r="I65" t="n">
        <v>470.16</v>
      </c>
      <c r="J65" t="n">
        <v>587.0599999999999</v>
      </c>
      <c r="K65" t="n">
        <v>737.0599999999999</v>
      </c>
      <c r="L65" t="n">
        <v>792.8</v>
      </c>
      <c r="M65" t="n">
        <v>901.6</v>
      </c>
      <c r="N65" t="n">
        <v>901.6</v>
      </c>
      <c r="O65" t="n">
        <v>883.42</v>
      </c>
      <c r="P65" t="n">
        <v>751.6</v>
      </c>
      <c r="Q65" t="n">
        <v>901.6</v>
      </c>
      <c r="R65" t="n">
        <v>901.6</v>
      </c>
      <c r="S65" t="n">
        <v>901.6</v>
      </c>
      <c r="T65" t="n">
        <v>901.6</v>
      </c>
      <c r="U65" t="n">
        <v>901.6</v>
      </c>
      <c r="V65" t="n">
        <v>901.6</v>
      </c>
      <c r="W65" t="n">
        <v>901.6</v>
      </c>
      <c r="X65" t="n">
        <v>901.6</v>
      </c>
      <c r="Y65" t="n">
        <v>901.6</v>
      </c>
      <c r="Z65" t="n">
        <v>901.6</v>
      </c>
      <c r="AA65" t="n">
        <v>901.6</v>
      </c>
      <c r="AB65" t="n">
        <v>901.6</v>
      </c>
      <c r="AC65" t="n">
        <v>901.6</v>
      </c>
      <c r="AD65" t="n">
        <v>901.6</v>
      </c>
      <c r="AE65" t="n">
        <v>901.6</v>
      </c>
      <c r="AF65" t="n">
        <v>901.6</v>
      </c>
      <c r="AG65" t="n">
        <v>901.6</v>
      </c>
      <c r="AH65" t="n">
        <v>901.6</v>
      </c>
      <c r="AI65" t="n">
        <v>901.6</v>
      </c>
      <c r="AJ65" t="n">
        <v>901.6</v>
      </c>
      <c r="AK65" t="n">
        <v>901.6</v>
      </c>
      <c r="AL65" t="n">
        <v>901.6</v>
      </c>
      <c r="AM65" t="n">
        <v>901.6</v>
      </c>
      <c r="AN65" t="n">
        <v>901.6</v>
      </c>
      <c r="AO65" t="n">
        <v>901.6</v>
      </c>
      <c r="AP65" t="n">
        <v>901.6</v>
      </c>
      <c r="AQ65" t="n">
        <v>901.6</v>
      </c>
      <c r="AR65" t="n">
        <v>901.6</v>
      </c>
      <c r="AS65" t="n">
        <v>901.6</v>
      </c>
      <c r="AT65" t="n">
        <v>901.6</v>
      </c>
      <c r="AU65" t="n">
        <v>901.6</v>
      </c>
      <c r="AV65" t="n">
        <v>901.6</v>
      </c>
      <c r="AW65" t="n">
        <v>901.6</v>
      </c>
      <c r="AX65" t="n">
        <v>901.6</v>
      </c>
    </row>
    <row r="66">
      <c r="A66" t="inlineStr">
        <is>
          <t>PLTU JAWA 7 #2</t>
        </is>
      </c>
      <c r="B66" t="n">
        <v>991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PLTU JAWA #09</t>
        </is>
      </c>
      <c r="B68" t="n">
        <v>1000</v>
      </c>
      <c r="C68" t="n">
        <v>980</v>
      </c>
      <c r="D68" t="n">
        <v>980</v>
      </c>
      <c r="E68" t="n">
        <v>980</v>
      </c>
      <c r="F68" t="n">
        <v>980</v>
      </c>
      <c r="G68" t="n">
        <v>980</v>
      </c>
      <c r="H68" t="n">
        <v>980</v>
      </c>
      <c r="I68" t="n">
        <v>980</v>
      </c>
      <c r="J68" t="n">
        <v>980</v>
      </c>
      <c r="K68" t="n">
        <v>980</v>
      </c>
      <c r="L68" t="n">
        <v>980</v>
      </c>
      <c r="M68" t="n">
        <v>980</v>
      </c>
      <c r="N68" t="n">
        <v>980</v>
      </c>
      <c r="O68" t="n">
        <v>980</v>
      </c>
      <c r="P68" t="n">
        <v>980</v>
      </c>
      <c r="Q68" t="n">
        <v>980</v>
      </c>
      <c r="R68" t="n">
        <v>980</v>
      </c>
      <c r="S68" t="n">
        <v>980</v>
      </c>
      <c r="T68" t="n">
        <v>980</v>
      </c>
      <c r="U68" t="n">
        <v>980</v>
      </c>
      <c r="V68" t="n">
        <v>980</v>
      </c>
      <c r="W68" t="n">
        <v>980</v>
      </c>
      <c r="X68" t="n">
        <v>980</v>
      </c>
      <c r="Y68" t="n">
        <v>980</v>
      </c>
      <c r="Z68" t="n">
        <v>980</v>
      </c>
      <c r="AA68" t="n">
        <v>980</v>
      </c>
      <c r="AB68" t="n">
        <v>980</v>
      </c>
      <c r="AC68" t="n">
        <v>980</v>
      </c>
      <c r="AD68" t="n">
        <v>980</v>
      </c>
      <c r="AE68" t="n">
        <v>980</v>
      </c>
      <c r="AF68" t="n">
        <v>980</v>
      </c>
      <c r="AG68" t="n">
        <v>980</v>
      </c>
      <c r="AH68" t="n">
        <v>980</v>
      </c>
      <c r="AI68" t="n">
        <v>980</v>
      </c>
      <c r="AJ68" t="n">
        <v>980</v>
      </c>
      <c r="AK68" t="n">
        <v>980</v>
      </c>
      <c r="AL68" t="n">
        <v>980</v>
      </c>
      <c r="AM68" t="n">
        <v>980</v>
      </c>
      <c r="AN68" t="n">
        <v>980</v>
      </c>
      <c r="AO68" t="n">
        <v>980</v>
      </c>
      <c r="AP68" t="n">
        <v>980</v>
      </c>
      <c r="AQ68" t="n">
        <v>980</v>
      </c>
      <c r="AR68" t="n">
        <v>980</v>
      </c>
      <c r="AS68" t="n">
        <v>980</v>
      </c>
      <c r="AT68" t="n">
        <v>980</v>
      </c>
      <c r="AU68" t="n">
        <v>980</v>
      </c>
      <c r="AV68" t="n">
        <v>980</v>
      </c>
      <c r="AW68" t="n">
        <v>980</v>
      </c>
      <c r="AX68" t="n">
        <v>980</v>
      </c>
    </row>
    <row r="69">
      <c r="A69" t="inlineStr">
        <is>
          <t>PLTU JAWA #10</t>
        </is>
      </c>
      <c r="B69" t="n">
        <v>1000</v>
      </c>
      <c r="C69" t="n">
        <v>980</v>
      </c>
      <c r="D69" t="n">
        <v>980</v>
      </c>
      <c r="E69" t="n">
        <v>980</v>
      </c>
      <c r="F69" t="n">
        <v>980</v>
      </c>
      <c r="G69" t="n">
        <v>980</v>
      </c>
      <c r="H69" t="n">
        <v>980</v>
      </c>
      <c r="I69" t="n">
        <v>980</v>
      </c>
      <c r="J69" t="n">
        <v>980</v>
      </c>
      <c r="K69" t="n">
        <v>980</v>
      </c>
      <c r="L69" t="n">
        <v>980</v>
      </c>
      <c r="M69" t="n">
        <v>980</v>
      </c>
      <c r="N69" t="n">
        <v>980</v>
      </c>
      <c r="O69" t="n">
        <v>980</v>
      </c>
      <c r="P69" t="n">
        <v>980</v>
      </c>
      <c r="Q69" t="n">
        <v>980</v>
      </c>
      <c r="R69" t="n">
        <v>980</v>
      </c>
      <c r="S69" t="n">
        <v>980</v>
      </c>
      <c r="T69" t="n">
        <v>980</v>
      </c>
      <c r="U69" t="n">
        <v>980</v>
      </c>
      <c r="V69" t="n">
        <v>980</v>
      </c>
      <c r="W69" t="n">
        <v>980</v>
      </c>
      <c r="X69" t="n">
        <v>980</v>
      </c>
      <c r="Y69" t="n">
        <v>980</v>
      </c>
      <c r="Z69" t="n">
        <v>980</v>
      </c>
      <c r="AA69" t="n">
        <v>980</v>
      </c>
      <c r="AB69" t="n">
        <v>980</v>
      </c>
      <c r="AC69" t="n">
        <v>980</v>
      </c>
      <c r="AD69" t="n">
        <v>980</v>
      </c>
      <c r="AE69" t="n">
        <v>980</v>
      </c>
      <c r="AF69" t="n">
        <v>980</v>
      </c>
      <c r="AG69" t="n">
        <v>980</v>
      </c>
      <c r="AH69" t="n">
        <v>980</v>
      </c>
      <c r="AI69" t="n">
        <v>980</v>
      </c>
      <c r="AJ69" t="n">
        <v>980</v>
      </c>
      <c r="AK69" t="n">
        <v>980</v>
      </c>
      <c r="AL69" t="n">
        <v>980</v>
      </c>
      <c r="AM69" t="n">
        <v>980</v>
      </c>
      <c r="AN69" t="n">
        <v>980</v>
      </c>
      <c r="AO69" t="n">
        <v>980</v>
      </c>
      <c r="AP69" t="n">
        <v>980</v>
      </c>
      <c r="AQ69" t="n">
        <v>980</v>
      </c>
      <c r="AR69" t="n">
        <v>980</v>
      </c>
      <c r="AS69" t="n">
        <v>980</v>
      </c>
      <c r="AT69" t="n">
        <v>980</v>
      </c>
      <c r="AU69" t="n">
        <v>980</v>
      </c>
      <c r="AV69" t="n">
        <v>980</v>
      </c>
      <c r="AW69" t="n">
        <v>980</v>
      </c>
      <c r="AX69" t="n">
        <v>980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</row>
    <row r="71">
      <c r="A71" t="inlineStr">
        <is>
          <t>PLTP SALAK BINARY</t>
        </is>
      </c>
      <c r="B71" t="n">
        <v>14.48911</v>
      </c>
      <c r="C71" t="n">
        <v>14.49</v>
      </c>
      <c r="D71" t="n">
        <v>14.49</v>
      </c>
      <c r="E71" t="n">
        <v>14.49</v>
      </c>
      <c r="F71" t="n">
        <v>14.49</v>
      </c>
      <c r="G71" t="n">
        <v>14.49</v>
      </c>
      <c r="H71" t="n">
        <v>14.49</v>
      </c>
      <c r="I71" t="n">
        <v>14.49</v>
      </c>
      <c r="J71" t="n">
        <v>14.49</v>
      </c>
      <c r="K71" t="n">
        <v>14.49</v>
      </c>
      <c r="L71" t="n">
        <v>14.49</v>
      </c>
      <c r="M71" t="n">
        <v>14.49</v>
      </c>
      <c r="N71" t="n">
        <v>14.49</v>
      </c>
      <c r="O71" t="n">
        <v>14.49</v>
      </c>
      <c r="P71" t="n">
        <v>14.49</v>
      </c>
      <c r="Q71" t="n">
        <v>14.49</v>
      </c>
      <c r="R71" t="n">
        <v>14.49</v>
      </c>
      <c r="S71" t="n">
        <v>14.49</v>
      </c>
      <c r="T71" t="n">
        <v>14.49</v>
      </c>
      <c r="U71" t="n">
        <v>14.49</v>
      </c>
      <c r="V71" t="n">
        <v>14.49</v>
      </c>
      <c r="W71" t="n">
        <v>14.49</v>
      </c>
      <c r="X71" t="n">
        <v>14.49</v>
      </c>
      <c r="Y71" t="n">
        <v>14.49</v>
      </c>
      <c r="Z71" t="n">
        <v>14.49</v>
      </c>
      <c r="AA71" t="n">
        <v>14.49</v>
      </c>
      <c r="AB71" t="n">
        <v>14.49</v>
      </c>
      <c r="AC71" t="n">
        <v>14.49</v>
      </c>
      <c r="AD71" t="n">
        <v>14.49</v>
      </c>
      <c r="AE71" t="n">
        <v>14.49</v>
      </c>
      <c r="AF71" t="n">
        <v>14.49</v>
      </c>
      <c r="AG71" t="n">
        <v>14.49</v>
      </c>
      <c r="AH71" t="n">
        <v>14.49</v>
      </c>
      <c r="AI71" t="n">
        <v>14.49</v>
      </c>
      <c r="AJ71" t="n">
        <v>14.49</v>
      </c>
      <c r="AK71" t="n">
        <v>14.49</v>
      </c>
      <c r="AL71" t="n">
        <v>14.49</v>
      </c>
      <c r="AM71" t="n">
        <v>14.49</v>
      </c>
      <c r="AN71" t="n">
        <v>14.49</v>
      </c>
      <c r="AO71" t="n">
        <v>14.49</v>
      </c>
      <c r="AP71" t="n">
        <v>14.49</v>
      </c>
      <c r="AQ71" t="n">
        <v>14.49</v>
      </c>
      <c r="AR71" t="n">
        <v>14.49</v>
      </c>
      <c r="AS71" t="n">
        <v>14.49</v>
      </c>
      <c r="AT71" t="n">
        <v>14.49</v>
      </c>
      <c r="AU71" t="n">
        <v>14.49</v>
      </c>
      <c r="AV71" t="n">
        <v>14.49</v>
      </c>
      <c r="AW71" t="n">
        <v>14.49</v>
      </c>
      <c r="AX71" t="n">
        <v>14.49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</row>
    <row r="73">
      <c r="A73" t="inlineStr">
        <is>
          <t>Pembangkitan Area</t>
        </is>
      </c>
      <c r="B73" t="inlineStr"/>
      <c r="C73" t="n">
        <v>9709.860000000001</v>
      </c>
      <c r="D73" t="n">
        <v>9783.049999999999</v>
      </c>
      <c r="E73" t="n">
        <v>9739.01</v>
      </c>
      <c r="F73" t="n">
        <v>9589.01</v>
      </c>
      <c r="G73" t="n">
        <v>9611.559999999999</v>
      </c>
      <c r="H73" t="n">
        <v>9480.209999999999</v>
      </c>
      <c r="I73" t="n">
        <v>9487.120000000001</v>
      </c>
      <c r="J73" t="n">
        <v>9604.02</v>
      </c>
      <c r="K73" t="n">
        <v>9754.02</v>
      </c>
      <c r="L73" t="n">
        <v>9809.76</v>
      </c>
      <c r="M73" t="n">
        <v>9918.559999999999</v>
      </c>
      <c r="N73" t="n">
        <v>10013.71</v>
      </c>
      <c r="O73" t="n">
        <v>10023.58</v>
      </c>
      <c r="P73" t="n">
        <v>10162.66</v>
      </c>
      <c r="Q73" t="n">
        <v>10334.92</v>
      </c>
      <c r="R73" t="n">
        <v>10584.71</v>
      </c>
      <c r="S73" t="n">
        <v>10750.42</v>
      </c>
      <c r="T73" t="n">
        <v>11533.85</v>
      </c>
      <c r="U73" t="n">
        <v>11649.49</v>
      </c>
      <c r="V73" t="n">
        <v>11694.43</v>
      </c>
      <c r="W73" t="n">
        <v>11774.5</v>
      </c>
      <c r="X73" t="n">
        <v>11812.01</v>
      </c>
      <c r="Y73" t="n">
        <v>11754.72</v>
      </c>
      <c r="Z73" t="n">
        <v>11727.11</v>
      </c>
      <c r="AA73" t="n">
        <v>11704.74</v>
      </c>
      <c r="AB73" t="n">
        <v>11839.9</v>
      </c>
      <c r="AC73" t="n">
        <v>11933.35</v>
      </c>
      <c r="AD73" t="n">
        <v>12008.18</v>
      </c>
      <c r="AE73" t="n">
        <v>11969.62</v>
      </c>
      <c r="AF73" t="n">
        <v>12011.63</v>
      </c>
      <c r="AG73" t="n">
        <v>11930.08</v>
      </c>
      <c r="AH73" t="n">
        <v>11856.57</v>
      </c>
      <c r="AI73" t="n">
        <v>11752.54</v>
      </c>
      <c r="AJ73" t="n">
        <v>11729.96</v>
      </c>
      <c r="AK73" t="n">
        <v>11660.49</v>
      </c>
      <c r="AL73" t="n">
        <v>12141.67</v>
      </c>
      <c r="AM73" t="n">
        <v>11932.38</v>
      </c>
      <c r="AN73" t="n">
        <v>11775.29</v>
      </c>
      <c r="AO73" t="n">
        <v>11730.98</v>
      </c>
      <c r="AP73" t="n">
        <v>11673.33</v>
      </c>
      <c r="AQ73" t="n">
        <v>11602.5</v>
      </c>
      <c r="AR73" t="n">
        <v>11348.44</v>
      </c>
      <c r="AS73" t="n">
        <v>10749.39</v>
      </c>
      <c r="AT73" t="n">
        <v>10636.45</v>
      </c>
      <c r="AU73" t="n">
        <v>10556.77</v>
      </c>
      <c r="AV73" t="n">
        <v>10381.67</v>
      </c>
      <c r="AW73" t="n">
        <v>10129.47</v>
      </c>
      <c r="AX73" t="n">
        <v>10374.32</v>
      </c>
    </row>
    <row r="74">
      <c r="A74" t="inlineStr">
        <is>
          <t>Beban Area</t>
        </is>
      </c>
      <c r="B74" t="inlineStr"/>
      <c r="C74" t="n">
        <v>9627.719999999999</v>
      </c>
      <c r="D74" t="n">
        <v>9554.219999999999</v>
      </c>
      <c r="E74" t="n">
        <v>9379.469999999999</v>
      </c>
      <c r="F74" t="n">
        <v>9315.41</v>
      </c>
      <c r="G74" t="n">
        <v>9278.709999999999</v>
      </c>
      <c r="H74" t="n">
        <v>9173.48</v>
      </c>
      <c r="I74" t="n">
        <v>9124.92</v>
      </c>
      <c r="J74" t="n">
        <v>9117.17</v>
      </c>
      <c r="K74" t="n">
        <v>9232.92</v>
      </c>
      <c r="L74" t="n">
        <v>9455.65</v>
      </c>
      <c r="M74" t="n">
        <v>9709.84</v>
      </c>
      <c r="N74" t="n">
        <v>9740.34</v>
      </c>
      <c r="O74" t="n">
        <v>9858.58</v>
      </c>
      <c r="P74" t="n">
        <v>10092.41</v>
      </c>
      <c r="Q74" t="n">
        <v>10617.84</v>
      </c>
      <c r="R74" t="n">
        <v>11001.62</v>
      </c>
      <c r="S74" t="n">
        <v>11589.52</v>
      </c>
      <c r="T74" t="n">
        <v>11831.24</v>
      </c>
      <c r="U74" t="n">
        <v>12113</v>
      </c>
      <c r="V74" t="n">
        <v>12231.54</v>
      </c>
      <c r="W74" t="n">
        <v>12419.21</v>
      </c>
      <c r="X74" t="n">
        <v>12491.09</v>
      </c>
      <c r="Y74" t="n">
        <v>12450.63</v>
      </c>
      <c r="Z74" t="n">
        <v>12235.68</v>
      </c>
      <c r="AA74" t="n">
        <v>12167.96</v>
      </c>
      <c r="AB74" t="n">
        <v>12488.41</v>
      </c>
      <c r="AC74" t="n">
        <v>13026.51</v>
      </c>
      <c r="AD74" t="n">
        <v>12968.77</v>
      </c>
      <c r="AE74" t="n">
        <v>12992.34</v>
      </c>
      <c r="AF74" t="n">
        <v>12992.49</v>
      </c>
      <c r="AG74" t="n">
        <v>12980.97</v>
      </c>
      <c r="AH74" t="n">
        <v>12774.52</v>
      </c>
      <c r="AI74" t="n">
        <v>12644.29</v>
      </c>
      <c r="AJ74" t="n">
        <v>12447.18</v>
      </c>
      <c r="AK74" t="n">
        <v>12274.48</v>
      </c>
      <c r="AL74" t="n">
        <v>12493.19</v>
      </c>
      <c r="AM74" t="n">
        <v>12456.84</v>
      </c>
      <c r="AN74" t="n">
        <v>12306.78</v>
      </c>
      <c r="AO74" t="n">
        <v>12312.34</v>
      </c>
      <c r="AP74" t="n">
        <v>12197.25</v>
      </c>
      <c r="AQ74" t="n">
        <v>12115.22</v>
      </c>
      <c r="AR74" t="n">
        <v>12007.13</v>
      </c>
      <c r="AS74" t="n">
        <v>11923.24</v>
      </c>
      <c r="AT74" t="n">
        <v>11747.13</v>
      </c>
      <c r="AU74" t="n">
        <v>11438.12</v>
      </c>
      <c r="AV74" t="n">
        <v>11064.55</v>
      </c>
      <c r="AW74" t="n">
        <v>10975.04</v>
      </c>
      <c r="AX74" t="n">
        <v>10719.6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</row>
    <row r="76">
      <c r="A76" t="inlineStr">
        <is>
          <t>RJBR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</row>
    <row r="77">
      <c r="A77" t="inlineStr"/>
      <c r="B77" t="inlineStr"/>
      <c r="C77" t="inlineStr">
        <is>
          <t>PT. INDONESIA POWER</t>
        </is>
      </c>
      <c r="D77" t="inlineStr">
        <is>
          <t>PT. INDONESIA POWER</t>
        </is>
      </c>
      <c r="E77" t="inlineStr">
        <is>
          <t>PT. INDONESIA POWER</t>
        </is>
      </c>
      <c r="F77" t="inlineStr">
        <is>
          <t>PT. INDONESIA POWER</t>
        </is>
      </c>
      <c r="G77" t="inlineStr">
        <is>
          <t>PT. INDONESIA POWER</t>
        </is>
      </c>
      <c r="H77" t="inlineStr">
        <is>
          <t>PT. INDONESIA POWER</t>
        </is>
      </c>
      <c r="I77" t="inlineStr">
        <is>
          <t>PT. INDONESIA POWER</t>
        </is>
      </c>
      <c r="J77" t="inlineStr">
        <is>
          <t>PT. INDONESIA POWER</t>
        </is>
      </c>
      <c r="K77" t="inlineStr">
        <is>
          <t>PT. INDONESIA POWER</t>
        </is>
      </c>
      <c r="L77" t="inlineStr">
        <is>
          <t>PT. INDONESIA POWER</t>
        </is>
      </c>
      <c r="M77" t="inlineStr">
        <is>
          <t>PT. INDONESIA POWER</t>
        </is>
      </c>
      <c r="N77" t="inlineStr">
        <is>
          <t>PT. INDONESIA POWER</t>
        </is>
      </c>
      <c r="O77" t="inlineStr">
        <is>
          <t>PT. INDONESIA POWER</t>
        </is>
      </c>
      <c r="P77" t="inlineStr">
        <is>
          <t>PT. INDONESIA POWER</t>
        </is>
      </c>
      <c r="Q77" t="inlineStr">
        <is>
          <t>PT. INDONESIA POWER</t>
        </is>
      </c>
      <c r="R77" t="inlineStr">
        <is>
          <t>PT. INDONESIA POWER</t>
        </is>
      </c>
      <c r="S77" t="inlineStr">
        <is>
          <t>PT. INDONESIA POWER</t>
        </is>
      </c>
      <c r="T77" t="inlineStr">
        <is>
          <t>PT. INDONESIA POWER</t>
        </is>
      </c>
      <c r="U77" t="inlineStr">
        <is>
          <t>PT. INDONESIA POWER</t>
        </is>
      </c>
      <c r="V77" t="inlineStr">
        <is>
          <t>PT. INDONESIA POWER</t>
        </is>
      </c>
      <c r="W77" t="inlineStr">
        <is>
          <t>PT. INDONESIA POWER</t>
        </is>
      </c>
      <c r="X77" t="inlineStr">
        <is>
          <t>PT. INDONESIA POWER</t>
        </is>
      </c>
      <c r="Y77" t="inlineStr">
        <is>
          <t>PT. INDONESIA POWER</t>
        </is>
      </c>
      <c r="Z77" t="inlineStr">
        <is>
          <t>PT. INDONESIA POWER</t>
        </is>
      </c>
      <c r="AA77" t="inlineStr">
        <is>
          <t>PT. INDONESIA POWER</t>
        </is>
      </c>
      <c r="AB77" t="inlineStr">
        <is>
          <t>PT. INDONESIA POWER</t>
        </is>
      </c>
      <c r="AC77" t="inlineStr">
        <is>
          <t>PT. INDONESIA POWER</t>
        </is>
      </c>
      <c r="AD77" t="inlineStr">
        <is>
          <t>PT. INDONESIA POWER</t>
        </is>
      </c>
      <c r="AE77" t="inlineStr">
        <is>
          <t>PT. INDONESIA POWER</t>
        </is>
      </c>
      <c r="AF77" t="inlineStr">
        <is>
          <t>PT. INDONESIA POWER</t>
        </is>
      </c>
      <c r="AG77" t="inlineStr">
        <is>
          <t>PT. INDONESIA POWER</t>
        </is>
      </c>
      <c r="AH77" t="inlineStr">
        <is>
          <t>PT. INDONESIA POWER</t>
        </is>
      </c>
      <c r="AI77" t="inlineStr">
        <is>
          <t>PT. INDONESIA POWER</t>
        </is>
      </c>
      <c r="AJ77" t="inlineStr">
        <is>
          <t>PT. INDONESIA POWER</t>
        </is>
      </c>
      <c r="AK77" t="inlineStr">
        <is>
          <t>PT. INDONESIA POWER</t>
        </is>
      </c>
      <c r="AL77" t="inlineStr">
        <is>
          <t>PT. INDONESIA POWER</t>
        </is>
      </c>
      <c r="AM77" t="inlineStr">
        <is>
          <t>PT. INDONESIA POWER</t>
        </is>
      </c>
      <c r="AN77" t="inlineStr">
        <is>
          <t>PT. INDONESIA POWER</t>
        </is>
      </c>
      <c r="AO77" t="inlineStr">
        <is>
          <t>PT. INDONESIA POWER</t>
        </is>
      </c>
      <c r="AP77" t="inlineStr">
        <is>
          <t>PT. INDONESIA POWER</t>
        </is>
      </c>
      <c r="AQ77" t="inlineStr">
        <is>
          <t>PT. INDONESIA POWER</t>
        </is>
      </c>
      <c r="AR77" t="inlineStr">
        <is>
          <t>PT. INDONESIA POWER</t>
        </is>
      </c>
      <c r="AS77" t="inlineStr">
        <is>
          <t>PT. INDONESIA POWER</t>
        </is>
      </c>
      <c r="AT77" t="inlineStr">
        <is>
          <t>PT. INDONESIA POWER</t>
        </is>
      </c>
      <c r="AU77" t="inlineStr">
        <is>
          <t>PT. INDONESIA POWER</t>
        </is>
      </c>
      <c r="AV77" t="inlineStr">
        <is>
          <t>PT. INDONESIA POWER</t>
        </is>
      </c>
      <c r="AW77" t="inlineStr">
        <is>
          <t>PT. INDONESIA POWER</t>
        </is>
      </c>
      <c r="AX77" t="inlineStr">
        <is>
          <t>PT. INDONESIA POWER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</row>
    <row r="79">
      <c r="A79" t="inlineStr">
        <is>
          <t>PLTA Region 2</t>
        </is>
      </c>
      <c r="B79" t="inlineStr"/>
      <c r="C79" t="n">
        <v>17</v>
      </c>
      <c r="D79" t="n">
        <v>17</v>
      </c>
      <c r="E79" t="n">
        <v>17</v>
      </c>
      <c r="F79" t="n">
        <v>17</v>
      </c>
      <c r="G79" t="n">
        <v>17</v>
      </c>
      <c r="H79" t="n">
        <v>17</v>
      </c>
      <c r="I79" t="n">
        <v>17</v>
      </c>
      <c r="J79" t="n">
        <v>17</v>
      </c>
      <c r="K79" t="n">
        <v>18</v>
      </c>
      <c r="L79" t="n">
        <v>18</v>
      </c>
      <c r="M79" t="n">
        <v>18</v>
      </c>
      <c r="N79" t="n">
        <v>18</v>
      </c>
      <c r="O79" t="n">
        <v>19</v>
      </c>
      <c r="P79" t="n">
        <v>19</v>
      </c>
      <c r="Q79" t="n">
        <v>19</v>
      </c>
      <c r="R79" t="n">
        <v>19</v>
      </c>
      <c r="S79" t="n">
        <v>19</v>
      </c>
      <c r="T79" t="n">
        <v>19</v>
      </c>
      <c r="U79" t="n">
        <v>19</v>
      </c>
      <c r="V79" t="n">
        <v>19</v>
      </c>
      <c r="W79" t="n">
        <v>19</v>
      </c>
      <c r="X79" t="n">
        <v>19</v>
      </c>
      <c r="Y79" t="n">
        <v>19</v>
      </c>
      <c r="Z79" t="n">
        <v>19</v>
      </c>
      <c r="AA79" t="n">
        <v>19</v>
      </c>
      <c r="AB79" t="n">
        <v>19</v>
      </c>
      <c r="AC79" t="n">
        <v>19</v>
      </c>
      <c r="AD79" t="n">
        <v>19</v>
      </c>
      <c r="AE79" t="n">
        <v>21</v>
      </c>
      <c r="AF79" t="n">
        <v>17</v>
      </c>
      <c r="AG79" t="n">
        <v>17</v>
      </c>
      <c r="AH79" t="n">
        <v>14</v>
      </c>
      <c r="AI79" t="n">
        <v>14</v>
      </c>
      <c r="AJ79" t="n">
        <v>14</v>
      </c>
      <c r="AK79" t="n">
        <v>14</v>
      </c>
      <c r="AL79" t="n">
        <v>14</v>
      </c>
      <c r="AM79" t="n">
        <v>14</v>
      </c>
      <c r="AN79" t="n">
        <v>14</v>
      </c>
      <c r="AO79" t="n">
        <v>14</v>
      </c>
      <c r="AP79" t="n">
        <v>14</v>
      </c>
      <c r="AQ79" t="n">
        <v>14</v>
      </c>
      <c r="AR79" t="n">
        <v>17</v>
      </c>
      <c r="AS79" t="n">
        <v>17</v>
      </c>
      <c r="AT79" t="n">
        <v>17</v>
      </c>
      <c r="AU79" t="n">
        <v>17</v>
      </c>
      <c r="AV79" t="n">
        <v>17</v>
      </c>
      <c r="AW79" t="n">
        <v>17</v>
      </c>
      <c r="AX79" t="n">
        <v>17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</row>
    <row r="81">
      <c r="A81" t="inlineStr">
        <is>
          <t>PLTA SGLNG #1</t>
        </is>
      </c>
      <c r="B81" t="n">
        <v>174.6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124.35</v>
      </c>
      <c r="U81" t="n">
        <v>111.99</v>
      </c>
      <c r="V81" t="n">
        <v>133.47</v>
      </c>
      <c r="W81" t="n">
        <v>102.08</v>
      </c>
      <c r="X81" t="n">
        <v>150</v>
      </c>
      <c r="Y81" t="n">
        <v>150</v>
      </c>
      <c r="Z81" t="n">
        <v>62.53</v>
      </c>
      <c r="AA81" t="n">
        <v>123.94</v>
      </c>
      <c r="AB81" t="n">
        <v>90.18000000000001</v>
      </c>
      <c r="AC81" t="n">
        <v>150</v>
      </c>
      <c r="AD81" t="n">
        <v>150</v>
      </c>
      <c r="AE81" t="n">
        <v>150</v>
      </c>
      <c r="AF81" t="n">
        <v>150</v>
      </c>
      <c r="AG81" t="n">
        <v>150</v>
      </c>
      <c r="AH81" t="n">
        <v>150</v>
      </c>
      <c r="AI81" t="n">
        <v>150</v>
      </c>
      <c r="AJ81" t="n">
        <v>150</v>
      </c>
      <c r="AK81" t="n">
        <v>150</v>
      </c>
      <c r="AL81" t="n">
        <v>150</v>
      </c>
      <c r="AM81" t="n">
        <v>150</v>
      </c>
      <c r="AN81" t="n">
        <v>150</v>
      </c>
      <c r="AO81" t="n">
        <v>150</v>
      </c>
      <c r="AP81" t="n">
        <v>150</v>
      </c>
      <c r="AQ81" t="n">
        <v>150</v>
      </c>
      <c r="AR81" t="n">
        <v>150</v>
      </c>
      <c r="AS81" t="n">
        <v>150</v>
      </c>
      <c r="AT81" t="n">
        <v>150</v>
      </c>
      <c r="AU81" t="n">
        <v>150</v>
      </c>
      <c r="AV81" t="n">
        <v>150</v>
      </c>
      <c r="AW81" t="n">
        <v>150</v>
      </c>
      <c r="AX81" t="n">
        <v>0</v>
      </c>
    </row>
    <row r="82">
      <c r="A82" t="inlineStr">
        <is>
          <t>PLTA SGLNG #2</t>
        </is>
      </c>
      <c r="B82" t="n">
        <v>174.6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133.47</v>
      </c>
      <c r="W82" t="n">
        <v>102.08</v>
      </c>
      <c r="X82" t="n">
        <v>150</v>
      </c>
      <c r="Y82" t="n">
        <v>150</v>
      </c>
      <c r="Z82" t="n">
        <v>0</v>
      </c>
      <c r="AA82" t="n">
        <v>0</v>
      </c>
      <c r="AB82" t="n">
        <v>90.18000000000001</v>
      </c>
      <c r="AC82" t="n">
        <v>150</v>
      </c>
      <c r="AD82" t="n">
        <v>150</v>
      </c>
      <c r="AE82" t="n">
        <v>150</v>
      </c>
      <c r="AF82" t="n">
        <v>150</v>
      </c>
      <c r="AG82" t="n">
        <v>150</v>
      </c>
      <c r="AH82" t="n">
        <v>150</v>
      </c>
      <c r="AI82" t="n">
        <v>150</v>
      </c>
      <c r="AJ82" t="n">
        <v>150</v>
      </c>
      <c r="AK82" t="n">
        <v>150</v>
      </c>
      <c r="AL82" t="n">
        <v>150</v>
      </c>
      <c r="AM82" t="n">
        <v>150</v>
      </c>
      <c r="AN82" t="n">
        <v>150</v>
      </c>
      <c r="AO82" t="n">
        <v>150</v>
      </c>
      <c r="AP82" t="n">
        <v>150</v>
      </c>
      <c r="AQ82" t="n">
        <v>150</v>
      </c>
      <c r="AR82" t="n">
        <v>150</v>
      </c>
      <c r="AS82" t="n">
        <v>150</v>
      </c>
      <c r="AT82" t="n">
        <v>150</v>
      </c>
      <c r="AU82" t="n">
        <v>150</v>
      </c>
      <c r="AV82" t="n">
        <v>150</v>
      </c>
      <c r="AW82" t="n">
        <v>150</v>
      </c>
      <c r="AX82" t="n">
        <v>0</v>
      </c>
    </row>
    <row r="83">
      <c r="A83" t="inlineStr">
        <is>
          <t>PLTA SGLNG #3</t>
        </is>
      </c>
      <c r="B83" t="n">
        <v>174.6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133.47</v>
      </c>
      <c r="W83" t="n">
        <v>102.08</v>
      </c>
      <c r="X83" t="n">
        <v>150</v>
      </c>
      <c r="Y83" t="n">
        <v>150</v>
      </c>
      <c r="Z83" t="n">
        <v>0</v>
      </c>
      <c r="AA83" t="n">
        <v>0</v>
      </c>
      <c r="AB83" t="n">
        <v>90.18000000000001</v>
      </c>
      <c r="AC83" t="n">
        <v>150</v>
      </c>
      <c r="AD83" t="n">
        <v>150</v>
      </c>
      <c r="AE83" t="n">
        <v>150</v>
      </c>
      <c r="AF83" t="n">
        <v>150</v>
      </c>
      <c r="AG83" t="n">
        <v>150</v>
      </c>
      <c r="AH83" t="n">
        <v>150</v>
      </c>
      <c r="AI83" t="n">
        <v>150</v>
      </c>
      <c r="AJ83" t="n">
        <v>150</v>
      </c>
      <c r="AK83" t="n">
        <v>150</v>
      </c>
      <c r="AL83" t="n">
        <v>150</v>
      </c>
      <c r="AM83" t="n">
        <v>150</v>
      </c>
      <c r="AN83" t="n">
        <v>150</v>
      </c>
      <c r="AO83" t="n">
        <v>150</v>
      </c>
      <c r="AP83" t="n">
        <v>150</v>
      </c>
      <c r="AQ83" t="n">
        <v>150</v>
      </c>
      <c r="AR83" t="n">
        <v>150</v>
      </c>
      <c r="AS83" t="n">
        <v>150</v>
      </c>
      <c r="AT83" t="n">
        <v>150</v>
      </c>
      <c r="AU83" t="n">
        <v>150</v>
      </c>
      <c r="AV83" t="n">
        <v>150</v>
      </c>
      <c r="AW83" t="n">
        <v>150</v>
      </c>
      <c r="AX83" t="n">
        <v>0</v>
      </c>
    </row>
    <row r="84">
      <c r="A84" t="inlineStr">
        <is>
          <t>PLTA SGLNG #4</t>
        </is>
      </c>
      <c r="B84" t="n">
        <v>174.6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150</v>
      </c>
      <c r="AD84" t="n">
        <v>150</v>
      </c>
      <c r="AE84" t="n">
        <v>150</v>
      </c>
      <c r="AF84" t="n">
        <v>150</v>
      </c>
      <c r="AG84" t="n">
        <v>150</v>
      </c>
      <c r="AH84" t="n">
        <v>150</v>
      </c>
      <c r="AI84" t="n">
        <v>150</v>
      </c>
      <c r="AJ84" t="n">
        <v>150</v>
      </c>
      <c r="AK84" t="n">
        <v>150</v>
      </c>
      <c r="AL84" t="n">
        <v>150</v>
      </c>
      <c r="AM84" t="n">
        <v>150</v>
      </c>
      <c r="AN84" t="n">
        <v>150</v>
      </c>
      <c r="AO84" t="n">
        <v>150</v>
      </c>
      <c r="AP84" t="n">
        <v>150</v>
      </c>
      <c r="AQ84" t="n">
        <v>150</v>
      </c>
      <c r="AR84" t="n">
        <v>150</v>
      </c>
      <c r="AS84" t="n">
        <v>150</v>
      </c>
      <c r="AT84" t="n">
        <v>150</v>
      </c>
      <c r="AU84" t="n">
        <v>150</v>
      </c>
      <c r="AV84" t="n">
        <v>0</v>
      </c>
      <c r="AW84" t="n">
        <v>0</v>
      </c>
      <c r="AX84" t="n">
        <v>0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</row>
    <row r="86">
      <c r="A86" t="inlineStr">
        <is>
          <t>PLTP KMJNG #1</t>
        </is>
      </c>
      <c r="B86" t="n">
        <v>30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inlineStr">
        <is>
          <t>PLTP KMJNG #2</t>
        </is>
      </c>
      <c r="B87" t="n">
        <v>52.3</v>
      </c>
      <c r="C87" t="n">
        <v>52.3</v>
      </c>
      <c r="D87" t="n">
        <v>52.3</v>
      </c>
      <c r="E87" t="n">
        <v>52.3</v>
      </c>
      <c r="F87" t="n">
        <v>39.23</v>
      </c>
      <c r="G87" t="n">
        <v>52.3</v>
      </c>
      <c r="H87" t="n">
        <v>39.23</v>
      </c>
      <c r="I87" t="n">
        <v>39.23</v>
      </c>
      <c r="J87" t="n">
        <v>39.23</v>
      </c>
      <c r="K87" t="n">
        <v>52.3</v>
      </c>
      <c r="L87" t="n">
        <v>52.3</v>
      </c>
      <c r="M87" t="n">
        <v>52.3</v>
      </c>
      <c r="N87" t="n">
        <v>52.3</v>
      </c>
      <c r="O87" t="n">
        <v>52.3</v>
      </c>
      <c r="P87" t="n">
        <v>52.3</v>
      </c>
      <c r="Q87" t="n">
        <v>52.3</v>
      </c>
      <c r="R87" t="n">
        <v>52.3</v>
      </c>
      <c r="S87" t="n">
        <v>52.3</v>
      </c>
      <c r="T87" t="n">
        <v>52.3</v>
      </c>
      <c r="U87" t="n">
        <v>52.3</v>
      </c>
      <c r="V87" t="n">
        <v>52.3</v>
      </c>
      <c r="W87" t="n">
        <v>52.3</v>
      </c>
      <c r="X87" t="n">
        <v>52.3</v>
      </c>
      <c r="Y87" t="n">
        <v>52.3</v>
      </c>
      <c r="Z87" t="n">
        <v>52.3</v>
      </c>
      <c r="AA87" t="n">
        <v>52.3</v>
      </c>
      <c r="AB87" t="n">
        <v>52.3</v>
      </c>
      <c r="AC87" t="n">
        <v>52.3</v>
      </c>
      <c r="AD87" t="n">
        <v>52.3</v>
      </c>
      <c r="AE87" t="n">
        <v>52.3</v>
      </c>
      <c r="AF87" t="n">
        <v>52.3</v>
      </c>
      <c r="AG87" t="n">
        <v>52.3</v>
      </c>
      <c r="AH87" t="n">
        <v>52.3</v>
      </c>
      <c r="AI87" t="n">
        <v>52.3</v>
      </c>
      <c r="AJ87" t="n">
        <v>52.3</v>
      </c>
      <c r="AK87" t="n">
        <v>52.3</v>
      </c>
      <c r="AL87" t="n">
        <v>52.3</v>
      </c>
      <c r="AM87" t="n">
        <v>52.3</v>
      </c>
      <c r="AN87" t="n">
        <v>52.3</v>
      </c>
      <c r="AO87" t="n">
        <v>52.3</v>
      </c>
      <c r="AP87" t="n">
        <v>52.3</v>
      </c>
      <c r="AQ87" t="n">
        <v>52.3</v>
      </c>
      <c r="AR87" t="n">
        <v>52.3</v>
      </c>
      <c r="AS87" t="n">
        <v>52.3</v>
      </c>
      <c r="AT87" t="n">
        <v>52.3</v>
      </c>
      <c r="AU87" t="n">
        <v>52.3</v>
      </c>
      <c r="AV87" t="n">
        <v>52.3</v>
      </c>
      <c r="AW87" t="n">
        <v>52.3</v>
      </c>
      <c r="AX87" t="n">
        <v>52.3</v>
      </c>
    </row>
    <row r="88">
      <c r="A88" t="inlineStr">
        <is>
          <t>PLTP KMJNG #3</t>
        </is>
      </c>
      <c r="B88" t="n">
        <v>52.3</v>
      </c>
      <c r="C88" t="n">
        <v>52.3</v>
      </c>
      <c r="D88" t="n">
        <v>52.3</v>
      </c>
      <c r="E88" t="n">
        <v>52.3</v>
      </c>
      <c r="F88" t="n">
        <v>39.23</v>
      </c>
      <c r="G88" t="n">
        <v>49.56</v>
      </c>
      <c r="H88" t="n">
        <v>39.23</v>
      </c>
      <c r="I88" t="n">
        <v>39.23</v>
      </c>
      <c r="J88" t="n">
        <v>39.23</v>
      </c>
      <c r="K88" t="n">
        <v>52.3</v>
      </c>
      <c r="L88" t="n">
        <v>52.3</v>
      </c>
      <c r="M88" t="n">
        <v>52.3</v>
      </c>
      <c r="N88" t="n">
        <v>52.3</v>
      </c>
      <c r="O88" t="n">
        <v>52.3</v>
      </c>
      <c r="P88" t="n">
        <v>52.3</v>
      </c>
      <c r="Q88" t="n">
        <v>52.3</v>
      </c>
      <c r="R88" t="n">
        <v>52.3</v>
      </c>
      <c r="S88" t="n">
        <v>52.3</v>
      </c>
      <c r="T88" t="n">
        <v>52.3</v>
      </c>
      <c r="U88" t="n">
        <v>52.3</v>
      </c>
      <c r="V88" t="n">
        <v>52.3</v>
      </c>
      <c r="W88" t="n">
        <v>52.3</v>
      </c>
      <c r="X88" t="n">
        <v>47.3</v>
      </c>
      <c r="Y88" t="n">
        <v>47.3</v>
      </c>
      <c r="Z88" t="n">
        <v>52.3</v>
      </c>
      <c r="AA88" t="n">
        <v>52.3</v>
      </c>
      <c r="AB88" t="n">
        <v>52.3</v>
      </c>
      <c r="AC88" t="n">
        <v>52.3</v>
      </c>
      <c r="AD88" t="n">
        <v>52.3</v>
      </c>
      <c r="AE88" t="n">
        <v>52.3</v>
      </c>
      <c r="AF88" t="n">
        <v>52.3</v>
      </c>
      <c r="AG88" t="n">
        <v>52.3</v>
      </c>
      <c r="AH88" t="n">
        <v>52.3</v>
      </c>
      <c r="AI88" t="n">
        <v>52.3</v>
      </c>
      <c r="AJ88" t="n">
        <v>52.3</v>
      </c>
      <c r="AK88" t="n">
        <v>52.3</v>
      </c>
      <c r="AL88" t="n">
        <v>52.3</v>
      </c>
      <c r="AM88" t="n">
        <v>52.3</v>
      </c>
      <c r="AN88" t="n">
        <v>52.3</v>
      </c>
      <c r="AO88" t="n">
        <v>52.3</v>
      </c>
      <c r="AP88" t="n">
        <v>52.3</v>
      </c>
      <c r="AQ88" t="n">
        <v>52.3</v>
      </c>
      <c r="AR88" t="n">
        <v>52.3</v>
      </c>
      <c r="AS88" t="n">
        <v>52.3</v>
      </c>
      <c r="AT88" t="n">
        <v>52.3</v>
      </c>
      <c r="AU88" t="n">
        <v>52.3</v>
      </c>
      <c r="AV88" t="n">
        <v>52.3</v>
      </c>
      <c r="AW88" t="n">
        <v>52.3</v>
      </c>
      <c r="AX88" t="n">
        <v>52.3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</row>
    <row r="90">
      <c r="A90" t="inlineStr">
        <is>
          <t>PLTP DRJAT #1</t>
        </is>
      </c>
      <c r="B90" t="n">
        <v>52</v>
      </c>
      <c r="C90" t="n">
        <v>52</v>
      </c>
      <c r="D90" t="n">
        <v>52</v>
      </c>
      <c r="E90" t="n">
        <v>52</v>
      </c>
      <c r="F90" t="n">
        <v>52</v>
      </c>
      <c r="G90" t="n">
        <v>52</v>
      </c>
      <c r="H90" t="n">
        <v>52</v>
      </c>
      <c r="I90" t="n">
        <v>52</v>
      </c>
      <c r="J90" t="n">
        <v>52</v>
      </c>
      <c r="K90" t="n">
        <v>52</v>
      </c>
      <c r="L90" t="n">
        <v>52</v>
      </c>
      <c r="M90" t="n">
        <v>52</v>
      </c>
      <c r="N90" t="n">
        <v>52</v>
      </c>
      <c r="O90" t="n">
        <v>52</v>
      </c>
      <c r="P90" t="n">
        <v>52</v>
      </c>
      <c r="Q90" t="n">
        <v>52</v>
      </c>
      <c r="R90" t="n">
        <v>52</v>
      </c>
      <c r="S90" t="n">
        <v>52</v>
      </c>
      <c r="T90" t="n">
        <v>52</v>
      </c>
      <c r="U90" t="n">
        <v>52</v>
      </c>
      <c r="V90" t="n">
        <v>52</v>
      </c>
      <c r="W90" t="n">
        <v>52</v>
      </c>
      <c r="X90" t="n">
        <v>47</v>
      </c>
      <c r="Y90" t="n">
        <v>47</v>
      </c>
      <c r="Z90" t="n">
        <v>52</v>
      </c>
      <c r="AA90" t="n">
        <v>52</v>
      </c>
      <c r="AB90" t="n">
        <v>52</v>
      </c>
      <c r="AC90" t="n">
        <v>52</v>
      </c>
      <c r="AD90" t="n">
        <v>52</v>
      </c>
      <c r="AE90" t="n">
        <v>52</v>
      </c>
      <c r="AF90" t="n">
        <v>52</v>
      </c>
      <c r="AG90" t="n">
        <v>52</v>
      </c>
      <c r="AH90" t="n">
        <v>52</v>
      </c>
      <c r="AI90" t="n">
        <v>52</v>
      </c>
      <c r="AJ90" t="n">
        <v>52</v>
      </c>
      <c r="AK90" t="n">
        <v>52</v>
      </c>
      <c r="AL90" t="n">
        <v>52</v>
      </c>
      <c r="AM90" t="n">
        <v>52</v>
      </c>
      <c r="AN90" t="n">
        <v>52</v>
      </c>
      <c r="AO90" t="n">
        <v>52</v>
      </c>
      <c r="AP90" t="n">
        <v>52</v>
      </c>
      <c r="AQ90" t="n">
        <v>52</v>
      </c>
      <c r="AR90" t="n">
        <v>52</v>
      </c>
      <c r="AS90" t="n">
        <v>52</v>
      </c>
      <c r="AT90" t="n">
        <v>52</v>
      </c>
      <c r="AU90" t="n">
        <v>52</v>
      </c>
      <c r="AV90" t="n">
        <v>52</v>
      </c>
      <c r="AW90" t="n">
        <v>52</v>
      </c>
      <c r="AX90" t="n">
        <v>52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</row>
    <row r="92">
      <c r="A92" t="inlineStr">
        <is>
          <t>PLTA JATIGEDE #1</t>
        </is>
      </c>
      <c r="B92" t="n">
        <v>55</v>
      </c>
      <c r="C92" t="n">
        <v>45</v>
      </c>
      <c r="D92" t="n">
        <v>45</v>
      </c>
      <c r="E92" t="n">
        <v>45</v>
      </c>
      <c r="F92" t="n">
        <v>45</v>
      </c>
      <c r="G92" t="n">
        <v>45</v>
      </c>
      <c r="H92" t="n">
        <v>45</v>
      </c>
      <c r="I92" t="n">
        <v>45</v>
      </c>
      <c r="J92" t="n">
        <v>45</v>
      </c>
      <c r="K92" t="n">
        <v>45</v>
      </c>
      <c r="L92" t="n">
        <v>45</v>
      </c>
      <c r="M92" t="n">
        <v>45</v>
      </c>
      <c r="N92" t="n">
        <v>45</v>
      </c>
      <c r="O92" t="n">
        <v>45</v>
      </c>
      <c r="P92" t="n">
        <v>45</v>
      </c>
      <c r="Q92" t="n">
        <v>45</v>
      </c>
      <c r="R92" t="n">
        <v>45</v>
      </c>
      <c r="S92" t="n">
        <v>45</v>
      </c>
      <c r="T92" t="n">
        <v>45</v>
      </c>
      <c r="U92" t="n">
        <v>45</v>
      </c>
      <c r="V92" t="n">
        <v>45</v>
      </c>
      <c r="W92" t="n">
        <v>45</v>
      </c>
      <c r="X92" t="n">
        <v>45</v>
      </c>
      <c r="Y92" t="n">
        <v>45</v>
      </c>
      <c r="Z92" t="n">
        <v>45</v>
      </c>
      <c r="AA92" t="n">
        <v>45</v>
      </c>
      <c r="AB92" t="n">
        <v>45</v>
      </c>
      <c r="AC92" t="n">
        <v>45</v>
      </c>
      <c r="AD92" t="n">
        <v>45</v>
      </c>
      <c r="AE92" t="n">
        <v>45</v>
      </c>
      <c r="AF92" t="n">
        <v>45</v>
      </c>
      <c r="AG92" t="n">
        <v>45</v>
      </c>
      <c r="AH92" t="n">
        <v>52</v>
      </c>
      <c r="AI92" t="n">
        <v>52</v>
      </c>
      <c r="AJ92" t="n">
        <v>52</v>
      </c>
      <c r="AK92" t="n">
        <v>52</v>
      </c>
      <c r="AL92" t="n">
        <v>52</v>
      </c>
      <c r="AM92" t="n">
        <v>52</v>
      </c>
      <c r="AN92" t="n">
        <v>52</v>
      </c>
      <c r="AO92" t="n">
        <v>52</v>
      </c>
      <c r="AP92" t="n">
        <v>52</v>
      </c>
      <c r="AQ92" t="n">
        <v>52</v>
      </c>
      <c r="AR92" t="n">
        <v>45</v>
      </c>
      <c r="AS92" t="n">
        <v>45</v>
      </c>
      <c r="AT92" t="n">
        <v>45</v>
      </c>
      <c r="AU92" t="n">
        <v>45</v>
      </c>
      <c r="AV92" t="n">
        <v>45</v>
      </c>
      <c r="AW92" t="n">
        <v>45</v>
      </c>
      <c r="AX92" t="n">
        <v>45</v>
      </c>
    </row>
    <row r="93">
      <c r="A93" t="inlineStr">
        <is>
          <t>PLTA JATIGEDE #2</t>
        </is>
      </c>
      <c r="B93" t="n">
        <v>55</v>
      </c>
      <c r="C93" t="n">
        <v>45</v>
      </c>
      <c r="D93" t="n">
        <v>45</v>
      </c>
      <c r="E93" t="n">
        <v>45</v>
      </c>
      <c r="F93" t="n">
        <v>45</v>
      </c>
      <c r="G93" t="n">
        <v>45</v>
      </c>
      <c r="H93" t="n">
        <v>45</v>
      </c>
      <c r="I93" t="n">
        <v>45</v>
      </c>
      <c r="J93" t="n">
        <v>45</v>
      </c>
      <c r="K93" t="n">
        <v>45</v>
      </c>
      <c r="L93" t="n">
        <v>45</v>
      </c>
      <c r="M93" t="n">
        <v>45</v>
      </c>
      <c r="N93" t="n">
        <v>45</v>
      </c>
      <c r="O93" t="n">
        <v>45</v>
      </c>
      <c r="P93" t="n">
        <v>45</v>
      </c>
      <c r="Q93" t="n">
        <v>45</v>
      </c>
      <c r="R93" t="n">
        <v>45</v>
      </c>
      <c r="S93" t="n">
        <v>45</v>
      </c>
      <c r="T93" t="n">
        <v>45</v>
      </c>
      <c r="U93" t="n">
        <v>45</v>
      </c>
      <c r="V93" t="n">
        <v>45</v>
      </c>
      <c r="W93" t="n">
        <v>45</v>
      </c>
      <c r="X93" t="n">
        <v>45</v>
      </c>
      <c r="Y93" t="n">
        <v>45</v>
      </c>
      <c r="Z93" t="n">
        <v>45</v>
      </c>
      <c r="AA93" t="n">
        <v>45</v>
      </c>
      <c r="AB93" t="n">
        <v>45</v>
      </c>
      <c r="AC93" t="n">
        <v>45</v>
      </c>
      <c r="AD93" t="n">
        <v>45</v>
      </c>
      <c r="AE93" t="n">
        <v>45</v>
      </c>
      <c r="AF93" t="n">
        <v>45</v>
      </c>
      <c r="AG93" t="n">
        <v>45</v>
      </c>
      <c r="AH93" t="n">
        <v>52</v>
      </c>
      <c r="AI93" t="n">
        <v>52</v>
      </c>
      <c r="AJ93" t="n">
        <v>52</v>
      </c>
      <c r="AK93" t="n">
        <v>52</v>
      </c>
      <c r="AL93" t="n">
        <v>52</v>
      </c>
      <c r="AM93" t="n">
        <v>52</v>
      </c>
      <c r="AN93" t="n">
        <v>52</v>
      </c>
      <c r="AO93" t="n">
        <v>52</v>
      </c>
      <c r="AP93" t="n">
        <v>52</v>
      </c>
      <c r="AQ93" t="n">
        <v>52</v>
      </c>
      <c r="AR93" t="n">
        <v>45</v>
      </c>
      <c r="AS93" t="n">
        <v>45</v>
      </c>
      <c r="AT93" t="n">
        <v>45</v>
      </c>
      <c r="AU93" t="n">
        <v>45</v>
      </c>
      <c r="AV93" t="n">
        <v>45</v>
      </c>
      <c r="AW93" t="n">
        <v>45</v>
      </c>
      <c r="AX93" t="n">
        <v>45</v>
      </c>
    </row>
    <row r="94">
      <c r="A94" t="inlineStr"/>
      <c r="B94" t="inlineStr"/>
      <c r="C94" t="inlineStr">
        <is>
          <t>PT. PEMBANGKITAN JAWA-BALI</t>
        </is>
      </c>
      <c r="D94" t="inlineStr">
        <is>
          <t>PT. PEMBANGKITAN JAWA-BALI</t>
        </is>
      </c>
      <c r="E94" t="inlineStr">
        <is>
          <t>PT. PEMBANGKITAN JAWA-BALI</t>
        </is>
      </c>
      <c r="F94" t="inlineStr">
        <is>
          <t>PT. PEMBANGKITAN JAWA-BALI</t>
        </is>
      </c>
      <c r="G94" t="inlineStr">
        <is>
          <t>PT. PEMBANGKITAN JAWA-BALI</t>
        </is>
      </c>
      <c r="H94" t="inlineStr">
        <is>
          <t>PT. PEMBANGKITAN JAWA-BALI</t>
        </is>
      </c>
      <c r="I94" t="inlineStr">
        <is>
          <t>PT. PEMBANGKITAN JAWA-BALI</t>
        </is>
      </c>
      <c r="J94" t="inlineStr">
        <is>
          <t>PT. PEMBANGKITAN JAWA-BALI</t>
        </is>
      </c>
      <c r="K94" t="inlineStr">
        <is>
          <t>PT. PEMBANGKITAN JAWA-BALI</t>
        </is>
      </c>
      <c r="L94" t="inlineStr">
        <is>
          <t>PT. PEMBANGKITAN JAWA-BALI</t>
        </is>
      </c>
      <c r="M94" t="inlineStr">
        <is>
          <t>PT. PEMBANGKITAN JAWA-BALI</t>
        </is>
      </c>
      <c r="N94" t="inlineStr">
        <is>
          <t>PT. PEMBANGKITAN JAWA-BALI</t>
        </is>
      </c>
      <c r="O94" t="inlineStr">
        <is>
          <t>PT. PEMBANGKITAN JAWA-BALI</t>
        </is>
      </c>
      <c r="P94" t="inlineStr">
        <is>
          <t>PT. PEMBANGKITAN JAWA-BALI</t>
        </is>
      </c>
      <c r="Q94" t="inlineStr">
        <is>
          <t>PT. PEMBANGKITAN JAWA-BALI</t>
        </is>
      </c>
      <c r="R94" t="inlineStr">
        <is>
          <t>PT. PEMBANGKITAN JAWA-BALI</t>
        </is>
      </c>
      <c r="S94" t="inlineStr">
        <is>
          <t>PT. PEMBANGKITAN JAWA-BALI</t>
        </is>
      </c>
      <c r="T94" t="inlineStr">
        <is>
          <t>PT. PEMBANGKITAN JAWA-BALI</t>
        </is>
      </c>
      <c r="U94" t="inlineStr">
        <is>
          <t>PT. PEMBANGKITAN JAWA-BALI</t>
        </is>
      </c>
      <c r="V94" t="inlineStr">
        <is>
          <t>PT. PEMBANGKITAN JAWA-BALI</t>
        </is>
      </c>
      <c r="W94" t="inlineStr">
        <is>
          <t>PT. PEMBANGKITAN JAWA-BALI</t>
        </is>
      </c>
      <c r="X94" t="inlineStr">
        <is>
          <t>PT. PEMBANGKITAN JAWA-BALI</t>
        </is>
      </c>
      <c r="Y94" t="inlineStr">
        <is>
          <t>PT. PEMBANGKITAN JAWA-BALI</t>
        </is>
      </c>
      <c r="Z94" t="inlineStr">
        <is>
          <t>PT. PEMBANGKITAN JAWA-BALI</t>
        </is>
      </c>
      <c r="AA94" t="inlineStr">
        <is>
          <t>PT. PEMBANGKITAN JAWA-BALI</t>
        </is>
      </c>
      <c r="AB94" t="inlineStr">
        <is>
          <t>PT. PEMBANGKITAN JAWA-BALI</t>
        </is>
      </c>
      <c r="AC94" t="inlineStr">
        <is>
          <t>PT. PEMBANGKITAN JAWA-BALI</t>
        </is>
      </c>
      <c r="AD94" t="inlineStr">
        <is>
          <t>PT. PEMBANGKITAN JAWA-BALI</t>
        </is>
      </c>
      <c r="AE94" t="inlineStr">
        <is>
          <t>PT. PEMBANGKITAN JAWA-BALI</t>
        </is>
      </c>
      <c r="AF94" t="inlineStr">
        <is>
          <t>PT. PEMBANGKITAN JAWA-BALI</t>
        </is>
      </c>
      <c r="AG94" t="inlineStr">
        <is>
          <t>PT. PEMBANGKITAN JAWA-BALI</t>
        </is>
      </c>
      <c r="AH94" t="inlineStr">
        <is>
          <t>PT. PEMBANGKITAN JAWA-BALI</t>
        </is>
      </c>
      <c r="AI94" t="inlineStr">
        <is>
          <t>PT. PEMBANGKITAN JAWA-BALI</t>
        </is>
      </c>
      <c r="AJ94" t="inlineStr">
        <is>
          <t>PT. PEMBANGKITAN JAWA-BALI</t>
        </is>
      </c>
      <c r="AK94" t="inlineStr">
        <is>
          <t>PT. PEMBANGKITAN JAWA-BALI</t>
        </is>
      </c>
      <c r="AL94" t="inlineStr">
        <is>
          <t>PT. PEMBANGKITAN JAWA-BALI</t>
        </is>
      </c>
      <c r="AM94" t="inlineStr">
        <is>
          <t>PT. PEMBANGKITAN JAWA-BALI</t>
        </is>
      </c>
      <c r="AN94" t="inlineStr">
        <is>
          <t>PT. PEMBANGKITAN JAWA-BALI</t>
        </is>
      </c>
      <c r="AO94" t="inlineStr">
        <is>
          <t>PT. PEMBANGKITAN JAWA-BALI</t>
        </is>
      </c>
      <c r="AP94" t="inlineStr">
        <is>
          <t>PT. PEMBANGKITAN JAWA-BALI</t>
        </is>
      </c>
      <c r="AQ94" t="inlineStr">
        <is>
          <t>PT. PEMBANGKITAN JAWA-BALI</t>
        </is>
      </c>
      <c r="AR94" t="inlineStr">
        <is>
          <t>PT. PEMBANGKITAN JAWA-BALI</t>
        </is>
      </c>
      <c r="AS94" t="inlineStr">
        <is>
          <t>PT. PEMBANGKITAN JAWA-BALI</t>
        </is>
      </c>
      <c r="AT94" t="inlineStr">
        <is>
          <t>PT. PEMBANGKITAN JAWA-BALI</t>
        </is>
      </c>
      <c r="AU94" t="inlineStr">
        <is>
          <t>PT. PEMBANGKITAN JAWA-BALI</t>
        </is>
      </c>
      <c r="AV94" t="inlineStr">
        <is>
          <t>PT. PEMBANGKITAN JAWA-BALI</t>
        </is>
      </c>
      <c r="AW94" t="inlineStr">
        <is>
          <t>PT. PEMBANGKITAN JAWA-BALI</t>
        </is>
      </c>
      <c r="AX94" t="inlineStr">
        <is>
          <t>PT. PEMBANGKITAN JAWA-BALI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</row>
    <row r="96">
      <c r="A96" t="inlineStr">
        <is>
          <t>PLTGU MTWAR #1</t>
        </is>
      </c>
      <c r="B96" t="inlineStr"/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44</v>
      </c>
      <c r="AI96" t="n">
        <v>88</v>
      </c>
      <c r="AJ96" t="n">
        <v>88</v>
      </c>
      <c r="AK96" t="n">
        <v>88</v>
      </c>
      <c r="AL96" t="n">
        <v>88</v>
      </c>
      <c r="AM96" t="n">
        <v>88</v>
      </c>
      <c r="AN96" t="n">
        <v>88</v>
      </c>
      <c r="AO96" t="n">
        <v>88</v>
      </c>
      <c r="AP96" t="n">
        <v>88</v>
      </c>
      <c r="AQ96" t="n">
        <v>88</v>
      </c>
      <c r="AR96" t="n">
        <v>88</v>
      </c>
      <c r="AS96" t="n">
        <v>30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inlineStr">
        <is>
          <t>PLTGU MTWAR #2 .0</t>
        </is>
      </c>
      <c r="B97" t="n">
        <v>144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inlineStr">
        <is>
          <t>PLTGU MTWAR #2 .1</t>
        </is>
      </c>
      <c r="B98" t="n">
        <v>137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inlineStr">
        <is>
          <t>PLTGU MTWAR #2 .2</t>
        </is>
      </c>
      <c r="B99" t="n">
        <v>137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</row>
    <row r="101">
      <c r="A101" t="inlineStr">
        <is>
          <t>PLTA CRATA #1</t>
        </is>
      </c>
      <c r="B101" t="n">
        <v>123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103.83</v>
      </c>
      <c r="T101" t="n">
        <v>100</v>
      </c>
      <c r="U101" t="n">
        <v>100</v>
      </c>
      <c r="V101" t="n">
        <v>0</v>
      </c>
      <c r="W101" t="n">
        <v>119.14</v>
      </c>
      <c r="X101" t="n">
        <v>69.97</v>
      </c>
      <c r="Y101" t="n">
        <v>2.3</v>
      </c>
      <c r="Z101" t="n">
        <v>0</v>
      </c>
      <c r="AA101" t="n">
        <v>0</v>
      </c>
      <c r="AB101" t="n">
        <v>0</v>
      </c>
      <c r="AC101" t="n">
        <v>100</v>
      </c>
      <c r="AD101" t="n">
        <v>100</v>
      </c>
      <c r="AE101" t="n">
        <v>100</v>
      </c>
      <c r="AF101" t="n">
        <v>100</v>
      </c>
      <c r="AG101" t="n">
        <v>100</v>
      </c>
      <c r="AH101" t="n">
        <v>100</v>
      </c>
      <c r="AI101" t="n">
        <v>109.8</v>
      </c>
      <c r="AJ101" t="n">
        <v>114.18</v>
      </c>
      <c r="AK101" t="n">
        <v>100</v>
      </c>
      <c r="AL101" t="n">
        <v>100</v>
      </c>
      <c r="AM101" t="n">
        <v>100</v>
      </c>
      <c r="AN101" t="n">
        <v>100</v>
      </c>
      <c r="AO101" t="n">
        <v>100</v>
      </c>
      <c r="AP101" t="n">
        <v>100</v>
      </c>
      <c r="AQ101" t="n">
        <v>100</v>
      </c>
      <c r="AR101" t="n">
        <v>100</v>
      </c>
      <c r="AS101" t="n">
        <v>100</v>
      </c>
      <c r="AT101" t="n">
        <v>100</v>
      </c>
      <c r="AU101" t="n">
        <v>100</v>
      </c>
      <c r="AV101" t="n">
        <v>100</v>
      </c>
      <c r="AW101" t="n">
        <v>69.95999999999999</v>
      </c>
      <c r="AX101" t="n">
        <v>0</v>
      </c>
    </row>
    <row r="102">
      <c r="A102" t="inlineStr">
        <is>
          <t>PLTA CRATA #2</t>
        </is>
      </c>
      <c r="B102" t="n">
        <v>123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103.83</v>
      </c>
      <c r="T102" t="n">
        <v>100</v>
      </c>
      <c r="U102" t="n">
        <v>100</v>
      </c>
      <c r="V102" t="n">
        <v>0</v>
      </c>
      <c r="W102" t="n">
        <v>119.14</v>
      </c>
      <c r="X102" t="n">
        <v>69.97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100</v>
      </c>
      <c r="AE102" t="n">
        <v>100</v>
      </c>
      <c r="AF102" t="n">
        <v>100</v>
      </c>
      <c r="AG102" t="n">
        <v>100</v>
      </c>
      <c r="AH102" t="n">
        <v>100</v>
      </c>
      <c r="AI102" t="n">
        <v>109.8</v>
      </c>
      <c r="AJ102" t="n">
        <v>114.18</v>
      </c>
      <c r="AK102" t="n">
        <v>100</v>
      </c>
      <c r="AL102" t="n">
        <v>100</v>
      </c>
      <c r="AM102" t="n">
        <v>100</v>
      </c>
      <c r="AN102" t="n">
        <v>100</v>
      </c>
      <c r="AO102" t="n">
        <v>100</v>
      </c>
      <c r="AP102" t="n">
        <v>100</v>
      </c>
      <c r="AQ102" t="n">
        <v>100</v>
      </c>
      <c r="AR102" t="n">
        <v>100</v>
      </c>
      <c r="AS102" t="n">
        <v>100</v>
      </c>
      <c r="AT102" t="n">
        <v>100</v>
      </c>
      <c r="AU102" t="n">
        <v>100</v>
      </c>
      <c r="AV102" t="n">
        <v>100</v>
      </c>
      <c r="AW102" t="n">
        <v>69.95999999999999</v>
      </c>
      <c r="AX102" t="n">
        <v>0</v>
      </c>
    </row>
    <row r="103">
      <c r="A103" t="inlineStr">
        <is>
          <t>PLTA CRATA #3</t>
        </is>
      </c>
      <c r="B103" t="n">
        <v>123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100</v>
      </c>
      <c r="U103" t="n">
        <v>100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100</v>
      </c>
      <c r="AD103" t="n">
        <v>100</v>
      </c>
      <c r="AE103" t="n">
        <v>100</v>
      </c>
      <c r="AF103" t="n">
        <v>100</v>
      </c>
      <c r="AG103" t="n">
        <v>100</v>
      </c>
      <c r="AH103" t="n">
        <v>100</v>
      </c>
      <c r="AI103" t="n">
        <v>109.8</v>
      </c>
      <c r="AJ103" t="n">
        <v>114.18</v>
      </c>
      <c r="AK103" t="n">
        <v>100</v>
      </c>
      <c r="AL103" t="n">
        <v>100</v>
      </c>
      <c r="AM103" t="n">
        <v>100</v>
      </c>
      <c r="AN103" t="n">
        <v>100</v>
      </c>
      <c r="AO103" t="n">
        <v>100</v>
      </c>
      <c r="AP103" t="n">
        <v>100</v>
      </c>
      <c r="AQ103" t="n">
        <v>100</v>
      </c>
      <c r="AR103" t="n">
        <v>100</v>
      </c>
      <c r="AS103" t="n">
        <v>100</v>
      </c>
      <c r="AT103" t="n">
        <v>100</v>
      </c>
      <c r="AU103" t="n">
        <v>100</v>
      </c>
      <c r="AV103" t="n">
        <v>100</v>
      </c>
      <c r="AW103" t="n">
        <v>0</v>
      </c>
      <c r="AX103" t="n">
        <v>0</v>
      </c>
    </row>
    <row r="104">
      <c r="A104" t="inlineStr">
        <is>
          <t>PLTA CRATA #4</t>
        </is>
      </c>
      <c r="B104" t="n">
        <v>123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100</v>
      </c>
      <c r="AE104" t="n">
        <v>100</v>
      </c>
      <c r="AF104" t="n">
        <v>100</v>
      </c>
      <c r="AG104" t="n">
        <v>100</v>
      </c>
      <c r="AH104" t="n">
        <v>100</v>
      </c>
      <c r="AI104" t="n">
        <v>0</v>
      </c>
      <c r="AJ104" t="n">
        <v>0</v>
      </c>
      <c r="AK104" t="n">
        <v>100</v>
      </c>
      <c r="AL104" t="n">
        <v>100</v>
      </c>
      <c r="AM104" t="n">
        <v>100</v>
      </c>
      <c r="AN104" t="n">
        <v>100</v>
      </c>
      <c r="AO104" t="n">
        <v>100</v>
      </c>
      <c r="AP104" t="n">
        <v>100</v>
      </c>
      <c r="AQ104" t="n">
        <v>100</v>
      </c>
      <c r="AR104" t="n">
        <v>100</v>
      </c>
      <c r="AS104" t="n">
        <v>100</v>
      </c>
      <c r="AT104" t="n">
        <v>100</v>
      </c>
      <c r="AU104" t="n">
        <v>100</v>
      </c>
      <c r="AV104" t="n">
        <v>0</v>
      </c>
      <c r="AW104" t="n">
        <v>0</v>
      </c>
      <c r="AX104" t="n">
        <v>0</v>
      </c>
    </row>
    <row r="105">
      <c r="A105" t="inlineStr">
        <is>
          <t>PLTA CRATA #5</t>
        </is>
      </c>
      <c r="B105" t="n">
        <v>123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100</v>
      </c>
      <c r="AL105" t="n">
        <v>100</v>
      </c>
      <c r="AM105" t="n">
        <v>100</v>
      </c>
      <c r="AN105" t="n">
        <v>100</v>
      </c>
      <c r="AO105" t="n">
        <v>100</v>
      </c>
      <c r="AP105" t="n">
        <v>100</v>
      </c>
      <c r="AQ105" t="n">
        <v>100</v>
      </c>
      <c r="AR105" t="n">
        <v>100</v>
      </c>
      <c r="AS105" t="n">
        <v>100</v>
      </c>
      <c r="AT105" t="n">
        <v>100</v>
      </c>
      <c r="AU105" t="n">
        <v>100</v>
      </c>
      <c r="AV105" t="n">
        <v>0</v>
      </c>
      <c r="AW105" t="n">
        <v>0</v>
      </c>
      <c r="AX105" t="n">
        <v>0</v>
      </c>
    </row>
    <row r="106">
      <c r="A106" t="inlineStr">
        <is>
          <t>PLTA CRATA #6</t>
        </is>
      </c>
      <c r="B106" t="n">
        <v>123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inlineStr">
        <is>
          <t>PLTA CRATA #7</t>
        </is>
      </c>
      <c r="B107" t="n">
        <v>123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inlineStr">
        <is>
          <t>PLTA CRATA #8</t>
        </is>
      </c>
      <c r="B108" t="n">
        <v>123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</row>
    <row r="110">
      <c r="A110" t="inlineStr">
        <is>
          <t>PLTGU MRTWR #3 .0</t>
        </is>
      </c>
      <c r="B110" t="n">
        <v>239.55</v>
      </c>
      <c r="C110" t="n">
        <v>57.14</v>
      </c>
      <c r="D110" t="n">
        <v>57.14</v>
      </c>
      <c r="E110" t="n">
        <v>57.14</v>
      </c>
      <c r="F110" t="n">
        <v>57.14</v>
      </c>
      <c r="G110" t="n">
        <v>57.14</v>
      </c>
      <c r="H110" t="n">
        <v>57.14</v>
      </c>
      <c r="I110" t="n">
        <v>57.14</v>
      </c>
      <c r="J110" t="n">
        <v>57.14</v>
      </c>
      <c r="K110" t="n">
        <v>57.14</v>
      </c>
      <c r="L110" t="n">
        <v>57.14</v>
      </c>
      <c r="M110" t="n">
        <v>57.14</v>
      </c>
      <c r="N110" t="n">
        <v>57.14</v>
      </c>
      <c r="O110" t="n">
        <v>57.14</v>
      </c>
      <c r="P110" t="n">
        <v>57.14</v>
      </c>
      <c r="Q110" t="n">
        <v>57.14</v>
      </c>
      <c r="R110" t="n">
        <v>57.14</v>
      </c>
      <c r="S110" t="n">
        <v>57.14</v>
      </c>
      <c r="T110" t="n">
        <v>57.14</v>
      </c>
      <c r="U110" t="n">
        <v>57.14</v>
      </c>
      <c r="V110" t="n">
        <v>114.29</v>
      </c>
      <c r="W110" t="n">
        <v>114.29</v>
      </c>
      <c r="X110" t="n">
        <v>114.29</v>
      </c>
      <c r="Y110" t="n">
        <v>114.29</v>
      </c>
      <c r="Z110" t="n">
        <v>114.29</v>
      </c>
      <c r="AA110" t="n">
        <v>114.29</v>
      </c>
      <c r="AB110" t="n">
        <v>114.29</v>
      </c>
      <c r="AC110" t="n">
        <v>136.68</v>
      </c>
      <c r="AD110" t="n">
        <v>136.77</v>
      </c>
      <c r="AE110" t="n">
        <v>136.77</v>
      </c>
      <c r="AF110" t="n">
        <v>136.77</v>
      </c>
      <c r="AG110" t="n">
        <v>136.77</v>
      </c>
      <c r="AH110" t="n">
        <v>136.64</v>
      </c>
      <c r="AI110" t="n">
        <v>171.43</v>
      </c>
      <c r="AJ110" t="n">
        <v>171.43</v>
      </c>
      <c r="AK110" t="n">
        <v>174.96</v>
      </c>
      <c r="AL110" t="n">
        <v>194.29</v>
      </c>
      <c r="AM110" t="n">
        <v>193.91</v>
      </c>
      <c r="AN110" t="n">
        <v>193.91</v>
      </c>
      <c r="AO110" t="n">
        <v>193.91</v>
      </c>
      <c r="AP110" t="n">
        <v>193.91</v>
      </c>
      <c r="AQ110" t="n">
        <v>193.91</v>
      </c>
      <c r="AR110" t="n">
        <v>174.96</v>
      </c>
      <c r="AS110" t="n">
        <v>193.91</v>
      </c>
      <c r="AT110" t="n">
        <v>136.77</v>
      </c>
      <c r="AU110" t="n">
        <v>79.62</v>
      </c>
      <c r="AV110" t="n">
        <v>60.67</v>
      </c>
      <c r="AW110" t="n">
        <v>57.14</v>
      </c>
      <c r="AX110" t="n">
        <v>77.63</v>
      </c>
    </row>
    <row r="111">
      <c r="A111" t="inlineStr">
        <is>
          <t>PLTGU MRTWR #3 .1</t>
        </is>
      </c>
      <c r="B111" t="n">
        <v>140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100</v>
      </c>
      <c r="AK111" t="n">
        <v>100</v>
      </c>
      <c r="AL111" t="n">
        <v>100</v>
      </c>
      <c r="AM111" t="n">
        <v>100</v>
      </c>
      <c r="AN111" t="n">
        <v>100</v>
      </c>
      <c r="AO111" t="n">
        <v>100</v>
      </c>
      <c r="AP111" t="n">
        <v>100</v>
      </c>
      <c r="AQ111" t="n">
        <v>100</v>
      </c>
      <c r="AR111" t="n">
        <v>100</v>
      </c>
      <c r="AS111" t="n">
        <v>100</v>
      </c>
      <c r="AT111" t="n">
        <v>100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inlineStr">
        <is>
          <t>PLTGU MRTWR #3 .2</t>
        </is>
      </c>
      <c r="B112" t="n">
        <v>140</v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  <c r="H112" t="n">
        <v>100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139.19</v>
      </c>
      <c r="AD112" t="n">
        <v>139.34</v>
      </c>
      <c r="AE112" t="n">
        <v>139.34</v>
      </c>
      <c r="AF112" t="n">
        <v>139.34</v>
      </c>
      <c r="AG112" t="n">
        <v>139.34</v>
      </c>
      <c r="AH112" t="n">
        <v>139.12</v>
      </c>
      <c r="AI112" t="n">
        <v>100</v>
      </c>
      <c r="AJ112" t="n">
        <v>100</v>
      </c>
      <c r="AK112" t="n">
        <v>106.18</v>
      </c>
      <c r="AL112" t="n">
        <v>140</v>
      </c>
      <c r="AM112" t="n">
        <v>139.34</v>
      </c>
      <c r="AN112" t="n">
        <v>139.34</v>
      </c>
      <c r="AO112" t="n">
        <v>139.34</v>
      </c>
      <c r="AP112" t="n">
        <v>139.34</v>
      </c>
      <c r="AQ112" t="n">
        <v>139.34</v>
      </c>
      <c r="AR112" t="n">
        <v>106.18</v>
      </c>
      <c r="AS112" t="n">
        <v>139.34</v>
      </c>
      <c r="AT112" t="n">
        <v>139.34</v>
      </c>
      <c r="AU112" t="n">
        <v>139.34</v>
      </c>
      <c r="AV112" t="n">
        <v>106.18</v>
      </c>
      <c r="AW112" t="n">
        <v>100</v>
      </c>
      <c r="AX112" t="n">
        <v>135.84</v>
      </c>
    </row>
    <row r="113">
      <c r="A113" t="inlineStr">
        <is>
          <t>PLTGU MRTWR #3 .3</t>
        </is>
      </c>
      <c r="B113" t="n">
        <v>140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100</v>
      </c>
      <c r="X113" t="n">
        <v>100</v>
      </c>
      <c r="Y113" t="n">
        <v>100</v>
      </c>
      <c r="Z113" t="n">
        <v>100</v>
      </c>
      <c r="AA113" t="n">
        <v>100</v>
      </c>
      <c r="AB113" t="n">
        <v>100</v>
      </c>
      <c r="AC113" t="n">
        <v>100</v>
      </c>
      <c r="AD113" t="n">
        <v>100</v>
      </c>
      <c r="AE113" t="n">
        <v>100</v>
      </c>
      <c r="AF113" t="n">
        <v>100</v>
      </c>
      <c r="AG113" t="n">
        <v>100</v>
      </c>
      <c r="AH113" t="n">
        <v>100</v>
      </c>
      <c r="AI113" t="n">
        <v>100</v>
      </c>
      <c r="AJ113" t="n">
        <v>100</v>
      </c>
      <c r="AK113" t="n">
        <v>100</v>
      </c>
      <c r="AL113" t="n">
        <v>100</v>
      </c>
      <c r="AM113" t="n">
        <v>100</v>
      </c>
      <c r="AN113" t="n">
        <v>100</v>
      </c>
      <c r="AO113" t="n">
        <v>100</v>
      </c>
      <c r="AP113" t="n">
        <v>100</v>
      </c>
      <c r="AQ113" t="n">
        <v>100</v>
      </c>
      <c r="AR113" t="n">
        <v>100</v>
      </c>
      <c r="AS113" t="n">
        <v>100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inlineStr">
        <is>
          <t>PLTGU MRTWR #4 .0</t>
        </is>
      </c>
      <c r="B114" t="n">
        <v>232.79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inlineStr">
        <is>
          <t>PLTGU MRTWR #4 .1</t>
        </is>
      </c>
      <c r="B115" t="n">
        <v>140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inlineStr">
        <is>
          <t>PLTGU MRTWR #4 .2</t>
        </is>
      </c>
      <c r="B116" t="n">
        <v>140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inlineStr">
        <is>
          <t>PLTGU MRTWR #4 .3</t>
        </is>
      </c>
      <c r="B117" t="n">
        <v>140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</row>
    <row r="119">
      <c r="A119" t="inlineStr">
        <is>
          <t>PLTGU MTWAR #5 .0</t>
        </is>
      </c>
      <c r="B119" t="n">
        <v>71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inlineStr">
        <is>
          <t>PLTGU MTWAR #5 .1</t>
        </is>
      </c>
      <c r="B120" t="n">
        <v>143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</row>
    <row r="122">
      <c r="A122" t="inlineStr">
        <is>
          <t>PLTU INDRAMAYU #1</t>
        </is>
      </c>
      <c r="B122" t="n">
        <v>290</v>
      </c>
      <c r="C122" t="n">
        <v>200</v>
      </c>
      <c r="D122" t="n">
        <v>200</v>
      </c>
      <c r="E122" t="n">
        <v>200</v>
      </c>
      <c r="F122" t="n">
        <v>200</v>
      </c>
      <c r="G122" t="n">
        <v>200</v>
      </c>
      <c r="H122" t="n">
        <v>200</v>
      </c>
      <c r="I122" t="n">
        <v>200</v>
      </c>
      <c r="J122" t="n">
        <v>200</v>
      </c>
      <c r="K122" t="n">
        <v>200</v>
      </c>
      <c r="L122" t="n">
        <v>200</v>
      </c>
      <c r="M122" t="n">
        <v>200</v>
      </c>
      <c r="N122" t="n">
        <v>200</v>
      </c>
      <c r="O122" t="n">
        <v>200</v>
      </c>
      <c r="P122" t="n">
        <v>200</v>
      </c>
      <c r="Q122" t="n">
        <v>249.25</v>
      </c>
      <c r="R122" t="n">
        <v>290</v>
      </c>
      <c r="S122" t="n">
        <v>290</v>
      </c>
      <c r="T122" t="n">
        <v>290</v>
      </c>
      <c r="U122" t="n">
        <v>290</v>
      </c>
      <c r="V122" t="n">
        <v>290</v>
      </c>
      <c r="W122" t="n">
        <v>290</v>
      </c>
      <c r="X122" t="n">
        <v>290</v>
      </c>
      <c r="Y122" t="n">
        <v>290</v>
      </c>
      <c r="Z122" t="n">
        <v>290</v>
      </c>
      <c r="AA122" t="n">
        <v>290</v>
      </c>
      <c r="AB122" t="n">
        <v>290</v>
      </c>
      <c r="AC122" t="n">
        <v>290</v>
      </c>
      <c r="AD122" t="n">
        <v>290</v>
      </c>
      <c r="AE122" t="n">
        <v>290</v>
      </c>
      <c r="AF122" t="n">
        <v>290</v>
      </c>
      <c r="AG122" t="n">
        <v>290</v>
      </c>
      <c r="AH122" t="n">
        <v>290</v>
      </c>
      <c r="AI122" t="n">
        <v>290</v>
      </c>
      <c r="AJ122" t="n">
        <v>290</v>
      </c>
      <c r="AK122" t="n">
        <v>290</v>
      </c>
      <c r="AL122" t="n">
        <v>290</v>
      </c>
      <c r="AM122" t="n">
        <v>290</v>
      </c>
      <c r="AN122" t="n">
        <v>290</v>
      </c>
      <c r="AO122" t="n">
        <v>290</v>
      </c>
      <c r="AP122" t="n">
        <v>290</v>
      </c>
      <c r="AQ122" t="n">
        <v>290</v>
      </c>
      <c r="AR122" t="n">
        <v>290</v>
      </c>
      <c r="AS122" t="n">
        <v>290</v>
      </c>
      <c r="AT122" t="n">
        <v>290</v>
      </c>
      <c r="AU122" t="n">
        <v>290</v>
      </c>
      <c r="AV122" t="n">
        <v>290</v>
      </c>
      <c r="AW122" t="n">
        <v>290</v>
      </c>
      <c r="AX122" t="n">
        <v>290</v>
      </c>
    </row>
    <row r="123">
      <c r="A123" t="inlineStr">
        <is>
          <t>PLTU INDRAMAYU #2</t>
        </is>
      </c>
      <c r="B123" t="n">
        <v>290</v>
      </c>
      <c r="C123" t="n">
        <v>200</v>
      </c>
      <c r="D123" t="n">
        <v>200</v>
      </c>
      <c r="E123" t="n">
        <v>200</v>
      </c>
      <c r="F123" t="n">
        <v>200</v>
      </c>
      <c r="G123" t="n">
        <v>200</v>
      </c>
      <c r="H123" t="n">
        <v>200</v>
      </c>
      <c r="I123" t="n">
        <v>200</v>
      </c>
      <c r="J123" t="n">
        <v>200</v>
      </c>
      <c r="K123" t="n">
        <v>200</v>
      </c>
      <c r="L123" t="n">
        <v>200</v>
      </c>
      <c r="M123" t="n">
        <v>200</v>
      </c>
      <c r="N123" t="n">
        <v>200</v>
      </c>
      <c r="O123" t="n">
        <v>200</v>
      </c>
      <c r="P123" t="n">
        <v>200</v>
      </c>
      <c r="Q123" t="n">
        <v>249.25</v>
      </c>
      <c r="R123" t="n">
        <v>290</v>
      </c>
      <c r="S123" t="n">
        <v>290</v>
      </c>
      <c r="T123" t="n">
        <v>290</v>
      </c>
      <c r="U123" t="n">
        <v>290</v>
      </c>
      <c r="V123" t="n">
        <v>290</v>
      </c>
      <c r="W123" t="n">
        <v>290</v>
      </c>
      <c r="X123" t="n">
        <v>290</v>
      </c>
      <c r="Y123" t="n">
        <v>290</v>
      </c>
      <c r="Z123" t="n">
        <v>290</v>
      </c>
      <c r="AA123" t="n">
        <v>290</v>
      </c>
      <c r="AB123" t="n">
        <v>290</v>
      </c>
      <c r="AC123" t="n">
        <v>290</v>
      </c>
      <c r="AD123" t="n">
        <v>290</v>
      </c>
      <c r="AE123" t="n">
        <v>290</v>
      </c>
      <c r="AF123" t="n">
        <v>290</v>
      </c>
      <c r="AG123" t="n">
        <v>290</v>
      </c>
      <c r="AH123" t="n">
        <v>290</v>
      </c>
      <c r="AI123" t="n">
        <v>290</v>
      </c>
      <c r="AJ123" t="n">
        <v>290</v>
      </c>
      <c r="AK123" t="n">
        <v>290</v>
      </c>
      <c r="AL123" t="n">
        <v>290</v>
      </c>
      <c r="AM123" t="n">
        <v>290</v>
      </c>
      <c r="AN123" t="n">
        <v>290</v>
      </c>
      <c r="AO123" t="n">
        <v>290</v>
      </c>
      <c r="AP123" t="n">
        <v>290</v>
      </c>
      <c r="AQ123" t="n">
        <v>290</v>
      </c>
      <c r="AR123" t="n">
        <v>290</v>
      </c>
      <c r="AS123" t="n">
        <v>290</v>
      </c>
      <c r="AT123" t="n">
        <v>290</v>
      </c>
      <c r="AU123" t="n">
        <v>290</v>
      </c>
      <c r="AV123" t="n">
        <v>290</v>
      </c>
      <c r="AW123" t="n">
        <v>290</v>
      </c>
      <c r="AX123" t="n">
        <v>290</v>
      </c>
    </row>
    <row r="124">
      <c r="A124" t="inlineStr">
        <is>
          <t>PLTU INDRAMAYU #3</t>
        </is>
      </c>
      <c r="B124" t="n">
        <v>290</v>
      </c>
      <c r="C124" t="n">
        <v>200</v>
      </c>
      <c r="D124" t="n">
        <v>200</v>
      </c>
      <c r="E124" t="n">
        <v>200</v>
      </c>
      <c r="F124" t="n">
        <v>200</v>
      </c>
      <c r="G124" t="n">
        <v>200</v>
      </c>
      <c r="H124" t="n">
        <v>200</v>
      </c>
      <c r="I124" t="n">
        <v>200</v>
      </c>
      <c r="J124" t="n">
        <v>200</v>
      </c>
      <c r="K124" t="n">
        <v>200</v>
      </c>
      <c r="L124" t="n">
        <v>200</v>
      </c>
      <c r="M124" t="n">
        <v>200</v>
      </c>
      <c r="N124" t="n">
        <v>200</v>
      </c>
      <c r="O124" t="n">
        <v>200</v>
      </c>
      <c r="P124" t="n">
        <v>200</v>
      </c>
      <c r="Q124" t="n">
        <v>249.25</v>
      </c>
      <c r="R124" t="n">
        <v>290</v>
      </c>
      <c r="S124" t="n">
        <v>290</v>
      </c>
      <c r="T124" t="n">
        <v>290</v>
      </c>
      <c r="U124" t="n">
        <v>290</v>
      </c>
      <c r="V124" t="n">
        <v>290</v>
      </c>
      <c r="W124" t="n">
        <v>290</v>
      </c>
      <c r="X124" t="n">
        <v>290</v>
      </c>
      <c r="Y124" t="n">
        <v>290</v>
      </c>
      <c r="Z124" t="n">
        <v>290</v>
      </c>
      <c r="AA124" t="n">
        <v>290</v>
      </c>
      <c r="AB124" t="n">
        <v>290</v>
      </c>
      <c r="AC124" t="n">
        <v>290</v>
      </c>
      <c r="AD124" t="n">
        <v>290</v>
      </c>
      <c r="AE124" t="n">
        <v>290</v>
      </c>
      <c r="AF124" t="n">
        <v>290</v>
      </c>
      <c r="AG124" t="n">
        <v>290</v>
      </c>
      <c r="AH124" t="n">
        <v>290</v>
      </c>
      <c r="AI124" t="n">
        <v>290</v>
      </c>
      <c r="AJ124" t="n">
        <v>290</v>
      </c>
      <c r="AK124" t="n">
        <v>290</v>
      </c>
      <c r="AL124" t="n">
        <v>290</v>
      </c>
      <c r="AM124" t="n">
        <v>290</v>
      </c>
      <c r="AN124" t="n">
        <v>290</v>
      </c>
      <c r="AO124" t="n">
        <v>290</v>
      </c>
      <c r="AP124" t="n">
        <v>290</v>
      </c>
      <c r="AQ124" t="n">
        <v>290</v>
      </c>
      <c r="AR124" t="n">
        <v>290</v>
      </c>
      <c r="AS124" t="n">
        <v>290</v>
      </c>
      <c r="AT124" t="n">
        <v>290</v>
      </c>
      <c r="AU124" t="n">
        <v>290</v>
      </c>
      <c r="AV124" t="n">
        <v>290</v>
      </c>
      <c r="AW124" t="n">
        <v>290</v>
      </c>
      <c r="AX124" t="n">
        <v>290</v>
      </c>
    </row>
    <row r="125">
      <c r="A125" t="inlineStr"/>
      <c r="B125" t="inlineStr"/>
      <c r="C125" t="inlineStr">
        <is>
          <t>IPP</t>
        </is>
      </c>
      <c r="D125" t="inlineStr">
        <is>
          <t>IPP</t>
        </is>
      </c>
      <c r="E125" t="inlineStr">
        <is>
          <t>IPP</t>
        </is>
      </c>
      <c r="F125" t="inlineStr">
        <is>
          <t>IPP</t>
        </is>
      </c>
      <c r="G125" t="inlineStr">
        <is>
          <t>IPP</t>
        </is>
      </c>
      <c r="H125" t="inlineStr">
        <is>
          <t>IPP</t>
        </is>
      </c>
      <c r="I125" t="inlineStr">
        <is>
          <t>IPP</t>
        </is>
      </c>
      <c r="J125" t="inlineStr">
        <is>
          <t>IPP</t>
        </is>
      </c>
      <c r="K125" t="inlineStr">
        <is>
          <t>IPP</t>
        </is>
      </c>
      <c r="L125" t="inlineStr">
        <is>
          <t>IPP</t>
        </is>
      </c>
      <c r="M125" t="inlineStr">
        <is>
          <t>IPP</t>
        </is>
      </c>
      <c r="N125" t="inlineStr">
        <is>
          <t>IPP</t>
        </is>
      </c>
      <c r="O125" t="inlineStr">
        <is>
          <t>IPP</t>
        </is>
      </c>
      <c r="P125" t="inlineStr">
        <is>
          <t>IPP</t>
        </is>
      </c>
      <c r="Q125" t="inlineStr">
        <is>
          <t>IPP</t>
        </is>
      </c>
      <c r="R125" t="inlineStr">
        <is>
          <t>IPP</t>
        </is>
      </c>
      <c r="S125" t="inlineStr">
        <is>
          <t>IPP</t>
        </is>
      </c>
      <c r="T125" t="inlineStr">
        <is>
          <t>IPP</t>
        </is>
      </c>
      <c r="U125" t="inlineStr">
        <is>
          <t>IPP</t>
        </is>
      </c>
      <c r="V125" t="inlineStr">
        <is>
          <t>IPP</t>
        </is>
      </c>
      <c r="W125" t="inlineStr">
        <is>
          <t>IPP</t>
        </is>
      </c>
      <c r="X125" t="inlineStr">
        <is>
          <t>IPP</t>
        </is>
      </c>
      <c r="Y125" t="inlineStr">
        <is>
          <t>IPP</t>
        </is>
      </c>
      <c r="Z125" t="inlineStr">
        <is>
          <t>IPP</t>
        </is>
      </c>
      <c r="AA125" t="inlineStr">
        <is>
          <t>IPP</t>
        </is>
      </c>
      <c r="AB125" t="inlineStr">
        <is>
          <t>IPP</t>
        </is>
      </c>
      <c r="AC125" t="inlineStr">
        <is>
          <t>IPP</t>
        </is>
      </c>
      <c r="AD125" t="inlineStr">
        <is>
          <t>IPP</t>
        </is>
      </c>
      <c r="AE125" t="inlineStr">
        <is>
          <t>IPP</t>
        </is>
      </c>
      <c r="AF125" t="inlineStr">
        <is>
          <t>IPP</t>
        </is>
      </c>
      <c r="AG125" t="inlineStr">
        <is>
          <t>IPP</t>
        </is>
      </c>
      <c r="AH125" t="inlineStr">
        <is>
          <t>IPP</t>
        </is>
      </c>
      <c r="AI125" t="inlineStr">
        <is>
          <t>IPP</t>
        </is>
      </c>
      <c r="AJ125" t="inlineStr">
        <is>
          <t>IPP</t>
        </is>
      </c>
      <c r="AK125" t="inlineStr">
        <is>
          <t>IPP</t>
        </is>
      </c>
      <c r="AL125" t="inlineStr">
        <is>
          <t>IPP</t>
        </is>
      </c>
      <c r="AM125" t="inlineStr">
        <is>
          <t>IPP</t>
        </is>
      </c>
      <c r="AN125" t="inlineStr">
        <is>
          <t>IPP</t>
        </is>
      </c>
      <c r="AO125" t="inlineStr">
        <is>
          <t>IPP</t>
        </is>
      </c>
      <c r="AP125" t="inlineStr">
        <is>
          <t>IPP</t>
        </is>
      </c>
      <c r="AQ125" t="inlineStr">
        <is>
          <t>IPP</t>
        </is>
      </c>
      <c r="AR125" t="inlineStr">
        <is>
          <t>IPP</t>
        </is>
      </c>
      <c r="AS125" t="inlineStr">
        <is>
          <t>IPP</t>
        </is>
      </c>
      <c r="AT125" t="inlineStr">
        <is>
          <t>IPP</t>
        </is>
      </c>
      <c r="AU125" t="inlineStr">
        <is>
          <t>IPP</t>
        </is>
      </c>
      <c r="AV125" t="inlineStr">
        <is>
          <t>IPP</t>
        </is>
      </c>
      <c r="AW125" t="inlineStr">
        <is>
          <t>IPP</t>
        </is>
      </c>
      <c r="AX125" t="inlineStr">
        <is>
          <t>IPP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</row>
    <row r="127">
      <c r="A127" t="inlineStr">
        <is>
          <t>PLTA JTLHR</t>
        </is>
      </c>
      <c r="B127" t="inlineStr"/>
      <c r="C127" t="n">
        <v>123</v>
      </c>
      <c r="D127" t="n">
        <v>123</v>
      </c>
      <c r="E127" t="n">
        <v>123</v>
      </c>
      <c r="F127" t="n">
        <v>123</v>
      </c>
      <c r="G127" t="n">
        <v>123</v>
      </c>
      <c r="H127" t="n">
        <v>123</v>
      </c>
      <c r="I127" t="n">
        <v>123</v>
      </c>
      <c r="J127" t="n">
        <v>123</v>
      </c>
      <c r="K127" t="n">
        <v>123</v>
      </c>
      <c r="L127" t="n">
        <v>123</v>
      </c>
      <c r="M127" t="n">
        <v>123</v>
      </c>
      <c r="N127" t="n">
        <v>123</v>
      </c>
      <c r="O127" t="n">
        <v>100</v>
      </c>
      <c r="P127" t="n">
        <v>108</v>
      </c>
      <c r="Q127" t="n">
        <v>108</v>
      </c>
      <c r="R127" t="n">
        <v>108</v>
      </c>
      <c r="S127" t="n">
        <v>108</v>
      </c>
      <c r="T127" t="n">
        <v>118</v>
      </c>
      <c r="U127" t="n">
        <v>134</v>
      </c>
      <c r="V127" t="n">
        <v>132</v>
      </c>
      <c r="W127" t="n">
        <v>132</v>
      </c>
      <c r="X127" t="n">
        <v>132</v>
      </c>
      <c r="Y127" t="n">
        <v>132</v>
      </c>
      <c r="Z127" t="n">
        <v>132</v>
      </c>
      <c r="AA127" t="n">
        <v>127</v>
      </c>
      <c r="AB127" t="n">
        <v>127</v>
      </c>
      <c r="AC127" t="n">
        <v>127</v>
      </c>
      <c r="AD127" t="n">
        <v>127</v>
      </c>
      <c r="AE127" t="n">
        <v>127</v>
      </c>
      <c r="AF127" t="n">
        <v>127</v>
      </c>
      <c r="AG127" t="n">
        <v>127</v>
      </c>
      <c r="AH127" t="n">
        <v>127</v>
      </c>
      <c r="AI127" t="n">
        <v>127</v>
      </c>
      <c r="AJ127" t="n">
        <v>127</v>
      </c>
      <c r="AK127" t="n">
        <v>127</v>
      </c>
      <c r="AL127" t="n">
        <v>127</v>
      </c>
      <c r="AM127" t="n">
        <v>127</v>
      </c>
      <c r="AN127" t="n">
        <v>127</v>
      </c>
      <c r="AO127" t="n">
        <v>124</v>
      </c>
      <c r="AP127" t="n">
        <v>124</v>
      </c>
      <c r="AQ127" t="n">
        <v>124</v>
      </c>
      <c r="AR127" t="n">
        <v>124</v>
      </c>
      <c r="AS127" t="n">
        <v>124</v>
      </c>
      <c r="AT127" t="n">
        <v>124</v>
      </c>
      <c r="AU127" t="n">
        <v>124</v>
      </c>
      <c r="AV127" t="n">
        <v>124</v>
      </c>
      <c r="AW127" t="n">
        <v>124</v>
      </c>
      <c r="AX127" t="n">
        <v>124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</row>
    <row r="129">
      <c r="A129" t="inlineStr">
        <is>
          <t>PLTP DRJAT #2</t>
        </is>
      </c>
      <c r="B129" t="n">
        <v>91.7287</v>
      </c>
      <c r="C129" t="n">
        <v>87.14</v>
      </c>
      <c r="D129" t="n">
        <v>87.14</v>
      </c>
      <c r="E129" t="n">
        <v>87.14</v>
      </c>
      <c r="F129" t="n">
        <v>87.14</v>
      </c>
      <c r="G129" t="n">
        <v>87.14</v>
      </c>
      <c r="H129" t="n">
        <v>87.14</v>
      </c>
      <c r="I129" t="n">
        <v>87.14</v>
      </c>
      <c r="J129" t="n">
        <v>87.14</v>
      </c>
      <c r="K129" t="n">
        <v>87.14</v>
      </c>
      <c r="L129" t="n">
        <v>87.14</v>
      </c>
      <c r="M129" t="n">
        <v>87.14</v>
      </c>
      <c r="N129" t="n">
        <v>87.14</v>
      </c>
      <c r="O129" t="n">
        <v>87.14</v>
      </c>
      <c r="P129" t="n">
        <v>87.14</v>
      </c>
      <c r="Q129" t="n">
        <v>87.14</v>
      </c>
      <c r="R129" t="n">
        <v>87.14</v>
      </c>
      <c r="S129" t="n">
        <v>91.73</v>
      </c>
      <c r="T129" t="n">
        <v>91.73</v>
      </c>
      <c r="U129" t="n">
        <v>91.61</v>
      </c>
      <c r="V129" t="n">
        <v>91.59</v>
      </c>
      <c r="W129" t="n">
        <v>91.48</v>
      </c>
      <c r="X129" t="n">
        <v>91.41</v>
      </c>
      <c r="Y129" t="n">
        <v>91.45999999999999</v>
      </c>
      <c r="Z129" t="n">
        <v>91.69</v>
      </c>
      <c r="AA129" t="n">
        <v>91.73</v>
      </c>
      <c r="AB129" t="n">
        <v>91.45999999999999</v>
      </c>
      <c r="AC129" t="n">
        <v>91.19</v>
      </c>
      <c r="AD129" t="n">
        <v>91.17</v>
      </c>
      <c r="AE129" t="n">
        <v>91.01000000000001</v>
      </c>
      <c r="AF129" t="n">
        <v>91.04000000000001</v>
      </c>
      <c r="AG129" t="n">
        <v>90.95999999999999</v>
      </c>
      <c r="AH129" t="n">
        <v>90.84999999999999</v>
      </c>
      <c r="AI129" t="n">
        <v>91.31999999999999</v>
      </c>
      <c r="AJ129" t="n">
        <v>91.34</v>
      </c>
      <c r="AK129" t="n">
        <v>91.3</v>
      </c>
      <c r="AL129" t="n">
        <v>91.73</v>
      </c>
      <c r="AM129" t="n">
        <v>91.18000000000001</v>
      </c>
      <c r="AN129" t="n">
        <v>91.3</v>
      </c>
      <c r="AO129" t="n">
        <v>91.36</v>
      </c>
      <c r="AP129" t="n">
        <v>91.42</v>
      </c>
      <c r="AQ129" t="n">
        <v>91.53</v>
      </c>
      <c r="AR129" t="n">
        <v>91.73</v>
      </c>
      <c r="AS129" t="n">
        <v>87.14</v>
      </c>
      <c r="AT129" t="n">
        <v>87.14</v>
      </c>
      <c r="AU129" t="n">
        <v>87.14</v>
      </c>
      <c r="AV129" t="n">
        <v>87.14</v>
      </c>
      <c r="AW129" t="n">
        <v>87.14</v>
      </c>
      <c r="AX129" t="n">
        <v>87.14</v>
      </c>
    </row>
    <row r="130">
      <c r="A130" t="inlineStr">
        <is>
          <t>PLTP DRJAT #3</t>
        </is>
      </c>
      <c r="B130" t="n">
        <v>126.78023</v>
      </c>
      <c r="C130" t="n">
        <v>120.44</v>
      </c>
      <c r="D130" t="n">
        <v>120.44</v>
      </c>
      <c r="E130" t="n">
        <v>120.44</v>
      </c>
      <c r="F130" t="n">
        <v>120.44</v>
      </c>
      <c r="G130" t="n">
        <v>120.44</v>
      </c>
      <c r="H130" t="n">
        <v>120.44</v>
      </c>
      <c r="I130" t="n">
        <v>120.44</v>
      </c>
      <c r="J130" t="n">
        <v>120.44</v>
      </c>
      <c r="K130" t="n">
        <v>120.44</v>
      </c>
      <c r="L130" t="n">
        <v>120.44</v>
      </c>
      <c r="M130" t="n">
        <v>120.44</v>
      </c>
      <c r="N130" t="n">
        <v>120.44</v>
      </c>
      <c r="O130" t="n">
        <v>120.44</v>
      </c>
      <c r="P130" t="n">
        <v>120.44</v>
      </c>
      <c r="Q130" t="n">
        <v>120.44</v>
      </c>
      <c r="R130" t="n">
        <v>120.44</v>
      </c>
      <c r="S130" t="n">
        <v>120.44</v>
      </c>
      <c r="T130" t="n">
        <v>120.44</v>
      </c>
      <c r="U130" t="n">
        <v>120.44</v>
      </c>
      <c r="V130" t="n">
        <v>120.44</v>
      </c>
      <c r="W130" t="n">
        <v>120.44</v>
      </c>
      <c r="X130" t="n">
        <v>120.44</v>
      </c>
      <c r="Y130" t="n">
        <v>120.44</v>
      </c>
      <c r="Z130" t="n">
        <v>120.44</v>
      </c>
      <c r="AA130" t="n">
        <v>120.44</v>
      </c>
      <c r="AB130" t="n">
        <v>120.44</v>
      </c>
      <c r="AC130" t="n">
        <v>120.44</v>
      </c>
      <c r="AD130" t="n">
        <v>120.44</v>
      </c>
      <c r="AE130" t="n">
        <v>120.44</v>
      </c>
      <c r="AF130" t="n">
        <v>120.44</v>
      </c>
      <c r="AG130" t="n">
        <v>120.44</v>
      </c>
      <c r="AH130" t="n">
        <v>120.44</v>
      </c>
      <c r="AI130" t="n">
        <v>120.44</v>
      </c>
      <c r="AJ130" t="n">
        <v>120.44</v>
      </c>
      <c r="AK130" t="n">
        <v>120.44</v>
      </c>
      <c r="AL130" t="n">
        <v>126.78</v>
      </c>
      <c r="AM130" t="n">
        <v>120.44</v>
      </c>
      <c r="AN130" t="n">
        <v>120.44</v>
      </c>
      <c r="AO130" t="n">
        <v>120.44</v>
      </c>
      <c r="AP130" t="n">
        <v>120.44</v>
      </c>
      <c r="AQ130" t="n">
        <v>120.44</v>
      </c>
      <c r="AR130" t="n">
        <v>120.44</v>
      </c>
      <c r="AS130" t="n">
        <v>120.44</v>
      </c>
      <c r="AT130" t="n">
        <v>120.44</v>
      </c>
      <c r="AU130" t="n">
        <v>120.44</v>
      </c>
      <c r="AV130" t="n">
        <v>120.44</v>
      </c>
      <c r="AW130" t="n">
        <v>120.44</v>
      </c>
      <c r="AX130" t="n">
        <v>120.44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</row>
    <row r="132">
      <c r="A132" t="inlineStr">
        <is>
          <t>PLTP WYNDU #1</t>
        </is>
      </c>
      <c r="B132" t="n">
        <v>123.36635</v>
      </c>
      <c r="C132" t="n">
        <v>105</v>
      </c>
      <c r="D132" t="n">
        <v>105</v>
      </c>
      <c r="E132" t="n">
        <v>105</v>
      </c>
      <c r="F132" t="n">
        <v>105</v>
      </c>
      <c r="G132" t="n">
        <v>105</v>
      </c>
      <c r="H132" t="n">
        <v>105</v>
      </c>
      <c r="I132" t="n">
        <v>105</v>
      </c>
      <c r="J132" t="n">
        <v>105</v>
      </c>
      <c r="K132" t="n">
        <v>105</v>
      </c>
      <c r="L132" t="n">
        <v>105</v>
      </c>
      <c r="M132" t="n">
        <v>105</v>
      </c>
      <c r="N132" t="n">
        <v>105</v>
      </c>
      <c r="O132" t="n">
        <v>105</v>
      </c>
      <c r="P132" t="n">
        <v>105</v>
      </c>
      <c r="Q132" t="n">
        <v>105</v>
      </c>
      <c r="R132" t="n">
        <v>105</v>
      </c>
      <c r="S132" t="n">
        <v>105</v>
      </c>
      <c r="T132" t="n">
        <v>105</v>
      </c>
      <c r="U132" t="n">
        <v>105</v>
      </c>
      <c r="V132" t="n">
        <v>105</v>
      </c>
      <c r="W132" t="n">
        <v>105</v>
      </c>
      <c r="X132" t="n">
        <v>105</v>
      </c>
      <c r="Y132" t="n">
        <v>105</v>
      </c>
      <c r="Z132" t="n">
        <v>105</v>
      </c>
      <c r="AA132" t="n">
        <v>105</v>
      </c>
      <c r="AB132" t="n">
        <v>105</v>
      </c>
      <c r="AC132" t="n">
        <v>105</v>
      </c>
      <c r="AD132" t="n">
        <v>105</v>
      </c>
      <c r="AE132" t="n">
        <v>105</v>
      </c>
      <c r="AF132" t="n">
        <v>105</v>
      </c>
      <c r="AG132" t="n">
        <v>105</v>
      </c>
      <c r="AH132" t="n">
        <v>105</v>
      </c>
      <c r="AI132" t="n">
        <v>105</v>
      </c>
      <c r="AJ132" t="n">
        <v>105</v>
      </c>
      <c r="AK132" t="n">
        <v>105</v>
      </c>
      <c r="AL132" t="n">
        <v>105</v>
      </c>
      <c r="AM132" t="n">
        <v>105</v>
      </c>
      <c r="AN132" t="n">
        <v>105</v>
      </c>
      <c r="AO132" t="n">
        <v>105</v>
      </c>
      <c r="AP132" t="n">
        <v>105</v>
      </c>
      <c r="AQ132" t="n">
        <v>105</v>
      </c>
      <c r="AR132" t="n">
        <v>105</v>
      </c>
      <c r="AS132" t="n">
        <v>105</v>
      </c>
      <c r="AT132" t="n">
        <v>105</v>
      </c>
      <c r="AU132" t="n">
        <v>105</v>
      </c>
      <c r="AV132" t="n">
        <v>105</v>
      </c>
      <c r="AW132" t="n">
        <v>105</v>
      </c>
      <c r="AX132" t="n">
        <v>105</v>
      </c>
    </row>
    <row r="133">
      <c r="A133" t="inlineStr">
        <is>
          <t>PLTP WYNDU #2</t>
        </is>
      </c>
      <c r="B133" t="n">
        <v>122.32919</v>
      </c>
      <c r="C133" t="n">
        <v>115</v>
      </c>
      <c r="D133" t="n">
        <v>115</v>
      </c>
      <c r="E133" t="n">
        <v>115</v>
      </c>
      <c r="F133" t="n">
        <v>115</v>
      </c>
      <c r="G133" t="n">
        <v>115</v>
      </c>
      <c r="H133" t="n">
        <v>115</v>
      </c>
      <c r="I133" t="n">
        <v>115</v>
      </c>
      <c r="J133" t="n">
        <v>115</v>
      </c>
      <c r="K133" t="n">
        <v>115</v>
      </c>
      <c r="L133" t="n">
        <v>115</v>
      </c>
      <c r="M133" t="n">
        <v>115</v>
      </c>
      <c r="N133" t="n">
        <v>115</v>
      </c>
      <c r="O133" t="n">
        <v>115</v>
      </c>
      <c r="P133" t="n">
        <v>115</v>
      </c>
      <c r="Q133" t="n">
        <v>115</v>
      </c>
      <c r="R133" t="n">
        <v>115</v>
      </c>
      <c r="S133" t="n">
        <v>115</v>
      </c>
      <c r="T133" t="n">
        <v>115</v>
      </c>
      <c r="U133" t="n">
        <v>115</v>
      </c>
      <c r="V133" t="n">
        <v>115</v>
      </c>
      <c r="W133" t="n">
        <v>115</v>
      </c>
      <c r="X133" t="n">
        <v>115</v>
      </c>
      <c r="Y133" t="n">
        <v>115</v>
      </c>
      <c r="Z133" t="n">
        <v>115</v>
      </c>
      <c r="AA133" t="n">
        <v>115</v>
      </c>
      <c r="AB133" t="n">
        <v>115</v>
      </c>
      <c r="AC133" t="n">
        <v>115</v>
      </c>
      <c r="AD133" t="n">
        <v>115</v>
      </c>
      <c r="AE133" t="n">
        <v>115</v>
      </c>
      <c r="AF133" t="n">
        <v>115</v>
      </c>
      <c r="AG133" t="n">
        <v>115</v>
      </c>
      <c r="AH133" t="n">
        <v>115</v>
      </c>
      <c r="AI133" t="n">
        <v>115</v>
      </c>
      <c r="AJ133" t="n">
        <v>115</v>
      </c>
      <c r="AK133" t="n">
        <v>115</v>
      </c>
      <c r="AL133" t="n">
        <v>115</v>
      </c>
      <c r="AM133" t="n">
        <v>115</v>
      </c>
      <c r="AN133" t="n">
        <v>115</v>
      </c>
      <c r="AO133" t="n">
        <v>115</v>
      </c>
      <c r="AP133" t="n">
        <v>115</v>
      </c>
      <c r="AQ133" t="n">
        <v>115</v>
      </c>
      <c r="AR133" t="n">
        <v>115</v>
      </c>
      <c r="AS133" t="n">
        <v>115</v>
      </c>
      <c r="AT133" t="n">
        <v>115</v>
      </c>
      <c r="AU133" t="n">
        <v>115</v>
      </c>
      <c r="AV133" t="n">
        <v>115</v>
      </c>
      <c r="AW133" t="n">
        <v>115</v>
      </c>
      <c r="AX133" t="n">
        <v>115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</row>
    <row r="135">
      <c r="A135" t="inlineStr">
        <is>
          <t>PLTGU CIKARANG</t>
        </is>
      </c>
      <c r="B135" t="n">
        <v>150</v>
      </c>
      <c r="C135" t="n">
        <v>90</v>
      </c>
      <c r="D135" t="n">
        <v>90</v>
      </c>
      <c r="E135" t="n">
        <v>90</v>
      </c>
      <c r="F135" t="n">
        <v>90</v>
      </c>
      <c r="G135" t="n">
        <v>90</v>
      </c>
      <c r="H135" t="n">
        <v>90</v>
      </c>
      <c r="I135" t="n">
        <v>90</v>
      </c>
      <c r="J135" t="n">
        <v>90</v>
      </c>
      <c r="K135" t="n">
        <v>90</v>
      </c>
      <c r="L135" t="n">
        <v>90</v>
      </c>
      <c r="M135" t="n">
        <v>90</v>
      </c>
      <c r="N135" t="n">
        <v>90</v>
      </c>
      <c r="O135" t="n">
        <v>90</v>
      </c>
      <c r="P135" t="n">
        <v>90</v>
      </c>
      <c r="Q135" t="n">
        <v>90</v>
      </c>
      <c r="R135" t="n">
        <v>90</v>
      </c>
      <c r="S135" t="n">
        <v>90</v>
      </c>
      <c r="T135" t="n">
        <v>90</v>
      </c>
      <c r="U135" t="n">
        <v>90</v>
      </c>
      <c r="V135" t="n">
        <v>90</v>
      </c>
      <c r="W135" t="n">
        <v>90</v>
      </c>
      <c r="X135" t="n">
        <v>90</v>
      </c>
      <c r="Y135" t="n">
        <v>90</v>
      </c>
      <c r="Z135" t="n">
        <v>90</v>
      </c>
      <c r="AA135" t="n">
        <v>90</v>
      </c>
      <c r="AB135" t="n">
        <v>90</v>
      </c>
      <c r="AC135" t="n">
        <v>139.22</v>
      </c>
      <c r="AD135" t="n">
        <v>150</v>
      </c>
      <c r="AE135" t="n">
        <v>150</v>
      </c>
      <c r="AF135" t="n">
        <v>150</v>
      </c>
      <c r="AG135" t="n">
        <v>150</v>
      </c>
      <c r="AH135" t="n">
        <v>140.78</v>
      </c>
      <c r="AI135" t="n">
        <v>90</v>
      </c>
      <c r="AJ135" t="n">
        <v>90</v>
      </c>
      <c r="AK135" t="n">
        <v>90</v>
      </c>
      <c r="AL135" t="n">
        <v>150</v>
      </c>
      <c r="AM135" t="n">
        <v>150</v>
      </c>
      <c r="AN135" t="n">
        <v>150</v>
      </c>
      <c r="AO135" t="n">
        <v>150</v>
      </c>
      <c r="AP135" t="n">
        <v>150</v>
      </c>
      <c r="AQ135" t="n">
        <v>150</v>
      </c>
      <c r="AR135" t="n">
        <v>90</v>
      </c>
      <c r="AS135" t="n">
        <v>150</v>
      </c>
      <c r="AT135" t="n">
        <v>150</v>
      </c>
      <c r="AU135" t="n">
        <v>150</v>
      </c>
      <c r="AV135" t="n">
        <v>90</v>
      </c>
      <c r="AW135" t="n">
        <v>90</v>
      </c>
      <c r="AX135" t="n">
        <v>90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</row>
    <row r="137">
      <c r="A137" t="inlineStr">
        <is>
          <t>PLTP KMJNG #4</t>
        </is>
      </c>
      <c r="B137" t="n">
        <v>61.2732</v>
      </c>
      <c r="C137" t="n">
        <v>55.15</v>
      </c>
      <c r="D137" t="n">
        <v>55.15</v>
      </c>
      <c r="E137" t="n">
        <v>55.15</v>
      </c>
      <c r="F137" t="n">
        <v>55.15</v>
      </c>
      <c r="G137" t="n">
        <v>55.15</v>
      </c>
      <c r="H137" t="n">
        <v>55.15</v>
      </c>
      <c r="I137" t="n">
        <v>55.15</v>
      </c>
      <c r="J137" t="n">
        <v>55.15</v>
      </c>
      <c r="K137" t="n">
        <v>55.15</v>
      </c>
      <c r="L137" t="n">
        <v>55.15</v>
      </c>
      <c r="M137" t="n">
        <v>55.15</v>
      </c>
      <c r="N137" t="n">
        <v>55.15</v>
      </c>
      <c r="O137" t="n">
        <v>55.15</v>
      </c>
      <c r="P137" t="n">
        <v>55.15</v>
      </c>
      <c r="Q137" t="n">
        <v>55.15</v>
      </c>
      <c r="R137" t="n">
        <v>55.15</v>
      </c>
      <c r="S137" t="n">
        <v>55.39</v>
      </c>
      <c r="T137" t="n">
        <v>55.2</v>
      </c>
      <c r="U137" t="n">
        <v>55.15</v>
      </c>
      <c r="V137" t="n">
        <v>55.15</v>
      </c>
      <c r="W137" t="n">
        <v>55.15</v>
      </c>
      <c r="X137" t="n">
        <v>55.15</v>
      </c>
      <c r="Y137" t="n">
        <v>55.15</v>
      </c>
      <c r="Z137" t="n">
        <v>55.15</v>
      </c>
      <c r="AA137" t="n">
        <v>55.19</v>
      </c>
      <c r="AB137" t="n">
        <v>55.15</v>
      </c>
      <c r="AC137" t="n">
        <v>55.15</v>
      </c>
      <c r="AD137" t="n">
        <v>55.15</v>
      </c>
      <c r="AE137" t="n">
        <v>55.15</v>
      </c>
      <c r="AF137" t="n">
        <v>55.15</v>
      </c>
      <c r="AG137" t="n">
        <v>55.15</v>
      </c>
      <c r="AH137" t="n">
        <v>55.15</v>
      </c>
      <c r="AI137" t="n">
        <v>55.15</v>
      </c>
      <c r="AJ137" t="n">
        <v>55.15</v>
      </c>
      <c r="AK137" t="n">
        <v>55.15</v>
      </c>
      <c r="AL137" t="n">
        <v>55.15</v>
      </c>
      <c r="AM137" t="n">
        <v>55.15</v>
      </c>
      <c r="AN137" t="n">
        <v>55.15</v>
      </c>
      <c r="AO137" t="n">
        <v>55.15</v>
      </c>
      <c r="AP137" t="n">
        <v>55.15</v>
      </c>
      <c r="AQ137" t="n">
        <v>55.15</v>
      </c>
      <c r="AR137" t="n">
        <v>55.23</v>
      </c>
      <c r="AS137" t="n">
        <v>55.15</v>
      </c>
      <c r="AT137" t="n">
        <v>55.15</v>
      </c>
      <c r="AU137" t="n">
        <v>55.15</v>
      </c>
      <c r="AV137" t="n">
        <v>55.15</v>
      </c>
      <c r="AW137" t="n">
        <v>55.15</v>
      </c>
      <c r="AX137" t="n">
        <v>55.15</v>
      </c>
    </row>
    <row r="138">
      <c r="A138" t="inlineStr">
        <is>
          <t>PLTP KMJNG #5</t>
        </is>
      </c>
      <c r="B138" t="n">
        <v>33</v>
      </c>
      <c r="C138" t="n">
        <v>29.7</v>
      </c>
      <c r="D138" t="n">
        <v>29.7</v>
      </c>
      <c r="E138" t="n">
        <v>29.7</v>
      </c>
      <c r="F138" t="n">
        <v>29.7</v>
      </c>
      <c r="G138" t="n">
        <v>29.7</v>
      </c>
      <c r="H138" t="n">
        <v>29.7</v>
      </c>
      <c r="I138" t="n">
        <v>29.7</v>
      </c>
      <c r="J138" t="n">
        <v>29.7</v>
      </c>
      <c r="K138" t="n">
        <v>29.7</v>
      </c>
      <c r="L138" t="n">
        <v>29.7</v>
      </c>
      <c r="M138" t="n">
        <v>29.7</v>
      </c>
      <c r="N138" t="n">
        <v>29.7</v>
      </c>
      <c r="O138" t="n">
        <v>29.7</v>
      </c>
      <c r="P138" t="n">
        <v>29.7</v>
      </c>
      <c r="Q138" t="n">
        <v>29.7</v>
      </c>
      <c r="R138" t="n">
        <v>29.7</v>
      </c>
      <c r="S138" t="n">
        <v>29.7</v>
      </c>
      <c r="T138" t="n">
        <v>29.7</v>
      </c>
      <c r="U138" t="n">
        <v>29.7</v>
      </c>
      <c r="V138" t="n">
        <v>29.7</v>
      </c>
      <c r="W138" t="n">
        <v>29.7</v>
      </c>
      <c r="X138" t="n">
        <v>29.7</v>
      </c>
      <c r="Y138" t="n">
        <v>29.7</v>
      </c>
      <c r="Z138" t="n">
        <v>29.7</v>
      </c>
      <c r="AA138" t="n">
        <v>29.7</v>
      </c>
      <c r="AB138" t="n">
        <v>29.7</v>
      </c>
      <c r="AC138" t="n">
        <v>29.7</v>
      </c>
      <c r="AD138" t="n">
        <v>29.7</v>
      </c>
      <c r="AE138" t="n">
        <v>29.7</v>
      </c>
      <c r="AF138" t="n">
        <v>29.7</v>
      </c>
      <c r="AG138" t="n">
        <v>29.7</v>
      </c>
      <c r="AH138" t="n">
        <v>29.7</v>
      </c>
      <c r="AI138" t="n">
        <v>29.7</v>
      </c>
      <c r="AJ138" t="n">
        <v>29.7</v>
      </c>
      <c r="AK138" t="n">
        <v>29.7</v>
      </c>
      <c r="AL138" t="n">
        <v>29.7</v>
      </c>
      <c r="AM138" t="n">
        <v>29.7</v>
      </c>
      <c r="AN138" t="n">
        <v>29.7</v>
      </c>
      <c r="AO138" t="n">
        <v>29.7</v>
      </c>
      <c r="AP138" t="n">
        <v>29.7</v>
      </c>
      <c r="AQ138" t="n">
        <v>29.7</v>
      </c>
      <c r="AR138" t="n">
        <v>29.7</v>
      </c>
      <c r="AS138" t="n">
        <v>29.7</v>
      </c>
      <c r="AT138" t="n">
        <v>29.7</v>
      </c>
      <c r="AU138" t="n">
        <v>29.7</v>
      </c>
      <c r="AV138" t="n">
        <v>29.7</v>
      </c>
      <c r="AW138" t="n">
        <v>29.7</v>
      </c>
      <c r="AX138" t="n">
        <v>29.7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</row>
    <row r="140">
      <c r="A140" t="inlineStr">
        <is>
          <t>PLTU IPP CIREBON #1</t>
        </is>
      </c>
      <c r="B140" t="n">
        <v>660</v>
      </c>
      <c r="C140" t="n">
        <v>450</v>
      </c>
      <c r="D140" t="n">
        <v>450</v>
      </c>
      <c r="E140" t="n">
        <v>450</v>
      </c>
      <c r="F140" t="n">
        <v>450</v>
      </c>
      <c r="G140" t="n">
        <v>450</v>
      </c>
      <c r="H140" t="n">
        <v>450</v>
      </c>
      <c r="I140" t="n">
        <v>450</v>
      </c>
      <c r="J140" t="n">
        <v>450</v>
      </c>
      <c r="K140" t="n">
        <v>450</v>
      </c>
      <c r="L140" t="n">
        <v>450</v>
      </c>
      <c r="M140" t="n">
        <v>576.76</v>
      </c>
      <c r="N140" t="n">
        <v>450</v>
      </c>
      <c r="O140" t="n">
        <v>450</v>
      </c>
      <c r="P140" t="n">
        <v>496.8</v>
      </c>
      <c r="Q140" t="n">
        <v>646.8</v>
      </c>
      <c r="R140" t="n">
        <v>646.8</v>
      </c>
      <c r="S140" t="n">
        <v>646.8</v>
      </c>
      <c r="T140" t="n">
        <v>646.8</v>
      </c>
      <c r="U140" t="n">
        <v>646.8</v>
      </c>
      <c r="V140" t="n">
        <v>646.8</v>
      </c>
      <c r="W140" t="n">
        <v>646.8</v>
      </c>
      <c r="X140" t="n">
        <v>646.8</v>
      </c>
      <c r="Y140" t="n">
        <v>646.8</v>
      </c>
      <c r="Z140" t="n">
        <v>646.8</v>
      </c>
      <c r="AA140" t="n">
        <v>646.8</v>
      </c>
      <c r="AB140" t="n">
        <v>646.8</v>
      </c>
      <c r="AC140" t="n">
        <v>646.8</v>
      </c>
      <c r="AD140" t="n">
        <v>646.8</v>
      </c>
      <c r="AE140" t="n">
        <v>646.8</v>
      </c>
      <c r="AF140" t="n">
        <v>646.8</v>
      </c>
      <c r="AG140" t="n">
        <v>646.8</v>
      </c>
      <c r="AH140" t="n">
        <v>646.8</v>
      </c>
      <c r="AI140" t="n">
        <v>646.8</v>
      </c>
      <c r="AJ140" t="n">
        <v>646.8</v>
      </c>
      <c r="AK140" t="n">
        <v>646.8</v>
      </c>
      <c r="AL140" t="n">
        <v>646.8</v>
      </c>
      <c r="AM140" t="n">
        <v>646.8</v>
      </c>
      <c r="AN140" t="n">
        <v>646.8</v>
      </c>
      <c r="AO140" t="n">
        <v>646.8</v>
      </c>
      <c r="AP140" t="n">
        <v>646.8</v>
      </c>
      <c r="AQ140" t="n">
        <v>646.8</v>
      </c>
      <c r="AR140" t="n">
        <v>646.8</v>
      </c>
      <c r="AS140" t="n">
        <v>646.8</v>
      </c>
      <c r="AT140" t="n">
        <v>646.8</v>
      </c>
      <c r="AU140" t="n">
        <v>646.8</v>
      </c>
      <c r="AV140" t="n">
        <v>646.8</v>
      </c>
      <c r="AW140" t="n">
        <v>646.8</v>
      </c>
      <c r="AX140" t="n">
        <v>646.8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</row>
    <row r="142">
      <c r="A142" t="inlineStr">
        <is>
          <t>PLTGU BEKASI POWER #1</t>
        </is>
      </c>
      <c r="B142" t="inlineStr"/>
      <c r="C142" t="n">
        <v>50</v>
      </c>
      <c r="D142" t="n">
        <v>50</v>
      </c>
      <c r="E142" t="n">
        <v>50</v>
      </c>
      <c r="F142" t="n">
        <v>50</v>
      </c>
      <c r="G142" t="n">
        <v>50</v>
      </c>
      <c r="H142" t="n">
        <v>50</v>
      </c>
      <c r="I142" t="n">
        <v>50</v>
      </c>
      <c r="J142" t="n">
        <v>50</v>
      </c>
      <c r="K142" t="n">
        <v>50</v>
      </c>
      <c r="L142" t="n">
        <v>50</v>
      </c>
      <c r="M142" t="n">
        <v>50</v>
      </c>
      <c r="N142" t="n">
        <v>50</v>
      </c>
      <c r="O142" t="n">
        <v>50</v>
      </c>
      <c r="P142" t="n">
        <v>50</v>
      </c>
      <c r="Q142" t="n">
        <v>50</v>
      </c>
      <c r="R142" t="n">
        <v>50</v>
      </c>
      <c r="S142" t="n">
        <v>50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118.8</v>
      </c>
      <c r="AD142" t="n">
        <v>118.8</v>
      </c>
      <c r="AE142" t="n">
        <v>118.8</v>
      </c>
      <c r="AF142" t="n">
        <v>118.8</v>
      </c>
      <c r="AG142" t="n">
        <v>118.8</v>
      </c>
      <c r="AH142" t="n">
        <v>118.8</v>
      </c>
      <c r="AI142" t="n">
        <v>100</v>
      </c>
      <c r="AJ142" t="n">
        <v>100</v>
      </c>
      <c r="AK142" t="n">
        <v>117.05</v>
      </c>
      <c r="AL142" t="n">
        <v>118.8</v>
      </c>
      <c r="AM142" t="n">
        <v>118.8</v>
      </c>
      <c r="AN142" t="n">
        <v>118.8</v>
      </c>
      <c r="AO142" t="n">
        <v>118.8</v>
      </c>
      <c r="AP142" t="n">
        <v>118.8</v>
      </c>
      <c r="AQ142" t="n">
        <v>118.8</v>
      </c>
      <c r="AR142" t="n">
        <v>110.26</v>
      </c>
      <c r="AS142" t="n">
        <v>118.8</v>
      </c>
      <c r="AT142" t="n">
        <v>118.8</v>
      </c>
      <c r="AU142" t="n">
        <v>118.8</v>
      </c>
      <c r="AV142" t="n">
        <v>105.15</v>
      </c>
      <c r="AW142" t="n">
        <v>100</v>
      </c>
      <c r="AX142" t="n">
        <v>100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</row>
    <row r="144">
      <c r="A144" t="inlineStr">
        <is>
          <t>PLTP PATUHA #1</t>
        </is>
      </c>
      <c r="B144" t="n">
        <v>59.57282</v>
      </c>
      <c r="C144" t="n">
        <v>56.59</v>
      </c>
      <c r="D144" t="n">
        <v>56.59</v>
      </c>
      <c r="E144" t="n">
        <v>56.59</v>
      </c>
      <c r="F144" t="n">
        <v>56.59</v>
      </c>
      <c r="G144" t="n">
        <v>56.59</v>
      </c>
      <c r="H144" t="n">
        <v>56.59</v>
      </c>
      <c r="I144" t="n">
        <v>56.59</v>
      </c>
      <c r="J144" t="n">
        <v>56.59</v>
      </c>
      <c r="K144" t="n">
        <v>56.59</v>
      </c>
      <c r="L144" t="n">
        <v>56.59</v>
      </c>
      <c r="M144" t="n">
        <v>56.59</v>
      </c>
      <c r="N144" t="n">
        <v>56.59</v>
      </c>
      <c r="O144" t="n">
        <v>56.59</v>
      </c>
      <c r="P144" t="n">
        <v>56.59</v>
      </c>
      <c r="Q144" t="n">
        <v>56.59</v>
      </c>
      <c r="R144" t="n">
        <v>56.59</v>
      </c>
      <c r="S144" t="n">
        <v>56.59</v>
      </c>
      <c r="T144" t="n">
        <v>56.59</v>
      </c>
      <c r="U144" t="n">
        <v>56.59</v>
      </c>
      <c r="V144" t="n">
        <v>56.59</v>
      </c>
      <c r="W144" t="n">
        <v>56.59</v>
      </c>
      <c r="X144" t="n">
        <v>56.59</v>
      </c>
      <c r="Y144" t="n">
        <v>56.59</v>
      </c>
      <c r="Z144" t="n">
        <v>56.59</v>
      </c>
      <c r="AA144" t="n">
        <v>56.59</v>
      </c>
      <c r="AB144" t="n">
        <v>56.59</v>
      </c>
      <c r="AC144" t="n">
        <v>56.59</v>
      </c>
      <c r="AD144" t="n">
        <v>56.59</v>
      </c>
      <c r="AE144" t="n">
        <v>56.59</v>
      </c>
      <c r="AF144" t="n">
        <v>56.59</v>
      </c>
      <c r="AG144" t="n">
        <v>56.59</v>
      </c>
      <c r="AH144" t="n">
        <v>56.59</v>
      </c>
      <c r="AI144" t="n">
        <v>56.59</v>
      </c>
      <c r="AJ144" t="n">
        <v>56.59</v>
      </c>
      <c r="AK144" t="n">
        <v>56.59</v>
      </c>
      <c r="AL144" t="n">
        <v>56.98</v>
      </c>
      <c r="AM144" t="n">
        <v>56.59</v>
      </c>
      <c r="AN144" t="n">
        <v>56.59</v>
      </c>
      <c r="AO144" t="n">
        <v>56.59</v>
      </c>
      <c r="AP144" t="n">
        <v>56.59</v>
      </c>
      <c r="AQ144" t="n">
        <v>56.59</v>
      </c>
      <c r="AR144" t="n">
        <v>56.59</v>
      </c>
      <c r="AS144" t="n">
        <v>56.59</v>
      </c>
      <c r="AT144" t="n">
        <v>56.59</v>
      </c>
      <c r="AU144" t="n">
        <v>56.59</v>
      </c>
      <c r="AV144" t="n">
        <v>56.59</v>
      </c>
      <c r="AW144" t="n">
        <v>56.59</v>
      </c>
      <c r="AX144" t="n">
        <v>56.59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</row>
    <row r="146">
      <c r="A146" t="inlineStr">
        <is>
          <t>PLTP KARAHA #1</t>
        </is>
      </c>
      <c r="B146" t="n">
        <v>18.5378</v>
      </c>
      <c r="C146" t="n">
        <v>16.68</v>
      </c>
      <c r="D146" t="n">
        <v>16.68</v>
      </c>
      <c r="E146" t="n">
        <v>16.68</v>
      </c>
      <c r="F146" t="n">
        <v>16.68</v>
      </c>
      <c r="G146" t="n">
        <v>16.68</v>
      </c>
      <c r="H146" t="n">
        <v>16.68</v>
      </c>
      <c r="I146" t="n">
        <v>16.68</v>
      </c>
      <c r="J146" t="n">
        <v>16.68</v>
      </c>
      <c r="K146" t="n">
        <v>16.68</v>
      </c>
      <c r="L146" t="n">
        <v>16.68</v>
      </c>
      <c r="M146" t="n">
        <v>16.68</v>
      </c>
      <c r="N146" t="n">
        <v>16.68</v>
      </c>
      <c r="O146" t="n">
        <v>16.68</v>
      </c>
      <c r="P146" t="n">
        <v>16.68</v>
      </c>
      <c r="Q146" t="n">
        <v>16.68</v>
      </c>
      <c r="R146" t="n">
        <v>16.68</v>
      </c>
      <c r="S146" t="n">
        <v>16.68</v>
      </c>
      <c r="T146" t="n">
        <v>16.54</v>
      </c>
      <c r="U146" t="n">
        <v>16.68</v>
      </c>
      <c r="V146" t="n">
        <v>16.68</v>
      </c>
      <c r="W146" t="n">
        <v>16.68</v>
      </c>
      <c r="X146" t="n">
        <v>16.68</v>
      </c>
      <c r="Y146" t="n">
        <v>16.68</v>
      </c>
      <c r="Z146" t="n">
        <v>16.68</v>
      </c>
      <c r="AA146" t="n">
        <v>16.68</v>
      </c>
      <c r="AB146" t="n">
        <v>16.68</v>
      </c>
      <c r="AC146" t="n">
        <v>16.68</v>
      </c>
      <c r="AD146" t="n">
        <v>16.68</v>
      </c>
      <c r="AE146" t="n">
        <v>16.68</v>
      </c>
      <c r="AF146" t="n">
        <v>16.68</v>
      </c>
      <c r="AG146" t="n">
        <v>16.68</v>
      </c>
      <c r="AH146" t="n">
        <v>16.68</v>
      </c>
      <c r="AI146" t="n">
        <v>16.68</v>
      </c>
      <c r="AJ146" t="n">
        <v>16.68</v>
      </c>
      <c r="AK146" t="n">
        <v>16.68</v>
      </c>
      <c r="AL146" t="n">
        <v>16.68</v>
      </c>
      <c r="AM146" t="n">
        <v>16.68</v>
      </c>
      <c r="AN146" t="n">
        <v>16.68</v>
      </c>
      <c r="AO146" t="n">
        <v>16.68</v>
      </c>
      <c r="AP146" t="n">
        <v>16.68</v>
      </c>
      <c r="AQ146" t="n">
        <v>16.68</v>
      </c>
      <c r="AR146" t="n">
        <v>16.68</v>
      </c>
      <c r="AS146" t="n">
        <v>16.68</v>
      </c>
      <c r="AT146" t="n">
        <v>16.68</v>
      </c>
      <c r="AU146" t="n">
        <v>16.68</v>
      </c>
      <c r="AV146" t="n">
        <v>16.68</v>
      </c>
      <c r="AW146" t="n">
        <v>16.68</v>
      </c>
      <c r="AX146" t="n">
        <v>16.68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</row>
    <row r="148">
      <c r="A148" t="inlineStr">
        <is>
          <t>PLTA RAJAMANDALA #1</t>
        </is>
      </c>
      <c r="B148" t="n">
        <v>46.6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</row>
    <row r="150">
      <c r="A150" t="inlineStr">
        <is>
          <t>PLTGU JAWA 1 CILAMAYA #1</t>
        </is>
      </c>
      <c r="B150" t="n">
        <v>880</v>
      </c>
      <c r="C150" t="n">
        <v>380</v>
      </c>
      <c r="D150" t="n">
        <v>380</v>
      </c>
      <c r="E150" t="n">
        <v>380</v>
      </c>
      <c r="F150" t="n">
        <v>380</v>
      </c>
      <c r="G150" t="n">
        <v>380</v>
      </c>
      <c r="H150" t="n">
        <v>380</v>
      </c>
      <c r="I150" t="n">
        <v>380</v>
      </c>
      <c r="J150" t="n">
        <v>380</v>
      </c>
      <c r="K150" t="n">
        <v>380</v>
      </c>
      <c r="L150" t="n">
        <v>380</v>
      </c>
      <c r="M150" t="n">
        <v>380</v>
      </c>
      <c r="N150" t="n">
        <v>380</v>
      </c>
      <c r="O150" t="n">
        <v>380</v>
      </c>
      <c r="P150" t="n">
        <v>380</v>
      </c>
      <c r="Q150" t="n">
        <v>380</v>
      </c>
      <c r="R150" t="n">
        <v>411.73</v>
      </c>
      <c r="S150" t="n">
        <v>704</v>
      </c>
      <c r="T150" t="n">
        <v>704</v>
      </c>
      <c r="U150" t="n">
        <v>704</v>
      </c>
      <c r="V150" t="n">
        <v>704</v>
      </c>
      <c r="W150" t="n">
        <v>704</v>
      </c>
      <c r="X150" t="n">
        <v>704</v>
      </c>
      <c r="Y150" t="n">
        <v>704</v>
      </c>
      <c r="Z150" t="n">
        <v>380</v>
      </c>
      <c r="AA150" t="n">
        <v>380</v>
      </c>
      <c r="AB150" t="n">
        <v>442.91</v>
      </c>
      <c r="AC150" t="n">
        <v>704</v>
      </c>
      <c r="AD150" t="n">
        <v>744.79</v>
      </c>
      <c r="AE150" t="n">
        <v>713.5599999999999</v>
      </c>
      <c r="AF150" t="n">
        <v>819.62</v>
      </c>
      <c r="AG150" t="n">
        <v>741.89</v>
      </c>
      <c r="AH150" t="n">
        <v>704</v>
      </c>
      <c r="AI150" t="n">
        <v>631.5</v>
      </c>
      <c r="AJ150" t="n">
        <v>519.91</v>
      </c>
      <c r="AK150" t="n">
        <v>704</v>
      </c>
      <c r="AL150" t="n">
        <v>862.4</v>
      </c>
      <c r="AM150" t="n">
        <v>828.02</v>
      </c>
      <c r="AN150" t="n">
        <v>704</v>
      </c>
      <c r="AO150" t="n">
        <v>704</v>
      </c>
      <c r="AP150" t="n">
        <v>725.9400000000001</v>
      </c>
      <c r="AQ150" t="n">
        <v>766.34</v>
      </c>
      <c r="AR150" t="n">
        <v>704</v>
      </c>
      <c r="AS150" t="n">
        <v>825.88</v>
      </c>
      <c r="AT150" t="n">
        <v>756.62</v>
      </c>
      <c r="AU150" t="n">
        <v>831.87</v>
      </c>
      <c r="AV150" t="n">
        <v>704</v>
      </c>
      <c r="AW150" t="n">
        <v>704</v>
      </c>
      <c r="AX150" t="n">
        <v>663.83</v>
      </c>
    </row>
    <row r="151">
      <c r="A151" t="inlineStr">
        <is>
          <t>PLTGU JAWA 1 CILAMAYA #2</t>
        </is>
      </c>
      <c r="B151" t="n">
        <v>880</v>
      </c>
      <c r="C151" t="n">
        <v>380</v>
      </c>
      <c r="D151" t="n">
        <v>380</v>
      </c>
      <c r="E151" t="n">
        <v>380</v>
      </c>
      <c r="F151" t="n">
        <v>380</v>
      </c>
      <c r="G151" t="n">
        <v>380</v>
      </c>
      <c r="H151" t="n">
        <v>380</v>
      </c>
      <c r="I151" t="n">
        <v>380</v>
      </c>
      <c r="J151" t="n">
        <v>380</v>
      </c>
      <c r="K151" t="n">
        <v>380</v>
      </c>
      <c r="L151" t="n">
        <v>380</v>
      </c>
      <c r="M151" t="n">
        <v>380</v>
      </c>
      <c r="N151" t="n">
        <v>380</v>
      </c>
      <c r="O151" t="n">
        <v>380</v>
      </c>
      <c r="P151" t="n">
        <v>380</v>
      </c>
      <c r="Q151" t="n">
        <v>380</v>
      </c>
      <c r="R151" t="n">
        <v>704</v>
      </c>
      <c r="S151" t="n">
        <v>704</v>
      </c>
      <c r="T151" t="n">
        <v>457.8</v>
      </c>
      <c r="U151" t="n">
        <v>676.6900000000001</v>
      </c>
      <c r="V151" t="n">
        <v>638.5599999999999</v>
      </c>
      <c r="W151" t="n">
        <v>704</v>
      </c>
      <c r="X151" t="n">
        <v>704</v>
      </c>
      <c r="Y151" t="n">
        <v>639.9400000000001</v>
      </c>
      <c r="Z151" t="n">
        <v>606.23</v>
      </c>
      <c r="AA151" t="n">
        <v>557.51</v>
      </c>
      <c r="AB151" t="n">
        <v>704</v>
      </c>
      <c r="AC151" t="n">
        <v>704</v>
      </c>
      <c r="AD151" t="n">
        <v>704</v>
      </c>
      <c r="AE151" t="n">
        <v>862.4</v>
      </c>
      <c r="AF151" t="n">
        <v>704</v>
      </c>
      <c r="AG151" t="n">
        <v>862.4</v>
      </c>
      <c r="AH151" t="n">
        <v>704</v>
      </c>
      <c r="AI151" t="n">
        <v>704</v>
      </c>
      <c r="AJ151" t="n">
        <v>704</v>
      </c>
      <c r="AK151" t="n">
        <v>704</v>
      </c>
      <c r="AL151" t="n">
        <v>862.4</v>
      </c>
      <c r="AM151" t="n">
        <v>862.4</v>
      </c>
      <c r="AN151" t="n">
        <v>790.6799999999999</v>
      </c>
      <c r="AO151" t="n">
        <v>704</v>
      </c>
      <c r="AP151" t="n">
        <v>862.4</v>
      </c>
      <c r="AQ151" t="n">
        <v>704</v>
      </c>
      <c r="AR151" t="n">
        <v>704</v>
      </c>
      <c r="AS151" t="n">
        <v>862.4</v>
      </c>
      <c r="AT151" t="n">
        <v>862.4</v>
      </c>
      <c r="AU151" t="n">
        <v>704</v>
      </c>
      <c r="AV151" t="n">
        <v>704</v>
      </c>
      <c r="AW151" t="n">
        <v>704</v>
      </c>
      <c r="AX151" t="n">
        <v>380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</row>
    <row r="153">
      <c r="A153" t="inlineStr">
        <is>
          <t>PLTU CEPR #1</t>
        </is>
      </c>
      <c r="B153" t="n">
        <v>924</v>
      </c>
      <c r="C153" t="n">
        <v>370</v>
      </c>
      <c r="D153" t="n">
        <v>370</v>
      </c>
      <c r="E153" t="n">
        <v>370</v>
      </c>
      <c r="F153" t="n">
        <v>370</v>
      </c>
      <c r="G153" t="n">
        <v>370</v>
      </c>
      <c r="H153" t="n">
        <v>370</v>
      </c>
      <c r="I153" t="n">
        <v>370</v>
      </c>
      <c r="J153" t="n">
        <v>370</v>
      </c>
      <c r="K153" t="n">
        <v>370</v>
      </c>
      <c r="L153" t="n">
        <v>605.5</v>
      </c>
      <c r="M153" t="n">
        <v>905.5</v>
      </c>
      <c r="N153" t="n">
        <v>727.03</v>
      </c>
      <c r="O153" t="n">
        <v>554</v>
      </c>
      <c r="P153" t="n">
        <v>605.52</v>
      </c>
      <c r="Q153" t="n">
        <v>905.52</v>
      </c>
      <c r="R153" t="n">
        <v>905.52</v>
      </c>
      <c r="S153" t="n">
        <v>905.52</v>
      </c>
      <c r="T153" t="n">
        <v>905.52</v>
      </c>
      <c r="U153" t="n">
        <v>905.52</v>
      </c>
      <c r="V153" t="n">
        <v>905.52</v>
      </c>
      <c r="W153" t="n">
        <v>905.52</v>
      </c>
      <c r="X153" t="n">
        <v>905.52</v>
      </c>
      <c r="Y153" t="n">
        <v>905.52</v>
      </c>
      <c r="Z153" t="n">
        <v>905.52</v>
      </c>
      <c r="AA153" t="n">
        <v>905.52</v>
      </c>
      <c r="AB153" t="n">
        <v>905.52</v>
      </c>
      <c r="AC153" t="n">
        <v>905.52</v>
      </c>
      <c r="AD153" t="n">
        <v>905.52</v>
      </c>
      <c r="AE153" t="n">
        <v>905.52</v>
      </c>
      <c r="AF153" t="n">
        <v>905.52</v>
      </c>
      <c r="AG153" t="n">
        <v>905.52</v>
      </c>
      <c r="AH153" t="n">
        <v>905.52</v>
      </c>
      <c r="AI153" t="n">
        <v>905.52</v>
      </c>
      <c r="AJ153" t="n">
        <v>905.52</v>
      </c>
      <c r="AK153" t="n">
        <v>905.52</v>
      </c>
      <c r="AL153" t="n">
        <v>905.52</v>
      </c>
      <c r="AM153" t="n">
        <v>905.52</v>
      </c>
      <c r="AN153" t="n">
        <v>905.52</v>
      </c>
      <c r="AO153" t="n">
        <v>905.52</v>
      </c>
      <c r="AP153" t="n">
        <v>905.52</v>
      </c>
      <c r="AQ153" t="n">
        <v>905.52</v>
      </c>
      <c r="AR153" t="n">
        <v>905.52</v>
      </c>
      <c r="AS153" t="n">
        <v>905.52</v>
      </c>
      <c r="AT153" t="n">
        <v>905.52</v>
      </c>
      <c r="AU153" t="n">
        <v>905.52</v>
      </c>
      <c r="AV153" t="n">
        <v>905.52</v>
      </c>
      <c r="AW153" t="n">
        <v>905.52</v>
      </c>
      <c r="AX153" t="n">
        <v>905.52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</row>
    <row r="155">
      <c r="A155" t="inlineStr">
        <is>
          <t>PLTS CRATA #1</t>
        </is>
      </c>
      <c r="B155" t="n">
        <v>145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1.1</v>
      </c>
      <c r="O155" t="n">
        <v>12.64</v>
      </c>
      <c r="P155" t="n">
        <v>26.94</v>
      </c>
      <c r="Q155" t="n">
        <v>48.64</v>
      </c>
      <c r="R155" t="n">
        <v>62.68</v>
      </c>
      <c r="S155" t="n">
        <v>70.87</v>
      </c>
      <c r="T155" t="n">
        <v>83.8</v>
      </c>
      <c r="U155" t="n">
        <v>92.5</v>
      </c>
      <c r="V155" t="n">
        <v>101.67</v>
      </c>
      <c r="W155" t="n">
        <v>107.96</v>
      </c>
      <c r="X155" t="n">
        <v>112.43</v>
      </c>
      <c r="Y155" t="n">
        <v>114.41</v>
      </c>
      <c r="Z155" t="n">
        <v>114.46</v>
      </c>
      <c r="AA155" t="n">
        <v>110.68</v>
      </c>
      <c r="AB155" t="n">
        <v>106.8</v>
      </c>
      <c r="AC155" t="n">
        <v>98.36</v>
      </c>
      <c r="AD155" t="n">
        <v>83.41</v>
      </c>
      <c r="AE155" t="n">
        <v>82.20999999999999</v>
      </c>
      <c r="AF155" t="n">
        <v>80.27</v>
      </c>
      <c r="AG155" t="n">
        <v>48.2</v>
      </c>
      <c r="AH155" t="n">
        <v>30.98</v>
      </c>
      <c r="AI155" t="n">
        <v>31.89</v>
      </c>
      <c r="AJ155" t="n">
        <v>15.27</v>
      </c>
      <c r="AK155" t="n">
        <v>1.97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inlineStr">
        <is>
          <t>PLTS CRATA #1</t>
        </is>
      </c>
      <c r="B156" t="n">
        <v>1e-05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</row>
    <row r="158">
      <c r="A158" t="inlineStr">
        <is>
          <t>PLTA ENS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</row>
    <row r="160">
      <c r="A160" t="inlineStr">
        <is>
          <t>Pembangkitan Area</t>
        </is>
      </c>
      <c r="B160" t="inlineStr"/>
      <c r="C160" t="n">
        <v>3449.44</v>
      </c>
      <c r="D160" t="n">
        <v>3449.44</v>
      </c>
      <c r="E160" t="n">
        <v>3449.44</v>
      </c>
      <c r="F160" t="n">
        <v>3423.3</v>
      </c>
      <c r="G160" t="n">
        <v>3446.7</v>
      </c>
      <c r="H160" t="n">
        <v>3423.3</v>
      </c>
      <c r="I160" t="n">
        <v>3423.3</v>
      </c>
      <c r="J160" t="n">
        <v>3423.3</v>
      </c>
      <c r="K160" t="n">
        <v>3450.44</v>
      </c>
      <c r="L160" t="n">
        <v>3685.94</v>
      </c>
      <c r="M160" t="n">
        <v>4112.7</v>
      </c>
      <c r="N160" t="n">
        <v>3808.57</v>
      </c>
      <c r="O160" t="n">
        <v>3625.08</v>
      </c>
      <c r="P160" t="n">
        <v>3745.7</v>
      </c>
      <c r="Q160" t="n">
        <v>4365.15</v>
      </c>
      <c r="R160" t="n">
        <v>4857.17</v>
      </c>
      <c r="S160" t="n">
        <v>5370.12</v>
      </c>
      <c r="T160" t="n">
        <v>5413.21</v>
      </c>
      <c r="U160" t="n">
        <v>5644.41</v>
      </c>
      <c r="V160" t="n">
        <v>5759</v>
      </c>
      <c r="W160" t="n">
        <v>5974.73</v>
      </c>
      <c r="X160" t="n">
        <v>6014.55</v>
      </c>
      <c r="Y160" t="n">
        <v>5814.88</v>
      </c>
      <c r="Z160" t="n">
        <v>5077.68</v>
      </c>
      <c r="AA160" t="n">
        <v>5081.67</v>
      </c>
      <c r="AB160" t="n">
        <v>5433.48</v>
      </c>
      <c r="AC160" t="n">
        <v>6544.92</v>
      </c>
      <c r="AD160" t="n">
        <v>6581.76</v>
      </c>
      <c r="AE160" t="n">
        <v>6709.57</v>
      </c>
      <c r="AF160" t="n">
        <v>6651.32</v>
      </c>
      <c r="AG160" t="n">
        <v>6699.84</v>
      </c>
      <c r="AH160" t="n">
        <v>6531.65</v>
      </c>
      <c r="AI160" t="n">
        <v>6460.02</v>
      </c>
      <c r="AJ160" t="n">
        <v>6344.97</v>
      </c>
      <c r="AK160" t="n">
        <v>6699.94</v>
      </c>
      <c r="AL160" t="n">
        <v>7136.83</v>
      </c>
      <c r="AM160" t="n">
        <v>7094.13</v>
      </c>
      <c r="AN160" t="n">
        <v>6898.51</v>
      </c>
      <c r="AO160" t="n">
        <v>6808.89</v>
      </c>
      <c r="AP160" t="n">
        <v>6989.29</v>
      </c>
      <c r="AQ160" t="n">
        <v>6871.4</v>
      </c>
      <c r="AR160" t="n">
        <v>6677.69</v>
      </c>
      <c r="AS160" t="n">
        <v>7015.95</v>
      </c>
      <c r="AT160" t="n">
        <v>6759.55</v>
      </c>
      <c r="AU160" t="n">
        <v>6519.25</v>
      </c>
      <c r="AV160" t="n">
        <v>5915.62</v>
      </c>
      <c r="AW160" t="n">
        <v>5740.68</v>
      </c>
      <c r="AX160" t="n">
        <v>4842.92</v>
      </c>
    </row>
    <row r="161">
      <c r="A161" t="inlineStr">
        <is>
          <t>Beban Area</t>
        </is>
      </c>
      <c r="B161" t="inlineStr"/>
      <c r="C161" t="n">
        <v>5622.33</v>
      </c>
      <c r="D161" t="n">
        <v>5575.45</v>
      </c>
      <c r="E161" t="n">
        <v>5570.66</v>
      </c>
      <c r="F161" t="n">
        <v>5498.08</v>
      </c>
      <c r="G161" t="n">
        <v>5464.79</v>
      </c>
      <c r="H161" t="n">
        <v>5430.07</v>
      </c>
      <c r="I161" t="n">
        <v>5460.63</v>
      </c>
      <c r="J161" t="n">
        <v>5506.9</v>
      </c>
      <c r="K161" t="n">
        <v>5664.2</v>
      </c>
      <c r="L161" t="n">
        <v>5861.22</v>
      </c>
      <c r="M161" t="n">
        <v>6074.45</v>
      </c>
      <c r="N161" t="n">
        <v>6003.51</v>
      </c>
      <c r="O161" t="n">
        <v>5892.64</v>
      </c>
      <c r="P161" t="n">
        <v>5917.61</v>
      </c>
      <c r="Q161" t="n">
        <v>6166.73</v>
      </c>
      <c r="R161" t="n">
        <v>6398.56</v>
      </c>
      <c r="S161" t="n">
        <v>6635.96</v>
      </c>
      <c r="T161" t="n">
        <v>6712.69</v>
      </c>
      <c r="U161" t="n">
        <v>6787.39</v>
      </c>
      <c r="V161" t="n">
        <v>6818.41</v>
      </c>
      <c r="W161" t="n">
        <v>6909.89</v>
      </c>
      <c r="X161" t="n">
        <v>6875</v>
      </c>
      <c r="Y161" t="n">
        <v>6796.71</v>
      </c>
      <c r="Z161" t="n">
        <v>6579.06</v>
      </c>
      <c r="AA161" t="n">
        <v>6594.89</v>
      </c>
      <c r="AB161" t="n">
        <v>6839.57</v>
      </c>
      <c r="AC161" t="n">
        <v>7070.51</v>
      </c>
      <c r="AD161" t="n">
        <v>7118.28</v>
      </c>
      <c r="AE161" t="n">
        <v>7149.5</v>
      </c>
      <c r="AF161" t="n">
        <v>7152.88</v>
      </c>
      <c r="AG161" t="n">
        <v>7220.54</v>
      </c>
      <c r="AH161" t="n">
        <v>7215.08</v>
      </c>
      <c r="AI161" t="n">
        <v>7206.69</v>
      </c>
      <c r="AJ161" t="n">
        <v>7202</v>
      </c>
      <c r="AK161" t="n">
        <v>7286.96</v>
      </c>
      <c r="AL161" t="n">
        <v>7505.68</v>
      </c>
      <c r="AM161" t="n">
        <v>7443.11</v>
      </c>
      <c r="AN161" t="n">
        <v>7379.12</v>
      </c>
      <c r="AO161" t="n">
        <v>7355.03</v>
      </c>
      <c r="AP161" t="n">
        <v>7344.15</v>
      </c>
      <c r="AQ161" t="n">
        <v>7356.72</v>
      </c>
      <c r="AR161" t="n">
        <v>7242.91</v>
      </c>
      <c r="AS161" t="n">
        <v>7112.82</v>
      </c>
      <c r="AT161" t="n">
        <v>6967.4</v>
      </c>
      <c r="AU161" t="n">
        <v>6842.89</v>
      </c>
      <c r="AV161" t="n">
        <v>6700.43</v>
      </c>
      <c r="AW161" t="n">
        <v>6575.43</v>
      </c>
      <c r="AX161" t="n">
        <v>6446.08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</row>
    <row r="163">
      <c r="A163" t="inlineStr">
        <is>
          <t>RJTD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</row>
    <row r="164">
      <c r="A164" t="inlineStr"/>
      <c r="B164" t="inlineStr"/>
      <c r="C164" t="inlineStr">
        <is>
          <t>PT. INDONESIA POWER</t>
        </is>
      </c>
      <c r="D164" t="inlineStr">
        <is>
          <t>PT. INDONESIA POWER</t>
        </is>
      </c>
      <c r="E164" t="inlineStr">
        <is>
          <t>PT. INDONESIA POWER</t>
        </is>
      </c>
      <c r="F164" t="inlineStr">
        <is>
          <t>PT. INDONESIA POWER</t>
        </is>
      </c>
      <c r="G164" t="inlineStr">
        <is>
          <t>PT. INDONESIA POWER</t>
        </is>
      </c>
      <c r="H164" t="inlineStr">
        <is>
          <t>PT. INDONESIA POWER</t>
        </is>
      </c>
      <c r="I164" t="inlineStr">
        <is>
          <t>PT. INDONESIA POWER</t>
        </is>
      </c>
      <c r="J164" t="inlineStr">
        <is>
          <t>PT. INDONESIA POWER</t>
        </is>
      </c>
      <c r="K164" t="inlineStr">
        <is>
          <t>PT. INDONESIA POWER</t>
        </is>
      </c>
      <c r="L164" t="inlineStr">
        <is>
          <t>PT. INDONESIA POWER</t>
        </is>
      </c>
      <c r="M164" t="inlineStr">
        <is>
          <t>PT. INDONESIA POWER</t>
        </is>
      </c>
      <c r="N164" t="inlineStr">
        <is>
          <t>PT. INDONESIA POWER</t>
        </is>
      </c>
      <c r="O164" t="inlineStr">
        <is>
          <t>PT. INDONESIA POWER</t>
        </is>
      </c>
      <c r="P164" t="inlineStr">
        <is>
          <t>PT. INDONESIA POWER</t>
        </is>
      </c>
      <c r="Q164" t="inlineStr">
        <is>
          <t>PT. INDONESIA POWER</t>
        </is>
      </c>
      <c r="R164" t="inlineStr">
        <is>
          <t>PT. INDONESIA POWER</t>
        </is>
      </c>
      <c r="S164" t="inlineStr">
        <is>
          <t>PT. INDONESIA POWER</t>
        </is>
      </c>
      <c r="T164" t="inlineStr">
        <is>
          <t>PT. INDONESIA POWER</t>
        </is>
      </c>
      <c r="U164" t="inlineStr">
        <is>
          <t>PT. INDONESIA POWER</t>
        </is>
      </c>
      <c r="V164" t="inlineStr">
        <is>
          <t>PT. INDONESIA POWER</t>
        </is>
      </c>
      <c r="W164" t="inlineStr">
        <is>
          <t>PT. INDONESIA POWER</t>
        </is>
      </c>
      <c r="X164" t="inlineStr">
        <is>
          <t>PT. INDONESIA POWER</t>
        </is>
      </c>
      <c r="Y164" t="inlineStr">
        <is>
          <t>PT. INDONESIA POWER</t>
        </is>
      </c>
      <c r="Z164" t="inlineStr">
        <is>
          <t>PT. INDONESIA POWER</t>
        </is>
      </c>
      <c r="AA164" t="inlineStr">
        <is>
          <t>PT. INDONESIA POWER</t>
        </is>
      </c>
      <c r="AB164" t="inlineStr">
        <is>
          <t>PT. INDONESIA POWER</t>
        </is>
      </c>
      <c r="AC164" t="inlineStr">
        <is>
          <t>PT. INDONESIA POWER</t>
        </is>
      </c>
      <c r="AD164" t="inlineStr">
        <is>
          <t>PT. INDONESIA POWER</t>
        </is>
      </c>
      <c r="AE164" t="inlineStr">
        <is>
          <t>PT. INDONESIA POWER</t>
        </is>
      </c>
      <c r="AF164" t="inlineStr">
        <is>
          <t>PT. INDONESIA POWER</t>
        </is>
      </c>
      <c r="AG164" t="inlineStr">
        <is>
          <t>PT. INDONESIA POWER</t>
        </is>
      </c>
      <c r="AH164" t="inlineStr">
        <is>
          <t>PT. INDONESIA POWER</t>
        </is>
      </c>
      <c r="AI164" t="inlineStr">
        <is>
          <t>PT. INDONESIA POWER</t>
        </is>
      </c>
      <c r="AJ164" t="inlineStr">
        <is>
          <t>PT. INDONESIA POWER</t>
        </is>
      </c>
      <c r="AK164" t="inlineStr">
        <is>
          <t>PT. INDONESIA POWER</t>
        </is>
      </c>
      <c r="AL164" t="inlineStr">
        <is>
          <t>PT. INDONESIA POWER</t>
        </is>
      </c>
      <c r="AM164" t="inlineStr">
        <is>
          <t>PT. INDONESIA POWER</t>
        </is>
      </c>
      <c r="AN164" t="inlineStr">
        <is>
          <t>PT. INDONESIA POWER</t>
        </is>
      </c>
      <c r="AO164" t="inlineStr">
        <is>
          <t>PT. INDONESIA POWER</t>
        </is>
      </c>
      <c r="AP164" t="inlineStr">
        <is>
          <t>PT. INDONESIA POWER</t>
        </is>
      </c>
      <c r="AQ164" t="inlineStr">
        <is>
          <t>PT. INDONESIA POWER</t>
        </is>
      </c>
      <c r="AR164" t="inlineStr">
        <is>
          <t>PT. INDONESIA POWER</t>
        </is>
      </c>
      <c r="AS164" t="inlineStr">
        <is>
          <t>PT. INDONESIA POWER</t>
        </is>
      </c>
      <c r="AT164" t="inlineStr">
        <is>
          <t>PT. INDONESIA POWER</t>
        </is>
      </c>
      <c r="AU164" t="inlineStr">
        <is>
          <t>PT. INDONESIA POWER</t>
        </is>
      </c>
      <c r="AV164" t="inlineStr">
        <is>
          <t>PT. INDONESIA POWER</t>
        </is>
      </c>
      <c r="AW164" t="inlineStr">
        <is>
          <t>PT. INDONESIA POWER</t>
        </is>
      </c>
      <c r="AX164" t="inlineStr">
        <is>
          <t>PT. INDONESIA POWER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</row>
    <row r="166">
      <c r="A166" t="inlineStr">
        <is>
          <t>PLTA Region 3</t>
        </is>
      </c>
      <c r="B166" t="inlineStr"/>
      <c r="C166" t="n">
        <v>8</v>
      </c>
      <c r="D166" t="n">
        <v>8</v>
      </c>
      <c r="E166" t="n">
        <v>8</v>
      </c>
      <c r="F166" t="n">
        <v>8</v>
      </c>
      <c r="G166" t="n">
        <v>8</v>
      </c>
      <c r="H166" t="n">
        <v>8</v>
      </c>
      <c r="I166" t="n">
        <v>8</v>
      </c>
      <c r="J166" t="n">
        <v>8</v>
      </c>
      <c r="K166" t="n">
        <v>8</v>
      </c>
      <c r="L166" t="n">
        <v>8</v>
      </c>
      <c r="M166" t="n">
        <v>8</v>
      </c>
      <c r="N166" t="n">
        <v>8</v>
      </c>
      <c r="O166" t="n">
        <v>8</v>
      </c>
      <c r="P166" t="n">
        <v>8</v>
      </c>
      <c r="Q166" t="n">
        <v>8</v>
      </c>
      <c r="R166" t="n">
        <v>14</v>
      </c>
      <c r="S166" t="n">
        <v>14</v>
      </c>
      <c r="T166" t="n">
        <v>14</v>
      </c>
      <c r="U166" t="n">
        <v>14</v>
      </c>
      <c r="V166" t="n">
        <v>14</v>
      </c>
      <c r="W166" t="n">
        <v>14</v>
      </c>
      <c r="X166" t="n">
        <v>14</v>
      </c>
      <c r="Y166" t="n">
        <v>14</v>
      </c>
      <c r="Z166" t="n">
        <v>14</v>
      </c>
      <c r="AA166" t="n">
        <v>14</v>
      </c>
      <c r="AB166" t="n">
        <v>27</v>
      </c>
      <c r="AC166" t="n">
        <v>27</v>
      </c>
      <c r="AD166" t="n">
        <v>27</v>
      </c>
      <c r="AE166" t="n">
        <v>27</v>
      </c>
      <c r="AF166" t="n">
        <v>27</v>
      </c>
      <c r="AG166" t="n">
        <v>27</v>
      </c>
      <c r="AH166" t="n">
        <v>27</v>
      </c>
      <c r="AI166" t="n">
        <v>27</v>
      </c>
      <c r="AJ166" t="n">
        <v>27</v>
      </c>
      <c r="AK166" t="n">
        <v>27</v>
      </c>
      <c r="AL166" t="n">
        <v>27</v>
      </c>
      <c r="AM166" t="n">
        <v>27</v>
      </c>
      <c r="AN166" t="n">
        <v>27</v>
      </c>
      <c r="AO166" t="n">
        <v>27</v>
      </c>
      <c r="AP166" t="n">
        <v>27</v>
      </c>
      <c r="AQ166" t="n">
        <v>27</v>
      </c>
      <c r="AR166" t="n">
        <v>27</v>
      </c>
      <c r="AS166" t="n">
        <v>14</v>
      </c>
      <c r="AT166" t="n">
        <v>14</v>
      </c>
      <c r="AU166" t="n">
        <v>14</v>
      </c>
      <c r="AV166" t="n">
        <v>14</v>
      </c>
      <c r="AW166" t="n">
        <v>14</v>
      </c>
      <c r="AX166" t="n">
        <v>14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</row>
    <row r="168">
      <c r="A168" t="inlineStr">
        <is>
          <t>PLTA MRICA</t>
        </is>
      </c>
      <c r="B168" t="inlineStr"/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30</v>
      </c>
      <c r="Z168" t="n">
        <v>30</v>
      </c>
      <c r="AA168" t="n">
        <v>30</v>
      </c>
      <c r="AB168" t="n">
        <v>30</v>
      </c>
      <c r="AC168" t="n">
        <v>30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30</v>
      </c>
      <c r="AK168" t="n">
        <v>30</v>
      </c>
      <c r="AL168" t="n">
        <v>30</v>
      </c>
      <c r="AM168" t="n">
        <v>30</v>
      </c>
      <c r="AN168" t="n">
        <v>30</v>
      </c>
      <c r="AO168" t="n">
        <v>30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</row>
    <row r="170">
      <c r="A170" t="inlineStr">
        <is>
          <t>PLTU TBROK #3</t>
        </is>
      </c>
      <c r="B170" t="n">
        <v>110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</row>
    <row r="172">
      <c r="A172" t="inlineStr">
        <is>
          <t>PLTGU TBROK #1</t>
        </is>
      </c>
      <c r="B172" t="inlineStr"/>
      <c r="C172" t="n">
        <v>101.61</v>
      </c>
      <c r="D172" t="n">
        <v>101.61</v>
      </c>
      <c r="E172" t="n">
        <v>101.61</v>
      </c>
      <c r="F172" t="n">
        <v>101.61</v>
      </c>
      <c r="G172" t="n">
        <v>101.61</v>
      </c>
      <c r="H172" t="n">
        <v>101.61</v>
      </c>
      <c r="I172" t="n">
        <v>101.61</v>
      </c>
      <c r="J172" t="n">
        <v>101.61</v>
      </c>
      <c r="K172" t="n">
        <v>101.61</v>
      </c>
      <c r="L172" t="n">
        <v>101.61</v>
      </c>
      <c r="M172" t="n">
        <v>101.61</v>
      </c>
      <c r="N172" t="n">
        <v>101.61</v>
      </c>
      <c r="O172" t="n">
        <v>101.61</v>
      </c>
      <c r="P172" t="n">
        <v>101.61</v>
      </c>
      <c r="Q172" t="n">
        <v>101.61</v>
      </c>
      <c r="R172" t="n">
        <v>101.61</v>
      </c>
      <c r="S172" t="n">
        <v>101.61</v>
      </c>
      <c r="T172" t="n">
        <v>116.13</v>
      </c>
      <c r="U172" t="n">
        <v>116.13</v>
      </c>
      <c r="V172" t="n">
        <v>217.74</v>
      </c>
      <c r="W172" t="n">
        <v>275.81</v>
      </c>
      <c r="X172" t="n">
        <v>275.81</v>
      </c>
      <c r="Y172" t="n">
        <v>275.81</v>
      </c>
      <c r="Z172" t="n">
        <v>246.77</v>
      </c>
      <c r="AA172" t="n">
        <v>246.77</v>
      </c>
      <c r="AB172" t="n">
        <v>309.19</v>
      </c>
      <c r="AC172" t="n">
        <v>309.19</v>
      </c>
      <c r="AD172" t="n">
        <v>309.19</v>
      </c>
      <c r="AE172" t="n">
        <v>309.19</v>
      </c>
      <c r="AF172" t="n">
        <v>309.19</v>
      </c>
      <c r="AG172" t="n">
        <v>309.19</v>
      </c>
      <c r="AH172" t="n">
        <v>304.85</v>
      </c>
      <c r="AI172" t="n">
        <v>250.06</v>
      </c>
      <c r="AJ172" t="n">
        <v>262.83</v>
      </c>
      <c r="AK172" t="n">
        <v>323.07</v>
      </c>
      <c r="AL172" t="n">
        <v>330.75</v>
      </c>
      <c r="AM172" t="n">
        <v>330.34</v>
      </c>
      <c r="AN172" t="n">
        <v>330.34</v>
      </c>
      <c r="AO172" t="n">
        <v>322.89</v>
      </c>
      <c r="AP172" t="n">
        <v>287.33</v>
      </c>
      <c r="AQ172" t="n">
        <v>246.77</v>
      </c>
      <c r="AR172" t="n">
        <v>246.77</v>
      </c>
      <c r="AS172" t="n">
        <v>246.77</v>
      </c>
      <c r="AT172" t="n">
        <v>246.77</v>
      </c>
      <c r="AU172" t="n">
        <v>101.61</v>
      </c>
      <c r="AV172" t="n">
        <v>101.61</v>
      </c>
      <c r="AW172" t="n">
        <v>101.61</v>
      </c>
      <c r="AX172" t="n">
        <v>101.61</v>
      </c>
    </row>
    <row r="173">
      <c r="A173" t="inlineStr">
        <is>
          <t>PLTGU TBROK #2</t>
        </is>
      </c>
      <c r="B173" t="inlineStr"/>
      <c r="C173" t="n">
        <v>101.61</v>
      </c>
      <c r="D173" t="n">
        <v>101.61</v>
      </c>
      <c r="E173" t="n">
        <v>101.61</v>
      </c>
      <c r="F173" t="n">
        <v>101.61</v>
      </c>
      <c r="G173" t="n">
        <v>101.61</v>
      </c>
      <c r="H173" t="n">
        <v>101.61</v>
      </c>
      <c r="I173" t="n">
        <v>101.61</v>
      </c>
      <c r="J173" t="n">
        <v>101.61</v>
      </c>
      <c r="K173" t="n">
        <v>101.61</v>
      </c>
      <c r="L173" t="n">
        <v>101.61</v>
      </c>
      <c r="M173" t="n">
        <v>101.61</v>
      </c>
      <c r="N173" t="n">
        <v>101.61</v>
      </c>
      <c r="O173" t="n">
        <v>101.61</v>
      </c>
      <c r="P173" t="n">
        <v>203.23</v>
      </c>
      <c r="Q173" t="n">
        <v>203.23</v>
      </c>
      <c r="R173" t="n">
        <v>304.84</v>
      </c>
      <c r="S173" t="n">
        <v>304.84</v>
      </c>
      <c r="T173" t="n">
        <v>348.39</v>
      </c>
      <c r="U173" t="n">
        <v>348.39</v>
      </c>
      <c r="V173" t="n">
        <v>348.39</v>
      </c>
      <c r="W173" t="n">
        <v>348.39</v>
      </c>
      <c r="X173" t="n">
        <v>348.39</v>
      </c>
      <c r="Y173" t="n">
        <v>348.39</v>
      </c>
      <c r="Z173" t="n">
        <v>304.84</v>
      </c>
      <c r="AA173" t="n">
        <v>304.84</v>
      </c>
      <c r="AB173" t="n">
        <v>404</v>
      </c>
      <c r="AC173" t="n">
        <v>404</v>
      </c>
      <c r="AD173" t="n">
        <v>404</v>
      </c>
      <c r="AE173" t="n">
        <v>404</v>
      </c>
      <c r="AF173" t="n">
        <v>404</v>
      </c>
      <c r="AG173" t="n">
        <v>404</v>
      </c>
      <c r="AH173" t="n">
        <v>304.84</v>
      </c>
      <c r="AI173" t="n">
        <v>304.84</v>
      </c>
      <c r="AJ173" t="n">
        <v>304.84</v>
      </c>
      <c r="AK173" t="n">
        <v>304.84</v>
      </c>
      <c r="AL173" t="n">
        <v>315</v>
      </c>
      <c r="AM173" t="n">
        <v>304.84</v>
      </c>
      <c r="AN173" t="n">
        <v>304.84</v>
      </c>
      <c r="AO173" t="n">
        <v>304.84</v>
      </c>
      <c r="AP173" t="n">
        <v>304.84</v>
      </c>
      <c r="AQ173" t="n">
        <v>304.84</v>
      </c>
      <c r="AR173" t="n">
        <v>304.84</v>
      </c>
      <c r="AS173" t="n">
        <v>203.23</v>
      </c>
      <c r="AT173" t="n">
        <v>101.61</v>
      </c>
      <c r="AU173" t="n">
        <v>101.61</v>
      </c>
      <c r="AV173" t="n">
        <v>101.61</v>
      </c>
      <c r="AW173" t="n">
        <v>101.61</v>
      </c>
      <c r="AX173" t="n">
        <v>101.61</v>
      </c>
    </row>
    <row r="174">
      <c r="A174" t="inlineStr">
        <is>
          <t>PLTGU TBROK B-3</t>
        </is>
      </c>
      <c r="B174" t="n">
        <v>773.39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</row>
    <row r="176">
      <c r="A176" t="inlineStr">
        <is>
          <t>PLTU ADIPALA #1</t>
        </is>
      </c>
      <c r="B176" t="n">
        <v>615</v>
      </c>
      <c r="C176" t="n">
        <v>450</v>
      </c>
      <c r="D176" t="n">
        <v>450</v>
      </c>
      <c r="E176" t="n">
        <v>450</v>
      </c>
      <c r="F176" t="n">
        <v>450</v>
      </c>
      <c r="G176" t="n">
        <v>450</v>
      </c>
      <c r="H176" t="n">
        <v>450</v>
      </c>
      <c r="I176" t="n">
        <v>450</v>
      </c>
      <c r="J176" t="n">
        <v>450</v>
      </c>
      <c r="K176" t="n">
        <v>450</v>
      </c>
      <c r="L176" t="n">
        <v>450</v>
      </c>
      <c r="M176" t="n">
        <v>450</v>
      </c>
      <c r="N176" t="n">
        <v>450</v>
      </c>
      <c r="O176" t="n">
        <v>450</v>
      </c>
      <c r="P176" t="n">
        <v>450</v>
      </c>
      <c r="Q176" t="n">
        <v>450</v>
      </c>
      <c r="R176" t="n">
        <v>450</v>
      </c>
      <c r="S176" t="n">
        <v>450</v>
      </c>
      <c r="T176" t="n">
        <v>450</v>
      </c>
      <c r="U176" t="n">
        <v>450</v>
      </c>
      <c r="V176" t="n">
        <v>450</v>
      </c>
      <c r="W176" t="n">
        <v>450</v>
      </c>
      <c r="X176" t="n">
        <v>450</v>
      </c>
      <c r="Y176" t="n">
        <v>450</v>
      </c>
      <c r="Z176" t="n">
        <v>450</v>
      </c>
      <c r="AA176" t="n">
        <v>450</v>
      </c>
      <c r="AB176" t="n">
        <v>450</v>
      </c>
      <c r="AC176" t="n">
        <v>450</v>
      </c>
      <c r="AD176" t="n">
        <v>450</v>
      </c>
      <c r="AE176" t="n">
        <v>450</v>
      </c>
      <c r="AF176" t="n">
        <v>450</v>
      </c>
      <c r="AG176" t="n">
        <v>450</v>
      </c>
      <c r="AH176" t="n">
        <v>450</v>
      </c>
      <c r="AI176" t="n">
        <v>450</v>
      </c>
      <c r="AJ176" t="n">
        <v>450</v>
      </c>
      <c r="AK176" t="n">
        <v>450</v>
      </c>
      <c r="AL176" t="n">
        <v>450</v>
      </c>
      <c r="AM176" t="n">
        <v>450</v>
      </c>
      <c r="AN176" t="n">
        <v>450</v>
      </c>
      <c r="AO176" t="n">
        <v>450</v>
      </c>
      <c r="AP176" t="n">
        <v>450</v>
      </c>
      <c r="AQ176" t="n">
        <v>450</v>
      </c>
      <c r="AR176" t="n">
        <v>450</v>
      </c>
      <c r="AS176" t="n">
        <v>450</v>
      </c>
      <c r="AT176" t="n">
        <v>450</v>
      </c>
      <c r="AU176" t="n">
        <v>450</v>
      </c>
      <c r="AV176" t="n">
        <v>450</v>
      </c>
      <c r="AW176" t="n">
        <v>450</v>
      </c>
      <c r="AX176" t="n">
        <v>450</v>
      </c>
    </row>
    <row r="177">
      <c r="A177" t="inlineStr"/>
      <c r="B177" t="inlineStr"/>
      <c r="C177" t="inlineStr">
        <is>
          <t>PT. PEMBANGKITAN JAWA-BALI</t>
        </is>
      </c>
      <c r="D177" t="inlineStr">
        <is>
          <t>PT. PEMBANGKITAN JAWA-BALI</t>
        </is>
      </c>
      <c r="E177" t="inlineStr">
        <is>
          <t>PT. PEMBANGKITAN JAWA-BALI</t>
        </is>
      </c>
      <c r="F177" t="inlineStr">
        <is>
          <t>PT. PEMBANGKITAN JAWA-BALI</t>
        </is>
      </c>
      <c r="G177" t="inlineStr">
        <is>
          <t>PT. PEMBANGKITAN JAWA-BALI</t>
        </is>
      </c>
      <c r="H177" t="inlineStr">
        <is>
          <t>PT. PEMBANGKITAN JAWA-BALI</t>
        </is>
      </c>
      <c r="I177" t="inlineStr">
        <is>
          <t>PT. PEMBANGKITAN JAWA-BALI</t>
        </is>
      </c>
      <c r="J177" t="inlineStr">
        <is>
          <t>PT. PEMBANGKITAN JAWA-BALI</t>
        </is>
      </c>
      <c r="K177" t="inlineStr">
        <is>
          <t>PT. PEMBANGKITAN JAWA-BALI</t>
        </is>
      </c>
      <c r="L177" t="inlineStr">
        <is>
          <t>PT. PEMBANGKITAN JAWA-BALI</t>
        </is>
      </c>
      <c r="M177" t="inlineStr">
        <is>
          <t>PT. PEMBANGKITAN JAWA-BALI</t>
        </is>
      </c>
      <c r="N177" t="inlineStr">
        <is>
          <t>PT. PEMBANGKITAN JAWA-BALI</t>
        </is>
      </c>
      <c r="O177" t="inlineStr">
        <is>
          <t>PT. PEMBANGKITAN JAWA-BALI</t>
        </is>
      </c>
      <c r="P177" t="inlineStr">
        <is>
          <t>PT. PEMBANGKITAN JAWA-BALI</t>
        </is>
      </c>
      <c r="Q177" t="inlineStr">
        <is>
          <t>PT. PEMBANGKITAN JAWA-BALI</t>
        </is>
      </c>
      <c r="R177" t="inlineStr">
        <is>
          <t>PT. PEMBANGKITAN JAWA-BALI</t>
        </is>
      </c>
      <c r="S177" t="inlineStr">
        <is>
          <t>PT. PEMBANGKITAN JAWA-BALI</t>
        </is>
      </c>
      <c r="T177" t="inlineStr">
        <is>
          <t>PT. PEMBANGKITAN JAWA-BALI</t>
        </is>
      </c>
      <c r="U177" t="inlineStr">
        <is>
          <t>PT. PEMBANGKITAN JAWA-BALI</t>
        </is>
      </c>
      <c r="V177" t="inlineStr">
        <is>
          <t>PT. PEMBANGKITAN JAWA-BALI</t>
        </is>
      </c>
      <c r="W177" t="inlineStr">
        <is>
          <t>PT. PEMBANGKITAN JAWA-BALI</t>
        </is>
      </c>
      <c r="X177" t="inlineStr">
        <is>
          <t>PT. PEMBANGKITAN JAWA-BALI</t>
        </is>
      </c>
      <c r="Y177" t="inlineStr">
        <is>
          <t>PT. PEMBANGKITAN JAWA-BALI</t>
        </is>
      </c>
      <c r="Z177" t="inlineStr">
        <is>
          <t>PT. PEMBANGKITAN JAWA-BALI</t>
        </is>
      </c>
      <c r="AA177" t="inlineStr">
        <is>
          <t>PT. PEMBANGKITAN JAWA-BALI</t>
        </is>
      </c>
      <c r="AB177" t="inlineStr">
        <is>
          <t>PT. PEMBANGKITAN JAWA-BALI</t>
        </is>
      </c>
      <c r="AC177" t="inlineStr">
        <is>
          <t>PT. PEMBANGKITAN JAWA-BALI</t>
        </is>
      </c>
      <c r="AD177" t="inlineStr">
        <is>
          <t>PT. PEMBANGKITAN JAWA-BALI</t>
        </is>
      </c>
      <c r="AE177" t="inlineStr">
        <is>
          <t>PT. PEMBANGKITAN JAWA-BALI</t>
        </is>
      </c>
      <c r="AF177" t="inlineStr">
        <is>
          <t>PT. PEMBANGKITAN JAWA-BALI</t>
        </is>
      </c>
      <c r="AG177" t="inlineStr">
        <is>
          <t>PT. PEMBANGKITAN JAWA-BALI</t>
        </is>
      </c>
      <c r="AH177" t="inlineStr">
        <is>
          <t>PT. PEMBANGKITAN JAWA-BALI</t>
        </is>
      </c>
      <c r="AI177" t="inlineStr">
        <is>
          <t>PT. PEMBANGKITAN JAWA-BALI</t>
        </is>
      </c>
      <c r="AJ177" t="inlineStr">
        <is>
          <t>PT. PEMBANGKITAN JAWA-BALI</t>
        </is>
      </c>
      <c r="AK177" t="inlineStr">
        <is>
          <t>PT. PEMBANGKITAN JAWA-BALI</t>
        </is>
      </c>
      <c r="AL177" t="inlineStr">
        <is>
          <t>PT. PEMBANGKITAN JAWA-BALI</t>
        </is>
      </c>
      <c r="AM177" t="inlineStr">
        <is>
          <t>PT. PEMBANGKITAN JAWA-BALI</t>
        </is>
      </c>
      <c r="AN177" t="inlineStr">
        <is>
          <t>PT. PEMBANGKITAN JAWA-BALI</t>
        </is>
      </c>
      <c r="AO177" t="inlineStr">
        <is>
          <t>PT. PEMBANGKITAN JAWA-BALI</t>
        </is>
      </c>
      <c r="AP177" t="inlineStr">
        <is>
          <t>PT. PEMBANGKITAN JAWA-BALI</t>
        </is>
      </c>
      <c r="AQ177" t="inlineStr">
        <is>
          <t>PT. PEMBANGKITAN JAWA-BALI</t>
        </is>
      </c>
      <c r="AR177" t="inlineStr">
        <is>
          <t>PT. PEMBANGKITAN JAWA-BALI</t>
        </is>
      </c>
      <c r="AS177" t="inlineStr">
        <is>
          <t>PT. PEMBANGKITAN JAWA-BALI</t>
        </is>
      </c>
      <c r="AT177" t="inlineStr">
        <is>
          <t>PT. PEMBANGKITAN JAWA-BALI</t>
        </is>
      </c>
      <c r="AU177" t="inlineStr">
        <is>
          <t>PT. PEMBANGKITAN JAWA-BALI</t>
        </is>
      </c>
      <c r="AV177" t="inlineStr">
        <is>
          <t>PT. PEMBANGKITAN JAWA-BALI</t>
        </is>
      </c>
      <c r="AW177" t="inlineStr">
        <is>
          <t>PT. PEMBANGKITAN JAWA-BALI</t>
        </is>
      </c>
      <c r="AX177" t="inlineStr">
        <is>
          <t>PT. PEMBANGKITAN JAWA-BALI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</row>
    <row r="179">
      <c r="A179" t="inlineStr">
        <is>
          <t>PLTU REMBANG #20</t>
        </is>
      </c>
      <c r="B179" t="n">
        <v>280</v>
      </c>
      <c r="C179" t="n">
        <v>200</v>
      </c>
      <c r="D179" t="n">
        <v>200</v>
      </c>
      <c r="E179" t="n">
        <v>200</v>
      </c>
      <c r="F179" t="n">
        <v>200</v>
      </c>
      <c r="G179" t="n">
        <v>200</v>
      </c>
      <c r="H179" t="n">
        <v>200</v>
      </c>
      <c r="I179" t="n">
        <v>200</v>
      </c>
      <c r="J179" t="n">
        <v>200</v>
      </c>
      <c r="K179" t="n">
        <v>200</v>
      </c>
      <c r="L179" t="n">
        <v>200</v>
      </c>
      <c r="M179" t="n">
        <v>200</v>
      </c>
      <c r="N179" t="n">
        <v>200</v>
      </c>
      <c r="O179" t="n">
        <v>200</v>
      </c>
      <c r="P179" t="n">
        <v>200</v>
      </c>
      <c r="Q179" t="n">
        <v>200</v>
      </c>
      <c r="R179" t="n">
        <v>200</v>
      </c>
      <c r="S179" t="n">
        <v>200</v>
      </c>
      <c r="T179" t="n">
        <v>200</v>
      </c>
      <c r="U179" t="n">
        <v>200</v>
      </c>
      <c r="V179" t="n">
        <v>200</v>
      </c>
      <c r="W179" t="n">
        <v>200</v>
      </c>
      <c r="X179" t="n">
        <v>200</v>
      </c>
      <c r="Y179" t="n">
        <v>200</v>
      </c>
      <c r="Z179" t="n">
        <v>200</v>
      </c>
      <c r="AA179" t="n">
        <v>200</v>
      </c>
      <c r="AB179" t="n">
        <v>250</v>
      </c>
      <c r="AC179" t="n">
        <v>250</v>
      </c>
      <c r="AD179" t="n">
        <v>250</v>
      </c>
      <c r="AE179" t="n">
        <v>250</v>
      </c>
      <c r="AF179" t="n">
        <v>250</v>
      </c>
      <c r="AG179" t="n">
        <v>250</v>
      </c>
      <c r="AH179" t="n">
        <v>250</v>
      </c>
      <c r="AI179" t="n">
        <v>250</v>
      </c>
      <c r="AJ179" t="n">
        <v>250</v>
      </c>
      <c r="AK179" t="n">
        <v>250</v>
      </c>
      <c r="AL179" t="n">
        <v>250</v>
      </c>
      <c r="AM179" t="n">
        <v>250</v>
      </c>
      <c r="AN179" t="n">
        <v>250</v>
      </c>
      <c r="AO179" t="n">
        <v>250</v>
      </c>
      <c r="AP179" t="n">
        <v>200</v>
      </c>
      <c r="AQ179" t="n">
        <v>200</v>
      </c>
      <c r="AR179" t="n">
        <v>200</v>
      </c>
      <c r="AS179" t="n">
        <v>200</v>
      </c>
      <c r="AT179" t="n">
        <v>200</v>
      </c>
      <c r="AU179" t="n">
        <v>200</v>
      </c>
      <c r="AV179" t="n">
        <v>200</v>
      </c>
      <c r="AW179" t="n">
        <v>200</v>
      </c>
      <c r="AX179" t="n">
        <v>200</v>
      </c>
    </row>
    <row r="180">
      <c r="A180" t="inlineStr">
        <is>
          <t>PLTU REMBANG #10</t>
        </is>
      </c>
      <c r="B180" t="n">
        <v>280</v>
      </c>
      <c r="C180" t="n">
        <v>200</v>
      </c>
      <c r="D180" t="n">
        <v>200</v>
      </c>
      <c r="E180" t="n">
        <v>200</v>
      </c>
      <c r="F180" t="n">
        <v>200</v>
      </c>
      <c r="G180" t="n">
        <v>200</v>
      </c>
      <c r="H180" t="n">
        <v>200</v>
      </c>
      <c r="I180" t="n">
        <v>200</v>
      </c>
      <c r="J180" t="n">
        <v>200</v>
      </c>
      <c r="K180" t="n">
        <v>200</v>
      </c>
      <c r="L180" t="n">
        <v>200</v>
      </c>
      <c r="M180" t="n">
        <v>200</v>
      </c>
      <c r="N180" t="n">
        <v>200</v>
      </c>
      <c r="O180" t="n">
        <v>200</v>
      </c>
      <c r="P180" t="n">
        <v>200</v>
      </c>
      <c r="Q180" t="n">
        <v>200</v>
      </c>
      <c r="R180" t="n">
        <v>200</v>
      </c>
      <c r="S180" t="n">
        <v>200</v>
      </c>
      <c r="T180" t="n">
        <v>200</v>
      </c>
      <c r="U180" t="n">
        <v>200</v>
      </c>
      <c r="V180" t="n">
        <v>200</v>
      </c>
      <c r="W180" t="n">
        <v>200</v>
      </c>
      <c r="X180" t="n">
        <v>200</v>
      </c>
      <c r="Y180" t="n">
        <v>200</v>
      </c>
      <c r="Z180" t="n">
        <v>200</v>
      </c>
      <c r="AA180" t="n">
        <v>200</v>
      </c>
      <c r="AB180" t="n">
        <v>250</v>
      </c>
      <c r="AC180" t="n">
        <v>250</v>
      </c>
      <c r="AD180" t="n">
        <v>250</v>
      </c>
      <c r="AE180" t="n">
        <v>250</v>
      </c>
      <c r="AF180" t="n">
        <v>250</v>
      </c>
      <c r="AG180" t="n">
        <v>250</v>
      </c>
      <c r="AH180" t="n">
        <v>250</v>
      </c>
      <c r="AI180" t="n">
        <v>250</v>
      </c>
      <c r="AJ180" t="n">
        <v>250</v>
      </c>
      <c r="AK180" t="n">
        <v>250</v>
      </c>
      <c r="AL180" t="n">
        <v>250</v>
      </c>
      <c r="AM180" t="n">
        <v>250</v>
      </c>
      <c r="AN180" t="n">
        <v>250</v>
      </c>
      <c r="AO180" t="n">
        <v>250</v>
      </c>
      <c r="AP180" t="n">
        <v>200</v>
      </c>
      <c r="AQ180" t="n">
        <v>200</v>
      </c>
      <c r="AR180" t="n">
        <v>200</v>
      </c>
      <c r="AS180" t="n">
        <v>200</v>
      </c>
      <c r="AT180" t="n">
        <v>200</v>
      </c>
      <c r="AU180" t="n">
        <v>200</v>
      </c>
      <c r="AV180" t="n">
        <v>200</v>
      </c>
      <c r="AW180" t="n">
        <v>200</v>
      </c>
      <c r="AX180" t="n">
        <v>200</v>
      </c>
    </row>
    <row r="181">
      <c r="A181" t="inlineStr"/>
      <c r="B181" t="inlineStr"/>
      <c r="C181" t="inlineStr">
        <is>
          <t>IPP</t>
        </is>
      </c>
      <c r="D181" t="inlineStr">
        <is>
          <t>IPP</t>
        </is>
      </c>
      <c r="E181" t="inlineStr">
        <is>
          <t>IPP</t>
        </is>
      </c>
      <c r="F181" t="inlineStr">
        <is>
          <t>IPP</t>
        </is>
      </c>
      <c r="G181" t="inlineStr">
        <is>
          <t>IPP</t>
        </is>
      </c>
      <c r="H181" t="inlineStr">
        <is>
          <t>IPP</t>
        </is>
      </c>
      <c r="I181" t="inlineStr">
        <is>
          <t>IPP</t>
        </is>
      </c>
      <c r="J181" t="inlineStr">
        <is>
          <t>IPP</t>
        </is>
      </c>
      <c r="K181" t="inlineStr">
        <is>
          <t>IPP</t>
        </is>
      </c>
      <c r="L181" t="inlineStr">
        <is>
          <t>IPP</t>
        </is>
      </c>
      <c r="M181" t="inlineStr">
        <is>
          <t>IPP</t>
        </is>
      </c>
      <c r="N181" t="inlineStr">
        <is>
          <t>IPP</t>
        </is>
      </c>
      <c r="O181" t="inlineStr">
        <is>
          <t>IPP</t>
        </is>
      </c>
      <c r="P181" t="inlineStr">
        <is>
          <t>IPP</t>
        </is>
      </c>
      <c r="Q181" t="inlineStr">
        <is>
          <t>IPP</t>
        </is>
      </c>
      <c r="R181" t="inlineStr">
        <is>
          <t>IPP</t>
        </is>
      </c>
      <c r="S181" t="inlineStr">
        <is>
          <t>IPP</t>
        </is>
      </c>
      <c r="T181" t="inlineStr">
        <is>
          <t>IPP</t>
        </is>
      </c>
      <c r="U181" t="inlineStr">
        <is>
          <t>IPP</t>
        </is>
      </c>
      <c r="V181" t="inlineStr">
        <is>
          <t>IPP</t>
        </is>
      </c>
      <c r="W181" t="inlineStr">
        <is>
          <t>IPP</t>
        </is>
      </c>
      <c r="X181" t="inlineStr">
        <is>
          <t>IPP</t>
        </is>
      </c>
      <c r="Y181" t="inlineStr">
        <is>
          <t>IPP</t>
        </is>
      </c>
      <c r="Z181" t="inlineStr">
        <is>
          <t>IPP</t>
        </is>
      </c>
      <c r="AA181" t="inlineStr">
        <is>
          <t>IPP</t>
        </is>
      </c>
      <c r="AB181" t="inlineStr">
        <is>
          <t>IPP</t>
        </is>
      </c>
      <c r="AC181" t="inlineStr">
        <is>
          <t>IPP</t>
        </is>
      </c>
      <c r="AD181" t="inlineStr">
        <is>
          <t>IPP</t>
        </is>
      </c>
      <c r="AE181" t="inlineStr">
        <is>
          <t>IPP</t>
        </is>
      </c>
      <c r="AF181" t="inlineStr">
        <is>
          <t>IPP</t>
        </is>
      </c>
      <c r="AG181" t="inlineStr">
        <is>
          <t>IPP</t>
        </is>
      </c>
      <c r="AH181" t="inlineStr">
        <is>
          <t>IPP</t>
        </is>
      </c>
      <c r="AI181" t="inlineStr">
        <is>
          <t>IPP</t>
        </is>
      </c>
      <c r="AJ181" t="inlineStr">
        <is>
          <t>IPP</t>
        </is>
      </c>
      <c r="AK181" t="inlineStr">
        <is>
          <t>IPP</t>
        </is>
      </c>
      <c r="AL181" t="inlineStr">
        <is>
          <t>IPP</t>
        </is>
      </c>
      <c r="AM181" t="inlineStr">
        <is>
          <t>IPP</t>
        </is>
      </c>
      <c r="AN181" t="inlineStr">
        <is>
          <t>IPP</t>
        </is>
      </c>
      <c r="AO181" t="inlineStr">
        <is>
          <t>IPP</t>
        </is>
      </c>
      <c r="AP181" t="inlineStr">
        <is>
          <t>IPP</t>
        </is>
      </c>
      <c r="AQ181" t="inlineStr">
        <is>
          <t>IPP</t>
        </is>
      </c>
      <c r="AR181" t="inlineStr">
        <is>
          <t>IPP</t>
        </is>
      </c>
      <c r="AS181" t="inlineStr">
        <is>
          <t>IPP</t>
        </is>
      </c>
      <c r="AT181" t="inlineStr">
        <is>
          <t>IPP</t>
        </is>
      </c>
      <c r="AU181" t="inlineStr">
        <is>
          <t>IPP</t>
        </is>
      </c>
      <c r="AV181" t="inlineStr">
        <is>
          <t>IPP</t>
        </is>
      </c>
      <c r="AW181" t="inlineStr">
        <is>
          <t>IPP</t>
        </is>
      </c>
      <c r="AX181" t="inlineStr">
        <is>
          <t>IPP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</row>
    <row r="183">
      <c r="A183" t="inlineStr">
        <is>
          <t>PLTP DIENG #1</t>
        </is>
      </c>
      <c r="B183" t="n">
        <v>54.56099</v>
      </c>
      <c r="C183" t="n">
        <v>35</v>
      </c>
      <c r="D183" t="n">
        <v>35</v>
      </c>
      <c r="E183" t="n">
        <v>35</v>
      </c>
      <c r="F183" t="n">
        <v>35</v>
      </c>
      <c r="G183" t="n">
        <v>35</v>
      </c>
      <c r="H183" t="n">
        <v>35</v>
      </c>
      <c r="I183" t="n">
        <v>35</v>
      </c>
      <c r="J183" t="n">
        <v>35</v>
      </c>
      <c r="K183" t="n">
        <v>35</v>
      </c>
      <c r="L183" t="n">
        <v>35</v>
      </c>
      <c r="M183" t="n">
        <v>35</v>
      </c>
      <c r="N183" t="n">
        <v>35</v>
      </c>
      <c r="O183" t="n">
        <v>35</v>
      </c>
      <c r="P183" t="n">
        <v>35</v>
      </c>
      <c r="Q183" t="n">
        <v>35</v>
      </c>
      <c r="R183" t="n">
        <v>35</v>
      </c>
      <c r="S183" t="n">
        <v>35</v>
      </c>
      <c r="T183" t="n">
        <v>35</v>
      </c>
      <c r="U183" t="n">
        <v>35</v>
      </c>
      <c r="V183" t="n">
        <v>35</v>
      </c>
      <c r="W183" t="n">
        <v>35</v>
      </c>
      <c r="X183" t="n">
        <v>35</v>
      </c>
      <c r="Y183" t="n">
        <v>35</v>
      </c>
      <c r="Z183" t="n">
        <v>35</v>
      </c>
      <c r="AA183" t="n">
        <v>35</v>
      </c>
      <c r="AB183" t="n">
        <v>35</v>
      </c>
      <c r="AC183" t="n">
        <v>35</v>
      </c>
      <c r="AD183" t="n">
        <v>35</v>
      </c>
      <c r="AE183" t="n">
        <v>35</v>
      </c>
      <c r="AF183" t="n">
        <v>35</v>
      </c>
      <c r="AG183" t="n">
        <v>35</v>
      </c>
      <c r="AH183" t="n">
        <v>35</v>
      </c>
      <c r="AI183" t="n">
        <v>35</v>
      </c>
      <c r="AJ183" t="n">
        <v>35</v>
      </c>
      <c r="AK183" t="n">
        <v>35</v>
      </c>
      <c r="AL183" t="n">
        <v>35</v>
      </c>
      <c r="AM183" t="n">
        <v>35</v>
      </c>
      <c r="AN183" t="n">
        <v>35</v>
      </c>
      <c r="AO183" t="n">
        <v>35</v>
      </c>
      <c r="AP183" t="n">
        <v>35</v>
      </c>
      <c r="AQ183" t="n">
        <v>35</v>
      </c>
      <c r="AR183" t="n">
        <v>35</v>
      </c>
      <c r="AS183" t="n">
        <v>35</v>
      </c>
      <c r="AT183" t="n">
        <v>35</v>
      </c>
      <c r="AU183" t="n">
        <v>35</v>
      </c>
      <c r="AV183" t="n">
        <v>35</v>
      </c>
      <c r="AW183" t="n">
        <v>35</v>
      </c>
      <c r="AX183" t="n">
        <v>35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</row>
    <row r="185">
      <c r="A185" t="inlineStr">
        <is>
          <t>PLTU CLCAP #1</t>
        </is>
      </c>
      <c r="B185" t="n">
        <v>281</v>
      </c>
      <c r="C185" t="n">
        <v>141</v>
      </c>
      <c r="D185" t="n">
        <v>141</v>
      </c>
      <c r="E185" t="n">
        <v>141</v>
      </c>
      <c r="F185" t="n">
        <v>141</v>
      </c>
      <c r="G185" t="n">
        <v>141</v>
      </c>
      <c r="H185" t="n">
        <v>141</v>
      </c>
      <c r="I185" t="n">
        <v>141</v>
      </c>
      <c r="J185" t="n">
        <v>141</v>
      </c>
      <c r="K185" t="n">
        <v>141</v>
      </c>
      <c r="L185" t="n">
        <v>141</v>
      </c>
      <c r="M185" t="n">
        <v>196.43</v>
      </c>
      <c r="N185" t="n">
        <v>178.62</v>
      </c>
      <c r="O185" t="n">
        <v>141</v>
      </c>
      <c r="P185" t="n">
        <v>141</v>
      </c>
      <c r="Q185" t="n">
        <v>231</v>
      </c>
      <c r="R185" t="n">
        <v>274.4</v>
      </c>
      <c r="S185" t="n">
        <v>274.4</v>
      </c>
      <c r="T185" t="n">
        <v>274.4</v>
      </c>
      <c r="U185" t="n">
        <v>274.4</v>
      </c>
      <c r="V185" t="n">
        <v>274.4</v>
      </c>
      <c r="W185" t="n">
        <v>274.4</v>
      </c>
      <c r="X185" t="n">
        <v>274.4</v>
      </c>
      <c r="Y185" t="n">
        <v>274.4</v>
      </c>
      <c r="Z185" t="n">
        <v>274.4</v>
      </c>
      <c r="AA185" t="n">
        <v>274.4</v>
      </c>
      <c r="AB185" t="n">
        <v>274.4</v>
      </c>
      <c r="AC185" t="n">
        <v>274.4</v>
      </c>
      <c r="AD185" t="n">
        <v>274.4</v>
      </c>
      <c r="AE185" t="n">
        <v>274.4</v>
      </c>
      <c r="AF185" t="n">
        <v>274.4</v>
      </c>
      <c r="AG185" t="n">
        <v>274.4</v>
      </c>
      <c r="AH185" t="n">
        <v>274.4</v>
      </c>
      <c r="AI185" t="n">
        <v>274.4</v>
      </c>
      <c r="AJ185" t="n">
        <v>274.4</v>
      </c>
      <c r="AK185" t="n">
        <v>274.4</v>
      </c>
      <c r="AL185" t="n">
        <v>274.4</v>
      </c>
      <c r="AM185" t="n">
        <v>274.4</v>
      </c>
      <c r="AN185" t="n">
        <v>274.4</v>
      </c>
      <c r="AO185" t="n">
        <v>274.4</v>
      </c>
      <c r="AP185" t="n">
        <v>274.4</v>
      </c>
      <c r="AQ185" t="n">
        <v>274.4</v>
      </c>
      <c r="AR185" t="n">
        <v>274.4</v>
      </c>
      <c r="AS185" t="n">
        <v>274.4</v>
      </c>
      <c r="AT185" t="n">
        <v>274.4</v>
      </c>
      <c r="AU185" t="n">
        <v>274.4</v>
      </c>
      <c r="AV185" t="n">
        <v>274.4</v>
      </c>
      <c r="AW185" t="n">
        <v>274.4</v>
      </c>
      <c r="AX185" t="n">
        <v>274.4</v>
      </c>
    </row>
    <row r="186">
      <c r="A186" t="inlineStr">
        <is>
          <t>PLTU CLCAP #2</t>
        </is>
      </c>
      <c r="B186" t="n">
        <v>281</v>
      </c>
      <c r="C186" t="n">
        <v>141</v>
      </c>
      <c r="D186" t="n">
        <v>141</v>
      </c>
      <c r="E186" t="n">
        <v>141</v>
      </c>
      <c r="F186" t="n">
        <v>141</v>
      </c>
      <c r="G186" t="n">
        <v>141</v>
      </c>
      <c r="H186" t="n">
        <v>141</v>
      </c>
      <c r="I186" t="n">
        <v>141</v>
      </c>
      <c r="J186" t="n">
        <v>141</v>
      </c>
      <c r="K186" t="n">
        <v>141</v>
      </c>
      <c r="L186" t="n">
        <v>141</v>
      </c>
      <c r="M186" t="n">
        <v>141</v>
      </c>
      <c r="N186" t="n">
        <v>141</v>
      </c>
      <c r="O186" t="n">
        <v>141</v>
      </c>
      <c r="P186" t="n">
        <v>141</v>
      </c>
      <c r="Q186" t="n">
        <v>231</v>
      </c>
      <c r="R186" t="n">
        <v>274.4</v>
      </c>
      <c r="S186" t="n">
        <v>274.4</v>
      </c>
      <c r="T186" t="n">
        <v>274.4</v>
      </c>
      <c r="U186" t="n">
        <v>274.4</v>
      </c>
      <c r="V186" t="n">
        <v>274.4</v>
      </c>
      <c r="W186" t="n">
        <v>274.4</v>
      </c>
      <c r="X186" t="n">
        <v>274.4</v>
      </c>
      <c r="Y186" t="n">
        <v>274.4</v>
      </c>
      <c r="Z186" t="n">
        <v>274.4</v>
      </c>
      <c r="AA186" t="n">
        <v>274.4</v>
      </c>
      <c r="AB186" t="n">
        <v>274.4</v>
      </c>
      <c r="AC186" t="n">
        <v>274.4</v>
      </c>
      <c r="AD186" t="n">
        <v>274.4</v>
      </c>
      <c r="AE186" t="n">
        <v>274.4</v>
      </c>
      <c r="AF186" t="n">
        <v>274.4</v>
      </c>
      <c r="AG186" t="n">
        <v>274.4</v>
      </c>
      <c r="AH186" t="n">
        <v>274.4</v>
      </c>
      <c r="AI186" t="n">
        <v>274.4</v>
      </c>
      <c r="AJ186" t="n">
        <v>274.4</v>
      </c>
      <c r="AK186" t="n">
        <v>274.4</v>
      </c>
      <c r="AL186" t="n">
        <v>274.4</v>
      </c>
      <c r="AM186" t="n">
        <v>274.4</v>
      </c>
      <c r="AN186" t="n">
        <v>274.4</v>
      </c>
      <c r="AO186" t="n">
        <v>274.4</v>
      </c>
      <c r="AP186" t="n">
        <v>274.4</v>
      </c>
      <c r="AQ186" t="n">
        <v>274.4</v>
      </c>
      <c r="AR186" t="n">
        <v>274.4</v>
      </c>
      <c r="AS186" t="n">
        <v>274.4</v>
      </c>
      <c r="AT186" t="n">
        <v>274.4</v>
      </c>
      <c r="AU186" t="n">
        <v>274.4</v>
      </c>
      <c r="AV186" t="n">
        <v>274.4</v>
      </c>
      <c r="AW186" t="n">
        <v>274.4</v>
      </c>
      <c r="AX186" t="n">
        <v>274.4</v>
      </c>
    </row>
    <row r="187">
      <c r="A187" t="inlineStr">
        <is>
          <t>PLTU CLCAP #3</t>
        </is>
      </c>
      <c r="B187" t="n">
        <v>614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</row>
    <row r="188">
      <c r="A188" t="inlineStr">
        <is>
          <t>PLTU CLCAP #4</t>
        </is>
      </c>
      <c r="B188" t="n">
        <v>945</v>
      </c>
      <c r="C188" t="n">
        <v>472.5</v>
      </c>
      <c r="D188" t="n">
        <v>490</v>
      </c>
      <c r="E188" t="n">
        <v>490</v>
      </c>
      <c r="F188" t="n">
        <v>472.5</v>
      </c>
      <c r="G188" t="n">
        <v>472.5</v>
      </c>
      <c r="H188" t="n">
        <v>472.5</v>
      </c>
      <c r="I188" t="n">
        <v>472.5</v>
      </c>
      <c r="J188" t="n">
        <v>472.5</v>
      </c>
      <c r="K188" t="n">
        <v>490</v>
      </c>
      <c r="L188" t="n">
        <v>490</v>
      </c>
      <c r="M188" t="n">
        <v>490</v>
      </c>
      <c r="N188" t="n">
        <v>490</v>
      </c>
      <c r="O188" t="n">
        <v>490</v>
      </c>
      <c r="P188" t="n">
        <v>490</v>
      </c>
      <c r="Q188" t="n">
        <v>490</v>
      </c>
      <c r="R188" t="n">
        <v>490</v>
      </c>
      <c r="S188" t="n">
        <v>490</v>
      </c>
      <c r="T188" t="n">
        <v>490</v>
      </c>
      <c r="U188" t="n">
        <v>490</v>
      </c>
      <c r="V188" t="n">
        <v>490</v>
      </c>
      <c r="W188" t="n">
        <v>490</v>
      </c>
      <c r="X188" t="n">
        <v>490</v>
      </c>
      <c r="Y188" t="n">
        <v>490</v>
      </c>
      <c r="Z188" t="n">
        <v>490</v>
      </c>
      <c r="AA188" t="n">
        <v>490</v>
      </c>
      <c r="AB188" t="n">
        <v>490</v>
      </c>
      <c r="AC188" t="n">
        <v>490</v>
      </c>
      <c r="AD188" t="n">
        <v>490</v>
      </c>
      <c r="AE188" t="n">
        <v>490</v>
      </c>
      <c r="AF188" t="n">
        <v>490</v>
      </c>
      <c r="AG188" t="n">
        <v>490</v>
      </c>
      <c r="AH188" t="n">
        <v>490</v>
      </c>
      <c r="AI188" t="n">
        <v>490</v>
      </c>
      <c r="AJ188" t="n">
        <v>490</v>
      </c>
      <c r="AK188" t="n">
        <v>490</v>
      </c>
      <c r="AL188" t="n">
        <v>490</v>
      </c>
      <c r="AM188" t="n">
        <v>490</v>
      </c>
      <c r="AN188" t="n">
        <v>490</v>
      </c>
      <c r="AO188" t="n">
        <v>490</v>
      </c>
      <c r="AP188" t="n">
        <v>490</v>
      </c>
      <c r="AQ188" t="n">
        <v>490</v>
      </c>
      <c r="AR188" t="n">
        <v>490</v>
      </c>
      <c r="AS188" t="n">
        <v>490</v>
      </c>
      <c r="AT188" t="n">
        <v>490</v>
      </c>
      <c r="AU188" t="n">
        <v>490</v>
      </c>
      <c r="AV188" t="n">
        <v>490</v>
      </c>
      <c r="AW188" t="n">
        <v>490</v>
      </c>
      <c r="AX188" t="n">
        <v>490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</row>
    <row r="190">
      <c r="A190" t="inlineStr">
        <is>
          <t>PLTU BATANG #1</t>
        </is>
      </c>
      <c r="B190" t="n">
        <v>950</v>
      </c>
      <c r="C190" t="n">
        <v>931</v>
      </c>
      <c r="D190" t="n">
        <v>931</v>
      </c>
      <c r="E190" t="n">
        <v>931</v>
      </c>
      <c r="F190" t="n">
        <v>931</v>
      </c>
      <c r="G190" t="n">
        <v>931</v>
      </c>
      <c r="H190" t="n">
        <v>931</v>
      </c>
      <c r="I190" t="n">
        <v>931</v>
      </c>
      <c r="J190" t="n">
        <v>931</v>
      </c>
      <c r="K190" t="n">
        <v>931</v>
      </c>
      <c r="L190" t="n">
        <v>931</v>
      </c>
      <c r="M190" t="n">
        <v>931</v>
      </c>
      <c r="N190" t="n">
        <v>931</v>
      </c>
      <c r="O190" t="n">
        <v>931</v>
      </c>
      <c r="P190" t="n">
        <v>931</v>
      </c>
      <c r="Q190" t="n">
        <v>931</v>
      </c>
      <c r="R190" t="n">
        <v>931</v>
      </c>
      <c r="S190" t="n">
        <v>931</v>
      </c>
      <c r="T190" t="n">
        <v>931</v>
      </c>
      <c r="U190" t="n">
        <v>931</v>
      </c>
      <c r="V190" t="n">
        <v>931</v>
      </c>
      <c r="W190" t="n">
        <v>931</v>
      </c>
      <c r="X190" t="n">
        <v>931</v>
      </c>
      <c r="Y190" t="n">
        <v>931</v>
      </c>
      <c r="Z190" t="n">
        <v>931</v>
      </c>
      <c r="AA190" t="n">
        <v>931</v>
      </c>
      <c r="AB190" t="n">
        <v>931</v>
      </c>
      <c r="AC190" t="n">
        <v>931</v>
      </c>
      <c r="AD190" t="n">
        <v>931</v>
      </c>
      <c r="AE190" t="n">
        <v>931</v>
      </c>
      <c r="AF190" t="n">
        <v>931</v>
      </c>
      <c r="AG190" t="n">
        <v>931</v>
      </c>
      <c r="AH190" t="n">
        <v>931</v>
      </c>
      <c r="AI190" t="n">
        <v>931</v>
      </c>
      <c r="AJ190" t="n">
        <v>931</v>
      </c>
      <c r="AK190" t="n">
        <v>931</v>
      </c>
      <c r="AL190" t="n">
        <v>931</v>
      </c>
      <c r="AM190" t="n">
        <v>931</v>
      </c>
      <c r="AN190" t="n">
        <v>931</v>
      </c>
      <c r="AO190" t="n">
        <v>931</v>
      </c>
      <c r="AP190" t="n">
        <v>931</v>
      </c>
      <c r="AQ190" t="n">
        <v>931</v>
      </c>
      <c r="AR190" t="n">
        <v>931</v>
      </c>
      <c r="AS190" t="n">
        <v>931</v>
      </c>
      <c r="AT190" t="n">
        <v>931</v>
      </c>
      <c r="AU190" t="n">
        <v>931</v>
      </c>
      <c r="AV190" t="n">
        <v>931</v>
      </c>
      <c r="AW190" t="n">
        <v>931</v>
      </c>
      <c r="AX190" t="n">
        <v>931</v>
      </c>
    </row>
    <row r="191">
      <c r="A191" t="inlineStr">
        <is>
          <t>PLTU BATANG #2</t>
        </is>
      </c>
      <c r="B191" t="n">
        <v>950</v>
      </c>
      <c r="C191" t="n">
        <v>931</v>
      </c>
      <c r="D191" t="n">
        <v>931</v>
      </c>
      <c r="E191" t="n">
        <v>931</v>
      </c>
      <c r="F191" t="n">
        <v>931</v>
      </c>
      <c r="G191" t="n">
        <v>931</v>
      </c>
      <c r="H191" t="n">
        <v>931</v>
      </c>
      <c r="I191" t="n">
        <v>931</v>
      </c>
      <c r="J191" t="n">
        <v>931</v>
      </c>
      <c r="K191" t="n">
        <v>931</v>
      </c>
      <c r="L191" t="n">
        <v>931</v>
      </c>
      <c r="M191" t="n">
        <v>931</v>
      </c>
      <c r="N191" t="n">
        <v>931</v>
      </c>
      <c r="O191" t="n">
        <v>931</v>
      </c>
      <c r="P191" t="n">
        <v>931</v>
      </c>
      <c r="Q191" t="n">
        <v>931</v>
      </c>
      <c r="R191" t="n">
        <v>931</v>
      </c>
      <c r="S191" t="n">
        <v>931</v>
      </c>
      <c r="T191" t="n">
        <v>931</v>
      </c>
      <c r="U191" t="n">
        <v>931</v>
      </c>
      <c r="V191" t="n">
        <v>931</v>
      </c>
      <c r="W191" t="n">
        <v>931</v>
      </c>
      <c r="X191" t="n">
        <v>931</v>
      </c>
      <c r="Y191" t="n">
        <v>931</v>
      </c>
      <c r="Z191" t="n">
        <v>931</v>
      </c>
      <c r="AA191" t="n">
        <v>931</v>
      </c>
      <c r="AB191" t="n">
        <v>931</v>
      </c>
      <c r="AC191" t="n">
        <v>931</v>
      </c>
      <c r="AD191" t="n">
        <v>931</v>
      </c>
      <c r="AE191" t="n">
        <v>931</v>
      </c>
      <c r="AF191" t="n">
        <v>931</v>
      </c>
      <c r="AG191" t="n">
        <v>931</v>
      </c>
      <c r="AH191" t="n">
        <v>931</v>
      </c>
      <c r="AI191" t="n">
        <v>931</v>
      </c>
      <c r="AJ191" t="n">
        <v>931</v>
      </c>
      <c r="AK191" t="n">
        <v>931</v>
      </c>
      <c r="AL191" t="n">
        <v>931</v>
      </c>
      <c r="AM191" t="n">
        <v>931</v>
      </c>
      <c r="AN191" t="n">
        <v>931</v>
      </c>
      <c r="AO191" t="n">
        <v>931</v>
      </c>
      <c r="AP191" t="n">
        <v>931</v>
      </c>
      <c r="AQ191" t="n">
        <v>931</v>
      </c>
      <c r="AR191" t="n">
        <v>931</v>
      </c>
      <c r="AS191" t="n">
        <v>931</v>
      </c>
      <c r="AT191" t="n">
        <v>931</v>
      </c>
      <c r="AU191" t="n">
        <v>931</v>
      </c>
      <c r="AV191" t="n">
        <v>931</v>
      </c>
      <c r="AW191" t="n">
        <v>931</v>
      </c>
      <c r="AX191" t="n">
        <v>931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</row>
    <row r="193">
      <c r="A193" t="inlineStr">
        <is>
          <t>PLTU TJATIBJP #5</t>
        </is>
      </c>
      <c r="B193" t="n">
        <v>1000</v>
      </c>
      <c r="C193" t="n">
        <v>980</v>
      </c>
      <c r="D193" t="n">
        <v>980</v>
      </c>
      <c r="E193" t="n">
        <v>980</v>
      </c>
      <c r="F193" t="n">
        <v>980</v>
      </c>
      <c r="G193" t="n">
        <v>980</v>
      </c>
      <c r="H193" t="n">
        <v>980</v>
      </c>
      <c r="I193" t="n">
        <v>980</v>
      </c>
      <c r="J193" t="n">
        <v>980</v>
      </c>
      <c r="K193" t="n">
        <v>980</v>
      </c>
      <c r="L193" t="n">
        <v>980</v>
      </c>
      <c r="M193" t="n">
        <v>980</v>
      </c>
      <c r="N193" t="n">
        <v>980</v>
      </c>
      <c r="O193" t="n">
        <v>980</v>
      </c>
      <c r="P193" t="n">
        <v>980</v>
      </c>
      <c r="Q193" t="n">
        <v>980</v>
      </c>
      <c r="R193" t="n">
        <v>980</v>
      </c>
      <c r="S193" t="n">
        <v>980</v>
      </c>
      <c r="T193" t="n">
        <v>980</v>
      </c>
      <c r="U193" t="n">
        <v>980</v>
      </c>
      <c r="V193" t="n">
        <v>980</v>
      </c>
      <c r="W193" t="n">
        <v>980</v>
      </c>
      <c r="X193" t="n">
        <v>980</v>
      </c>
      <c r="Y193" t="n">
        <v>980</v>
      </c>
      <c r="Z193" t="n">
        <v>980</v>
      </c>
      <c r="AA193" t="n">
        <v>980</v>
      </c>
      <c r="AB193" t="n">
        <v>980</v>
      </c>
      <c r="AC193" t="n">
        <v>980</v>
      </c>
      <c r="AD193" t="n">
        <v>980</v>
      </c>
      <c r="AE193" t="n">
        <v>980</v>
      </c>
      <c r="AF193" t="n">
        <v>980</v>
      </c>
      <c r="AG193" t="n">
        <v>980</v>
      </c>
      <c r="AH193" t="n">
        <v>980</v>
      </c>
      <c r="AI193" t="n">
        <v>980</v>
      </c>
      <c r="AJ193" t="n">
        <v>980</v>
      </c>
      <c r="AK193" t="n">
        <v>980</v>
      </c>
      <c r="AL193" t="n">
        <v>980</v>
      </c>
      <c r="AM193" t="n">
        <v>980</v>
      </c>
      <c r="AN193" t="n">
        <v>980</v>
      </c>
      <c r="AO193" t="n">
        <v>980</v>
      </c>
      <c r="AP193" t="n">
        <v>980</v>
      </c>
      <c r="AQ193" t="n">
        <v>980</v>
      </c>
      <c r="AR193" t="n">
        <v>980</v>
      </c>
      <c r="AS193" t="n">
        <v>980</v>
      </c>
      <c r="AT193" t="n">
        <v>980</v>
      </c>
      <c r="AU193" t="n">
        <v>980</v>
      </c>
      <c r="AV193" t="n">
        <v>980</v>
      </c>
      <c r="AW193" t="n">
        <v>980</v>
      </c>
      <c r="AX193" t="n">
        <v>980</v>
      </c>
    </row>
    <row r="194">
      <c r="A194" t="inlineStr">
        <is>
          <t>PLTU TJATIBJP #6</t>
        </is>
      </c>
      <c r="B194" t="n">
        <v>1000</v>
      </c>
      <c r="C194" t="n">
        <v>980</v>
      </c>
      <c r="D194" t="n">
        <v>980</v>
      </c>
      <c r="E194" t="n">
        <v>980</v>
      </c>
      <c r="F194" t="n">
        <v>980</v>
      </c>
      <c r="G194" t="n">
        <v>980</v>
      </c>
      <c r="H194" t="n">
        <v>980</v>
      </c>
      <c r="I194" t="n">
        <v>980</v>
      </c>
      <c r="J194" t="n">
        <v>980</v>
      </c>
      <c r="K194" t="n">
        <v>980</v>
      </c>
      <c r="L194" t="n">
        <v>980</v>
      </c>
      <c r="M194" t="n">
        <v>980</v>
      </c>
      <c r="N194" t="n">
        <v>980</v>
      </c>
      <c r="O194" t="n">
        <v>980</v>
      </c>
      <c r="P194" t="n">
        <v>980</v>
      </c>
      <c r="Q194" t="n">
        <v>980</v>
      </c>
      <c r="R194" t="n">
        <v>980</v>
      </c>
      <c r="S194" t="n">
        <v>980</v>
      </c>
      <c r="T194" t="n">
        <v>980</v>
      </c>
      <c r="U194" t="n">
        <v>980</v>
      </c>
      <c r="V194" t="n">
        <v>980</v>
      </c>
      <c r="W194" t="n">
        <v>980</v>
      </c>
      <c r="X194" t="n">
        <v>980</v>
      </c>
      <c r="Y194" t="n">
        <v>980</v>
      </c>
      <c r="Z194" t="n">
        <v>980</v>
      </c>
      <c r="AA194" t="n">
        <v>980</v>
      </c>
      <c r="AB194" t="n">
        <v>980</v>
      </c>
      <c r="AC194" t="n">
        <v>980</v>
      </c>
      <c r="AD194" t="n">
        <v>980</v>
      </c>
      <c r="AE194" t="n">
        <v>980</v>
      </c>
      <c r="AF194" t="n">
        <v>980</v>
      </c>
      <c r="AG194" t="n">
        <v>980</v>
      </c>
      <c r="AH194" t="n">
        <v>980</v>
      </c>
      <c r="AI194" t="n">
        <v>980</v>
      </c>
      <c r="AJ194" t="n">
        <v>980</v>
      </c>
      <c r="AK194" t="n">
        <v>980</v>
      </c>
      <c r="AL194" t="n">
        <v>980</v>
      </c>
      <c r="AM194" t="n">
        <v>980</v>
      </c>
      <c r="AN194" t="n">
        <v>980</v>
      </c>
      <c r="AO194" t="n">
        <v>980</v>
      </c>
      <c r="AP194" t="n">
        <v>980</v>
      </c>
      <c r="AQ194" t="n">
        <v>980</v>
      </c>
      <c r="AR194" t="n">
        <v>980</v>
      </c>
      <c r="AS194" t="n">
        <v>980</v>
      </c>
      <c r="AT194" t="n">
        <v>980</v>
      </c>
      <c r="AU194" t="n">
        <v>980</v>
      </c>
      <c r="AV194" t="n">
        <v>980</v>
      </c>
      <c r="AW194" t="n">
        <v>980</v>
      </c>
      <c r="AX194" t="n">
        <v>980</v>
      </c>
    </row>
    <row r="195">
      <c r="A195" t="inlineStr"/>
      <c r="B195" t="inlineStr"/>
      <c r="C195" t="inlineStr">
        <is>
          <t>PEMBANGKITAN TANJUNG JATI</t>
        </is>
      </c>
      <c r="D195" t="inlineStr">
        <is>
          <t>PEMBANGKITAN TANJUNG JATI</t>
        </is>
      </c>
      <c r="E195" t="inlineStr">
        <is>
          <t>PEMBANGKITAN TANJUNG JATI</t>
        </is>
      </c>
      <c r="F195" t="inlineStr">
        <is>
          <t>PEMBANGKITAN TANJUNG JATI</t>
        </is>
      </c>
      <c r="G195" t="inlineStr">
        <is>
          <t>PEMBANGKITAN TANJUNG JATI</t>
        </is>
      </c>
      <c r="H195" t="inlineStr">
        <is>
          <t>PEMBANGKITAN TANJUNG JATI</t>
        </is>
      </c>
      <c r="I195" t="inlineStr">
        <is>
          <t>PEMBANGKITAN TANJUNG JATI</t>
        </is>
      </c>
      <c r="J195" t="inlineStr">
        <is>
          <t>PEMBANGKITAN TANJUNG JATI</t>
        </is>
      </c>
      <c r="K195" t="inlineStr">
        <is>
          <t>PEMBANGKITAN TANJUNG JATI</t>
        </is>
      </c>
      <c r="L195" t="inlineStr">
        <is>
          <t>PEMBANGKITAN TANJUNG JATI</t>
        </is>
      </c>
      <c r="M195" t="inlineStr">
        <is>
          <t>PEMBANGKITAN TANJUNG JATI</t>
        </is>
      </c>
      <c r="N195" t="inlineStr">
        <is>
          <t>PEMBANGKITAN TANJUNG JATI</t>
        </is>
      </c>
      <c r="O195" t="inlineStr">
        <is>
          <t>PEMBANGKITAN TANJUNG JATI</t>
        </is>
      </c>
      <c r="P195" t="inlineStr">
        <is>
          <t>PEMBANGKITAN TANJUNG JATI</t>
        </is>
      </c>
      <c r="Q195" t="inlineStr">
        <is>
          <t>PEMBANGKITAN TANJUNG JATI</t>
        </is>
      </c>
      <c r="R195" t="inlineStr">
        <is>
          <t>PEMBANGKITAN TANJUNG JATI</t>
        </is>
      </c>
      <c r="S195" t="inlineStr">
        <is>
          <t>PEMBANGKITAN TANJUNG JATI</t>
        </is>
      </c>
      <c r="T195" t="inlineStr">
        <is>
          <t>PEMBANGKITAN TANJUNG JATI</t>
        </is>
      </c>
      <c r="U195" t="inlineStr">
        <is>
          <t>PEMBANGKITAN TANJUNG JATI</t>
        </is>
      </c>
      <c r="V195" t="inlineStr">
        <is>
          <t>PEMBANGKITAN TANJUNG JATI</t>
        </is>
      </c>
      <c r="W195" t="inlineStr">
        <is>
          <t>PEMBANGKITAN TANJUNG JATI</t>
        </is>
      </c>
      <c r="X195" t="inlineStr">
        <is>
          <t>PEMBANGKITAN TANJUNG JATI</t>
        </is>
      </c>
      <c r="Y195" t="inlineStr">
        <is>
          <t>PEMBANGKITAN TANJUNG JATI</t>
        </is>
      </c>
      <c r="Z195" t="inlineStr">
        <is>
          <t>PEMBANGKITAN TANJUNG JATI</t>
        </is>
      </c>
      <c r="AA195" t="inlineStr">
        <is>
          <t>PEMBANGKITAN TANJUNG JATI</t>
        </is>
      </c>
      <c r="AB195" t="inlineStr">
        <is>
          <t>PEMBANGKITAN TANJUNG JATI</t>
        </is>
      </c>
      <c r="AC195" t="inlineStr">
        <is>
          <t>PEMBANGKITAN TANJUNG JATI</t>
        </is>
      </c>
      <c r="AD195" t="inlineStr">
        <is>
          <t>PEMBANGKITAN TANJUNG JATI</t>
        </is>
      </c>
      <c r="AE195" t="inlineStr">
        <is>
          <t>PEMBANGKITAN TANJUNG JATI</t>
        </is>
      </c>
      <c r="AF195" t="inlineStr">
        <is>
          <t>PEMBANGKITAN TANJUNG JATI</t>
        </is>
      </c>
      <c r="AG195" t="inlineStr">
        <is>
          <t>PEMBANGKITAN TANJUNG JATI</t>
        </is>
      </c>
      <c r="AH195" t="inlineStr">
        <is>
          <t>PEMBANGKITAN TANJUNG JATI</t>
        </is>
      </c>
      <c r="AI195" t="inlineStr">
        <is>
          <t>PEMBANGKITAN TANJUNG JATI</t>
        </is>
      </c>
      <c r="AJ195" t="inlineStr">
        <is>
          <t>PEMBANGKITAN TANJUNG JATI</t>
        </is>
      </c>
      <c r="AK195" t="inlineStr">
        <is>
          <t>PEMBANGKITAN TANJUNG JATI</t>
        </is>
      </c>
      <c r="AL195" t="inlineStr">
        <is>
          <t>PEMBANGKITAN TANJUNG JATI</t>
        </is>
      </c>
      <c r="AM195" t="inlineStr">
        <is>
          <t>PEMBANGKITAN TANJUNG JATI</t>
        </is>
      </c>
      <c r="AN195" t="inlineStr">
        <is>
          <t>PEMBANGKITAN TANJUNG JATI</t>
        </is>
      </c>
      <c r="AO195" t="inlineStr">
        <is>
          <t>PEMBANGKITAN TANJUNG JATI</t>
        </is>
      </c>
      <c r="AP195" t="inlineStr">
        <is>
          <t>PEMBANGKITAN TANJUNG JATI</t>
        </is>
      </c>
      <c r="AQ195" t="inlineStr">
        <is>
          <t>PEMBANGKITAN TANJUNG JATI</t>
        </is>
      </c>
      <c r="AR195" t="inlineStr">
        <is>
          <t>PEMBANGKITAN TANJUNG JATI</t>
        </is>
      </c>
      <c r="AS195" t="inlineStr">
        <is>
          <t>PEMBANGKITAN TANJUNG JATI</t>
        </is>
      </c>
      <c r="AT195" t="inlineStr">
        <is>
          <t>PEMBANGKITAN TANJUNG JATI</t>
        </is>
      </c>
      <c r="AU195" t="inlineStr">
        <is>
          <t>PEMBANGKITAN TANJUNG JATI</t>
        </is>
      </c>
      <c r="AV195" t="inlineStr">
        <is>
          <t>PEMBANGKITAN TANJUNG JATI</t>
        </is>
      </c>
      <c r="AW195" t="inlineStr">
        <is>
          <t>PEMBANGKITAN TANJUNG JATI</t>
        </is>
      </c>
      <c r="AX195" t="inlineStr">
        <is>
          <t>PEMBANGKITAN TANJUNG JATI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</row>
    <row r="197">
      <c r="A197" t="inlineStr">
        <is>
          <t>PLTU TJATI #1</t>
        </is>
      </c>
      <c r="B197" t="n">
        <v>660.8</v>
      </c>
      <c r="C197" t="n">
        <v>604.88</v>
      </c>
      <c r="D197" t="n">
        <v>604.88</v>
      </c>
      <c r="E197" t="n">
        <v>604.88</v>
      </c>
      <c r="F197" t="n">
        <v>604.88</v>
      </c>
      <c r="G197" t="n">
        <v>604.88</v>
      </c>
      <c r="H197" t="n">
        <v>604.88</v>
      </c>
      <c r="I197" t="n">
        <v>604.88</v>
      </c>
      <c r="J197" t="n">
        <v>604.88</v>
      </c>
      <c r="K197" t="n">
        <v>604.88</v>
      </c>
      <c r="L197" t="n">
        <v>604.88</v>
      </c>
      <c r="M197" t="n">
        <v>604.88</v>
      </c>
      <c r="N197" t="n">
        <v>604.88</v>
      </c>
      <c r="O197" t="n">
        <v>604.88</v>
      </c>
      <c r="P197" t="n">
        <v>604.88</v>
      </c>
      <c r="Q197" t="n">
        <v>617.36</v>
      </c>
      <c r="R197" t="n">
        <v>647.58</v>
      </c>
      <c r="S197" t="n">
        <v>647.58</v>
      </c>
      <c r="T197" t="n">
        <v>647.58</v>
      </c>
      <c r="U197" t="n">
        <v>647.58</v>
      </c>
      <c r="V197" t="n">
        <v>647.58</v>
      </c>
      <c r="W197" t="n">
        <v>647.58</v>
      </c>
      <c r="X197" t="n">
        <v>647.58</v>
      </c>
      <c r="Y197" t="n">
        <v>647.58</v>
      </c>
      <c r="Z197" t="n">
        <v>647.58</v>
      </c>
      <c r="AA197" t="n">
        <v>647.58</v>
      </c>
      <c r="AB197" t="n">
        <v>647.58</v>
      </c>
      <c r="AC197" t="n">
        <v>647.58</v>
      </c>
      <c r="AD197" t="n">
        <v>647.58</v>
      </c>
      <c r="AE197" t="n">
        <v>647.58</v>
      </c>
      <c r="AF197" t="n">
        <v>647.58</v>
      </c>
      <c r="AG197" t="n">
        <v>647.58</v>
      </c>
      <c r="AH197" t="n">
        <v>647.58</v>
      </c>
      <c r="AI197" t="n">
        <v>647.58</v>
      </c>
      <c r="AJ197" t="n">
        <v>647.58</v>
      </c>
      <c r="AK197" t="n">
        <v>647.58</v>
      </c>
      <c r="AL197" t="n">
        <v>647.58</v>
      </c>
      <c r="AM197" t="n">
        <v>647.58</v>
      </c>
      <c r="AN197" t="n">
        <v>647.58</v>
      </c>
      <c r="AO197" t="n">
        <v>647.58</v>
      </c>
      <c r="AP197" t="n">
        <v>647.58</v>
      </c>
      <c r="AQ197" t="n">
        <v>647.58</v>
      </c>
      <c r="AR197" t="n">
        <v>647.58</v>
      </c>
      <c r="AS197" t="n">
        <v>647.58</v>
      </c>
      <c r="AT197" t="n">
        <v>647.58</v>
      </c>
      <c r="AU197" t="n">
        <v>647.58</v>
      </c>
      <c r="AV197" t="n">
        <v>647.58</v>
      </c>
      <c r="AW197" t="n">
        <v>647.58</v>
      </c>
      <c r="AX197" t="n">
        <v>647.58</v>
      </c>
    </row>
    <row r="198">
      <c r="A198" t="inlineStr">
        <is>
          <t>PLTU TJATI #2</t>
        </is>
      </c>
      <c r="B198" t="n">
        <v>660.8</v>
      </c>
      <c r="C198" t="n">
        <v>604.88</v>
      </c>
      <c r="D198" t="n">
        <v>604.88</v>
      </c>
      <c r="E198" t="n">
        <v>604.88</v>
      </c>
      <c r="F198" t="n">
        <v>604.88</v>
      </c>
      <c r="G198" t="n">
        <v>604.88</v>
      </c>
      <c r="H198" t="n">
        <v>604.88</v>
      </c>
      <c r="I198" t="n">
        <v>604.88</v>
      </c>
      <c r="J198" t="n">
        <v>604.88</v>
      </c>
      <c r="K198" t="n">
        <v>604.88</v>
      </c>
      <c r="L198" t="n">
        <v>604.88</v>
      </c>
      <c r="M198" t="n">
        <v>604.88</v>
      </c>
      <c r="N198" t="n">
        <v>604.88</v>
      </c>
      <c r="O198" t="n">
        <v>604.88</v>
      </c>
      <c r="P198" t="n">
        <v>604.88</v>
      </c>
      <c r="Q198" t="n">
        <v>604.88</v>
      </c>
      <c r="R198" t="n">
        <v>647.58</v>
      </c>
      <c r="S198" t="n">
        <v>647.58</v>
      </c>
      <c r="T198" t="n">
        <v>647.58</v>
      </c>
      <c r="U198" t="n">
        <v>647.58</v>
      </c>
      <c r="V198" t="n">
        <v>647.58</v>
      </c>
      <c r="W198" t="n">
        <v>647.58</v>
      </c>
      <c r="X198" t="n">
        <v>647.58</v>
      </c>
      <c r="Y198" t="n">
        <v>647.58</v>
      </c>
      <c r="Z198" t="n">
        <v>647.58</v>
      </c>
      <c r="AA198" t="n">
        <v>647.58</v>
      </c>
      <c r="AB198" t="n">
        <v>647.58</v>
      </c>
      <c r="AC198" t="n">
        <v>647.58</v>
      </c>
      <c r="AD198" t="n">
        <v>647.58</v>
      </c>
      <c r="AE198" t="n">
        <v>647.58</v>
      </c>
      <c r="AF198" t="n">
        <v>647.58</v>
      </c>
      <c r="AG198" t="n">
        <v>647.58</v>
      </c>
      <c r="AH198" t="n">
        <v>647.58</v>
      </c>
      <c r="AI198" t="n">
        <v>647.58</v>
      </c>
      <c r="AJ198" t="n">
        <v>647.58</v>
      </c>
      <c r="AK198" t="n">
        <v>647.58</v>
      </c>
      <c r="AL198" t="n">
        <v>647.58</v>
      </c>
      <c r="AM198" t="n">
        <v>647.58</v>
      </c>
      <c r="AN198" t="n">
        <v>647.58</v>
      </c>
      <c r="AO198" t="n">
        <v>647.58</v>
      </c>
      <c r="AP198" t="n">
        <v>647.58</v>
      </c>
      <c r="AQ198" t="n">
        <v>647.58</v>
      </c>
      <c r="AR198" t="n">
        <v>647.58</v>
      </c>
      <c r="AS198" t="n">
        <v>647.58</v>
      </c>
      <c r="AT198" t="n">
        <v>647.58</v>
      </c>
      <c r="AU198" t="n">
        <v>647.58</v>
      </c>
      <c r="AV198" t="n">
        <v>647.58</v>
      </c>
      <c r="AW198" t="n">
        <v>647.58</v>
      </c>
      <c r="AX198" t="n">
        <v>647.58</v>
      </c>
    </row>
    <row r="199">
      <c r="A199" t="inlineStr">
        <is>
          <t>PLTU TJATI #3</t>
        </is>
      </c>
      <c r="B199" t="n">
        <v>661.1</v>
      </c>
      <c r="C199" t="n">
        <v>510</v>
      </c>
      <c r="D199" t="n">
        <v>510</v>
      </c>
      <c r="E199" t="n">
        <v>510</v>
      </c>
      <c r="F199" t="n">
        <v>496.14</v>
      </c>
      <c r="G199" t="n">
        <v>496.14</v>
      </c>
      <c r="H199" t="n">
        <v>496.14</v>
      </c>
      <c r="I199" t="n">
        <v>496.14</v>
      </c>
      <c r="J199" t="n">
        <v>496.14</v>
      </c>
      <c r="K199" t="n">
        <v>516.55</v>
      </c>
      <c r="L199" t="n">
        <v>606.55</v>
      </c>
      <c r="M199" t="n">
        <v>606.55</v>
      </c>
      <c r="N199" t="n">
        <v>606.55</v>
      </c>
      <c r="O199" t="n">
        <v>606.55</v>
      </c>
      <c r="P199" t="n">
        <v>557.88</v>
      </c>
      <c r="Q199" t="n">
        <v>647.88</v>
      </c>
      <c r="R199" t="n">
        <v>647.88</v>
      </c>
      <c r="S199" t="n">
        <v>647.88</v>
      </c>
      <c r="T199" t="n">
        <v>647.88</v>
      </c>
      <c r="U199" t="n">
        <v>647.88</v>
      </c>
      <c r="V199" t="n">
        <v>647.88</v>
      </c>
      <c r="W199" t="n">
        <v>647.88</v>
      </c>
      <c r="X199" t="n">
        <v>647.88</v>
      </c>
      <c r="Y199" t="n">
        <v>647.88</v>
      </c>
      <c r="Z199" t="n">
        <v>647.88</v>
      </c>
      <c r="AA199" t="n">
        <v>647.88</v>
      </c>
      <c r="AB199" t="n">
        <v>647.88</v>
      </c>
      <c r="AC199" t="n">
        <v>647.88</v>
      </c>
      <c r="AD199" t="n">
        <v>647.88</v>
      </c>
      <c r="AE199" t="n">
        <v>647.88</v>
      </c>
      <c r="AF199" t="n">
        <v>647.88</v>
      </c>
      <c r="AG199" t="n">
        <v>647.88</v>
      </c>
      <c r="AH199" t="n">
        <v>647.88</v>
      </c>
      <c r="AI199" t="n">
        <v>647.88</v>
      </c>
      <c r="AJ199" t="n">
        <v>647.88</v>
      </c>
      <c r="AK199" t="n">
        <v>647.88</v>
      </c>
      <c r="AL199" t="n">
        <v>647.88</v>
      </c>
      <c r="AM199" t="n">
        <v>647.88</v>
      </c>
      <c r="AN199" t="n">
        <v>647.88</v>
      </c>
      <c r="AO199" t="n">
        <v>647.88</v>
      </c>
      <c r="AP199" t="n">
        <v>647.88</v>
      </c>
      <c r="AQ199" t="n">
        <v>647.88</v>
      </c>
      <c r="AR199" t="n">
        <v>647.88</v>
      </c>
      <c r="AS199" t="n">
        <v>647.88</v>
      </c>
      <c r="AT199" t="n">
        <v>647.88</v>
      </c>
      <c r="AU199" t="n">
        <v>647.88</v>
      </c>
      <c r="AV199" t="n">
        <v>647.88</v>
      </c>
      <c r="AW199" t="n">
        <v>647.88</v>
      </c>
      <c r="AX199" t="n">
        <v>647.88</v>
      </c>
    </row>
    <row r="200">
      <c r="A200" t="inlineStr">
        <is>
          <t>PLTU TJATI #4</t>
        </is>
      </c>
      <c r="B200" t="n">
        <v>661.1</v>
      </c>
      <c r="C200" t="n">
        <v>510</v>
      </c>
      <c r="D200" t="n">
        <v>499.49</v>
      </c>
      <c r="E200" t="n">
        <v>499.49</v>
      </c>
      <c r="F200" t="n">
        <v>496.14</v>
      </c>
      <c r="G200" t="n">
        <v>496.14</v>
      </c>
      <c r="H200" t="n">
        <v>496.14</v>
      </c>
      <c r="I200" t="n">
        <v>496.14</v>
      </c>
      <c r="J200" t="n">
        <v>496.14</v>
      </c>
      <c r="K200" t="n">
        <v>524.64</v>
      </c>
      <c r="L200" t="n">
        <v>606.55</v>
      </c>
      <c r="M200" t="n">
        <v>606.55</v>
      </c>
      <c r="N200" t="n">
        <v>606.55</v>
      </c>
      <c r="O200" t="n">
        <v>606.55</v>
      </c>
      <c r="P200" t="n">
        <v>557.88</v>
      </c>
      <c r="Q200" t="n">
        <v>647.88</v>
      </c>
      <c r="R200" t="n">
        <v>647.88</v>
      </c>
      <c r="S200" t="n">
        <v>647.88</v>
      </c>
      <c r="T200" t="n">
        <v>647.88</v>
      </c>
      <c r="U200" t="n">
        <v>647.88</v>
      </c>
      <c r="V200" t="n">
        <v>647.88</v>
      </c>
      <c r="W200" t="n">
        <v>647.88</v>
      </c>
      <c r="X200" t="n">
        <v>647.88</v>
      </c>
      <c r="Y200" t="n">
        <v>647.88</v>
      </c>
      <c r="Z200" t="n">
        <v>647.88</v>
      </c>
      <c r="AA200" t="n">
        <v>647.88</v>
      </c>
      <c r="AB200" t="n">
        <v>647.88</v>
      </c>
      <c r="AC200" t="n">
        <v>647.88</v>
      </c>
      <c r="AD200" t="n">
        <v>647.88</v>
      </c>
      <c r="AE200" t="n">
        <v>647.88</v>
      </c>
      <c r="AF200" t="n">
        <v>647.88</v>
      </c>
      <c r="AG200" t="n">
        <v>647.88</v>
      </c>
      <c r="AH200" t="n">
        <v>647.88</v>
      </c>
      <c r="AI200" t="n">
        <v>647.88</v>
      </c>
      <c r="AJ200" t="n">
        <v>647.88</v>
      </c>
      <c r="AK200" t="n">
        <v>647.88</v>
      </c>
      <c r="AL200" t="n">
        <v>647.88</v>
      </c>
      <c r="AM200" t="n">
        <v>647.88</v>
      </c>
      <c r="AN200" t="n">
        <v>647.88</v>
      </c>
      <c r="AO200" t="n">
        <v>647.88</v>
      </c>
      <c r="AP200" t="n">
        <v>647.88</v>
      </c>
      <c r="AQ200" t="n">
        <v>647.88</v>
      </c>
      <c r="AR200" t="n">
        <v>647.88</v>
      </c>
      <c r="AS200" t="n">
        <v>647.88</v>
      </c>
      <c r="AT200" t="n">
        <v>647.88</v>
      </c>
      <c r="AU200" t="n">
        <v>647.88</v>
      </c>
      <c r="AV200" t="n">
        <v>647.88</v>
      </c>
      <c r="AW200" t="n">
        <v>647.88</v>
      </c>
      <c r="AX200" t="n">
        <v>647.88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</row>
    <row r="202">
      <c r="A202" t="inlineStr">
        <is>
          <t>Pembangkitan Area</t>
        </is>
      </c>
      <c r="B202" t="inlineStr"/>
      <c r="C202" t="n">
        <v>7902.48</v>
      </c>
      <c r="D202" t="n">
        <v>7909.47</v>
      </c>
      <c r="E202" t="n">
        <v>7909.47</v>
      </c>
      <c r="F202" t="n">
        <v>7874.76</v>
      </c>
      <c r="G202" t="n">
        <v>7874.76</v>
      </c>
      <c r="H202" t="n">
        <v>7874.76</v>
      </c>
      <c r="I202" t="n">
        <v>7874.76</v>
      </c>
      <c r="J202" t="n">
        <v>7874.76</v>
      </c>
      <c r="K202" t="n">
        <v>7941.17</v>
      </c>
      <c r="L202" t="n">
        <v>8113.08</v>
      </c>
      <c r="M202" t="n">
        <v>8168.51</v>
      </c>
      <c r="N202" t="n">
        <v>8150.7</v>
      </c>
      <c r="O202" t="n">
        <v>8113.08</v>
      </c>
      <c r="P202" t="n">
        <v>8117.36</v>
      </c>
      <c r="Q202" t="n">
        <v>8489.84</v>
      </c>
      <c r="R202" t="n">
        <v>8757.17</v>
      </c>
      <c r="S202" t="n">
        <v>8757.17</v>
      </c>
      <c r="T202" t="n">
        <v>8815.24</v>
      </c>
      <c r="U202" t="n">
        <v>8815.24</v>
      </c>
      <c r="V202" t="n">
        <v>8916.85</v>
      </c>
      <c r="W202" t="n">
        <v>8974.92</v>
      </c>
      <c r="X202" t="n">
        <v>8974.92</v>
      </c>
      <c r="Y202" t="n">
        <v>9004.92</v>
      </c>
      <c r="Z202" t="n">
        <v>8932.33</v>
      </c>
      <c r="AA202" t="n">
        <v>8932.33</v>
      </c>
      <c r="AB202" t="n">
        <v>9206.91</v>
      </c>
      <c r="AC202" t="n">
        <v>9206.91</v>
      </c>
      <c r="AD202" t="n">
        <v>9176.91</v>
      </c>
      <c r="AE202" t="n">
        <v>9176.91</v>
      </c>
      <c r="AF202" t="n">
        <v>9176.91</v>
      </c>
      <c r="AG202" t="n">
        <v>9176.91</v>
      </c>
      <c r="AH202" t="n">
        <v>9073.41</v>
      </c>
      <c r="AI202" t="n">
        <v>9018.620000000001</v>
      </c>
      <c r="AJ202" t="n">
        <v>9061.389999999999</v>
      </c>
      <c r="AK202" t="n">
        <v>9121.629999999999</v>
      </c>
      <c r="AL202" t="n">
        <v>9139.469999999999</v>
      </c>
      <c r="AM202" t="n">
        <v>9128.9</v>
      </c>
      <c r="AN202" t="n">
        <v>9128.9</v>
      </c>
      <c r="AO202" t="n">
        <v>9121.450000000001</v>
      </c>
      <c r="AP202" t="n">
        <v>8955.889999999999</v>
      </c>
      <c r="AQ202" t="n">
        <v>8915.33</v>
      </c>
      <c r="AR202" t="n">
        <v>8915.33</v>
      </c>
      <c r="AS202" t="n">
        <v>8800.719999999999</v>
      </c>
      <c r="AT202" t="n">
        <v>8699.1</v>
      </c>
      <c r="AU202" t="n">
        <v>8553.940000000001</v>
      </c>
      <c r="AV202" t="n">
        <v>8553.940000000001</v>
      </c>
      <c r="AW202" t="n">
        <v>8553.940000000001</v>
      </c>
      <c r="AX202" t="n">
        <v>8553.940000000001</v>
      </c>
    </row>
    <row r="203">
      <c r="A203" t="inlineStr">
        <is>
          <t>Beban Area</t>
        </is>
      </c>
      <c r="B203" t="inlineStr"/>
      <c r="C203" t="n">
        <v>4024.89</v>
      </c>
      <c r="D203" t="n">
        <v>3961.51</v>
      </c>
      <c r="E203" t="n">
        <v>3925.51</v>
      </c>
      <c r="F203" t="n">
        <v>3892.16</v>
      </c>
      <c r="G203" t="n">
        <v>3859.18</v>
      </c>
      <c r="H203" t="n">
        <v>3846</v>
      </c>
      <c r="I203" t="n">
        <v>3847.91</v>
      </c>
      <c r="J203" t="n">
        <v>3884.23</v>
      </c>
      <c r="K203" t="n">
        <v>4046.9</v>
      </c>
      <c r="L203" t="n">
        <v>4253.11</v>
      </c>
      <c r="M203" t="n">
        <v>4416</v>
      </c>
      <c r="N203" t="n">
        <v>4325.24</v>
      </c>
      <c r="O203" t="n">
        <v>4173.13</v>
      </c>
      <c r="P203" t="n">
        <v>4197.1</v>
      </c>
      <c r="Q203" t="n">
        <v>4402.97</v>
      </c>
      <c r="R203" t="n">
        <v>4594.43</v>
      </c>
      <c r="S203" t="n">
        <v>4801.61</v>
      </c>
      <c r="T203" t="n">
        <v>4871.07</v>
      </c>
      <c r="U203" t="n">
        <v>4981.54</v>
      </c>
      <c r="V203" t="n">
        <v>5008.89</v>
      </c>
      <c r="W203" t="n">
        <v>5061.2</v>
      </c>
      <c r="X203" t="n">
        <v>5072.43</v>
      </c>
      <c r="Y203" t="n">
        <v>5016.28</v>
      </c>
      <c r="Z203" t="n">
        <v>4852.34</v>
      </c>
      <c r="AA203" t="n">
        <v>4893.07</v>
      </c>
      <c r="AB203" t="n">
        <v>5043.49</v>
      </c>
      <c r="AC203" t="n">
        <v>5228.94</v>
      </c>
      <c r="AD203" t="n">
        <v>5252.37</v>
      </c>
      <c r="AE203" t="n">
        <v>5248.98</v>
      </c>
      <c r="AF203" t="n">
        <v>5237.67</v>
      </c>
      <c r="AG203" t="n">
        <v>5232.59</v>
      </c>
      <c r="AH203" t="n">
        <v>5143.01</v>
      </c>
      <c r="AI203" t="n">
        <v>5095.42</v>
      </c>
      <c r="AJ203" t="n">
        <v>5131.61</v>
      </c>
      <c r="AK203" t="n">
        <v>5336.92</v>
      </c>
      <c r="AL203" t="n">
        <v>5731.81</v>
      </c>
      <c r="AM203" t="n">
        <v>5684.07</v>
      </c>
      <c r="AN203" t="n">
        <v>5638.51</v>
      </c>
      <c r="AO203" t="n">
        <v>5572.57</v>
      </c>
      <c r="AP203" t="n">
        <v>5528.74</v>
      </c>
      <c r="AQ203" t="n">
        <v>5439.44</v>
      </c>
      <c r="AR203" t="n">
        <v>5285.03</v>
      </c>
      <c r="AS203" t="n">
        <v>5126.8</v>
      </c>
      <c r="AT203" t="n">
        <v>4955.53</v>
      </c>
      <c r="AU203" t="n">
        <v>4808.69</v>
      </c>
      <c r="AV203" t="n">
        <v>4664.21</v>
      </c>
      <c r="AW203" t="n">
        <v>4541.85</v>
      </c>
      <c r="AX203" t="n">
        <v>4405.89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</row>
    <row r="205">
      <c r="A205" t="inlineStr">
        <is>
          <t>RJTB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</row>
    <row r="206">
      <c r="A206" t="inlineStr"/>
      <c r="B206" t="inlineStr"/>
      <c r="C206" t="inlineStr">
        <is>
          <t>PT. INDONESIA POWER</t>
        </is>
      </c>
      <c r="D206" t="inlineStr">
        <is>
          <t>PT. INDONESIA POWER</t>
        </is>
      </c>
      <c r="E206" t="inlineStr">
        <is>
          <t>PT. INDONESIA POWER</t>
        </is>
      </c>
      <c r="F206" t="inlineStr">
        <is>
          <t>PT. INDONESIA POWER</t>
        </is>
      </c>
      <c r="G206" t="inlineStr">
        <is>
          <t>PT. INDONESIA POWER</t>
        </is>
      </c>
      <c r="H206" t="inlineStr">
        <is>
          <t>PT. INDONESIA POWER</t>
        </is>
      </c>
      <c r="I206" t="inlineStr">
        <is>
          <t>PT. INDONESIA POWER</t>
        </is>
      </c>
      <c r="J206" t="inlineStr">
        <is>
          <t>PT. INDONESIA POWER</t>
        </is>
      </c>
      <c r="K206" t="inlineStr">
        <is>
          <t>PT. INDONESIA POWER</t>
        </is>
      </c>
      <c r="L206" t="inlineStr">
        <is>
          <t>PT. INDONESIA POWER</t>
        </is>
      </c>
      <c r="M206" t="inlineStr">
        <is>
          <t>PT. INDONESIA POWER</t>
        </is>
      </c>
      <c r="N206" t="inlineStr">
        <is>
          <t>PT. INDONESIA POWER</t>
        </is>
      </c>
      <c r="O206" t="inlineStr">
        <is>
          <t>PT. INDONESIA POWER</t>
        </is>
      </c>
      <c r="P206" t="inlineStr">
        <is>
          <t>PT. INDONESIA POWER</t>
        </is>
      </c>
      <c r="Q206" t="inlineStr">
        <is>
          <t>PT. INDONESIA POWER</t>
        </is>
      </c>
      <c r="R206" t="inlineStr">
        <is>
          <t>PT. INDONESIA POWER</t>
        </is>
      </c>
      <c r="S206" t="inlineStr">
        <is>
          <t>PT. INDONESIA POWER</t>
        </is>
      </c>
      <c r="T206" t="inlineStr">
        <is>
          <t>PT. INDONESIA POWER</t>
        </is>
      </c>
      <c r="U206" t="inlineStr">
        <is>
          <t>PT. INDONESIA POWER</t>
        </is>
      </c>
      <c r="V206" t="inlineStr">
        <is>
          <t>PT. INDONESIA POWER</t>
        </is>
      </c>
      <c r="W206" t="inlineStr">
        <is>
          <t>PT. INDONESIA POWER</t>
        </is>
      </c>
      <c r="X206" t="inlineStr">
        <is>
          <t>PT. INDONESIA POWER</t>
        </is>
      </c>
      <c r="Y206" t="inlineStr">
        <is>
          <t>PT. INDONESIA POWER</t>
        </is>
      </c>
      <c r="Z206" t="inlineStr">
        <is>
          <t>PT. INDONESIA POWER</t>
        </is>
      </c>
      <c r="AA206" t="inlineStr">
        <is>
          <t>PT. INDONESIA POWER</t>
        </is>
      </c>
      <c r="AB206" t="inlineStr">
        <is>
          <t>PT. INDONESIA POWER</t>
        </is>
      </c>
      <c r="AC206" t="inlineStr">
        <is>
          <t>PT. INDONESIA POWER</t>
        </is>
      </c>
      <c r="AD206" t="inlineStr">
        <is>
          <t>PT. INDONESIA POWER</t>
        </is>
      </c>
      <c r="AE206" t="inlineStr">
        <is>
          <t>PT. INDONESIA POWER</t>
        </is>
      </c>
      <c r="AF206" t="inlineStr">
        <is>
          <t>PT. INDONESIA POWER</t>
        </is>
      </c>
      <c r="AG206" t="inlineStr">
        <is>
          <t>PT. INDONESIA POWER</t>
        </is>
      </c>
      <c r="AH206" t="inlineStr">
        <is>
          <t>PT. INDONESIA POWER</t>
        </is>
      </c>
      <c r="AI206" t="inlineStr">
        <is>
          <t>PT. INDONESIA POWER</t>
        </is>
      </c>
      <c r="AJ206" t="inlineStr">
        <is>
          <t>PT. INDONESIA POWER</t>
        </is>
      </c>
      <c r="AK206" t="inlineStr">
        <is>
          <t>PT. INDONESIA POWER</t>
        </is>
      </c>
      <c r="AL206" t="inlineStr">
        <is>
          <t>PT. INDONESIA POWER</t>
        </is>
      </c>
      <c r="AM206" t="inlineStr">
        <is>
          <t>PT. INDONESIA POWER</t>
        </is>
      </c>
      <c r="AN206" t="inlineStr">
        <is>
          <t>PT. INDONESIA POWER</t>
        </is>
      </c>
      <c r="AO206" t="inlineStr">
        <is>
          <t>PT. INDONESIA POWER</t>
        </is>
      </c>
      <c r="AP206" t="inlineStr">
        <is>
          <t>PT. INDONESIA POWER</t>
        </is>
      </c>
      <c r="AQ206" t="inlineStr">
        <is>
          <t>PT. INDONESIA POWER</t>
        </is>
      </c>
      <c r="AR206" t="inlineStr">
        <is>
          <t>PT. INDONESIA POWER</t>
        </is>
      </c>
      <c r="AS206" t="inlineStr">
        <is>
          <t>PT. INDONESIA POWER</t>
        </is>
      </c>
      <c r="AT206" t="inlineStr">
        <is>
          <t>PT. INDONESIA POWER</t>
        </is>
      </c>
      <c r="AU206" t="inlineStr">
        <is>
          <t>PT. INDONESIA POWER</t>
        </is>
      </c>
      <c r="AV206" t="inlineStr">
        <is>
          <t>PT. INDONESIA POWER</t>
        </is>
      </c>
      <c r="AW206" t="inlineStr">
        <is>
          <t>PT. INDONESIA POWER</t>
        </is>
      </c>
      <c r="AX206" t="inlineStr">
        <is>
          <t>PT. INDONESIA POWER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</row>
    <row r="208">
      <c r="A208" t="inlineStr">
        <is>
          <t>PLTGU GRATI #1</t>
        </is>
      </c>
      <c r="B208" t="inlineStr"/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9.380000000000001</v>
      </c>
      <c r="U208" t="n">
        <v>28.9</v>
      </c>
      <c r="V208" t="n">
        <v>30</v>
      </c>
      <c r="W208" t="n">
        <v>30</v>
      </c>
      <c r="X208" t="n">
        <v>30</v>
      </c>
      <c r="Y208" t="n">
        <v>30</v>
      </c>
      <c r="Z208" t="n">
        <v>30</v>
      </c>
      <c r="AA208" t="n">
        <v>30</v>
      </c>
      <c r="AB208" t="n">
        <v>30</v>
      </c>
      <c r="AC208" t="n">
        <v>30</v>
      </c>
      <c r="AD208" t="n">
        <v>30</v>
      </c>
      <c r="AE208" t="n">
        <v>30</v>
      </c>
      <c r="AF208" t="n">
        <v>30</v>
      </c>
      <c r="AG208" t="n">
        <v>30</v>
      </c>
      <c r="AH208" t="n">
        <v>30</v>
      </c>
      <c r="AI208" t="n">
        <v>30</v>
      </c>
      <c r="AJ208" t="n">
        <v>30</v>
      </c>
      <c r="AK208" t="n">
        <v>30</v>
      </c>
      <c r="AL208" t="n">
        <v>30</v>
      </c>
      <c r="AM208" t="n">
        <v>30</v>
      </c>
      <c r="AN208" t="n">
        <v>30</v>
      </c>
      <c r="AO208" t="n">
        <v>30</v>
      </c>
      <c r="AP208" t="n">
        <v>30</v>
      </c>
      <c r="AQ208" t="n">
        <v>30</v>
      </c>
      <c r="AR208" t="n">
        <v>30</v>
      </c>
      <c r="AS208" t="n">
        <v>30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</row>
    <row r="209">
      <c r="A209" t="inlineStr">
        <is>
          <t>PLTGU GRATI #2</t>
        </is>
      </c>
      <c r="B209" t="inlineStr"/>
      <c r="C209" t="n">
        <v>154.95</v>
      </c>
      <c r="D209" t="n">
        <v>154.95</v>
      </c>
      <c r="E209" t="n">
        <v>154.95</v>
      </c>
      <c r="F209" t="n">
        <v>154.95</v>
      </c>
      <c r="G209" t="n">
        <v>154.95</v>
      </c>
      <c r="H209" t="n">
        <v>154.95</v>
      </c>
      <c r="I209" t="n">
        <v>154.95</v>
      </c>
      <c r="J209" t="n">
        <v>154.95</v>
      </c>
      <c r="K209" t="n">
        <v>154.95</v>
      </c>
      <c r="L209" t="n">
        <v>154.95</v>
      </c>
      <c r="M209" t="n">
        <v>154.95</v>
      </c>
      <c r="N209" t="n">
        <v>154.95</v>
      </c>
      <c r="O209" t="n">
        <v>154.95</v>
      </c>
      <c r="P209" t="n">
        <v>174.12</v>
      </c>
      <c r="Q209" t="n">
        <v>259.56</v>
      </c>
      <c r="R209" t="n">
        <v>288.31</v>
      </c>
      <c r="S209" t="n">
        <v>287.55</v>
      </c>
      <c r="T209" t="n">
        <v>287.5</v>
      </c>
      <c r="U209" t="n">
        <v>287.31</v>
      </c>
      <c r="V209" t="n">
        <v>287.18</v>
      </c>
      <c r="W209" t="n">
        <v>287.17</v>
      </c>
      <c r="X209" t="n">
        <v>286.94</v>
      </c>
      <c r="Y209" t="n">
        <v>287.27</v>
      </c>
      <c r="Z209" t="n">
        <v>287.98</v>
      </c>
      <c r="AA209" t="n">
        <v>287.75</v>
      </c>
      <c r="AB209" t="n">
        <v>287.05</v>
      </c>
      <c r="AC209" t="n">
        <v>286.31</v>
      </c>
      <c r="AD209" t="n">
        <v>286.34</v>
      </c>
      <c r="AE209" t="n">
        <v>286.08</v>
      </c>
      <c r="AF209" t="n">
        <v>286.04</v>
      </c>
      <c r="AG209" t="n">
        <v>286.09</v>
      </c>
      <c r="AH209" t="n">
        <v>286.06</v>
      </c>
      <c r="AI209" t="n">
        <v>286.29</v>
      </c>
      <c r="AJ209" t="n">
        <v>285.72</v>
      </c>
      <c r="AK209" t="n">
        <v>284.45</v>
      </c>
      <c r="AL209" t="n">
        <v>284.12</v>
      </c>
      <c r="AM209" t="n">
        <v>284.45</v>
      </c>
      <c r="AN209" t="n">
        <v>284.63</v>
      </c>
      <c r="AO209" t="n">
        <v>285</v>
      </c>
      <c r="AP209" t="n">
        <v>285.35</v>
      </c>
      <c r="AQ209" t="n">
        <v>285.76</v>
      </c>
      <c r="AR209" t="n">
        <v>286.48</v>
      </c>
      <c r="AS209" t="n">
        <v>242.98</v>
      </c>
      <c r="AT209" t="n">
        <v>154.95</v>
      </c>
      <c r="AU209" t="n">
        <v>154.95</v>
      </c>
      <c r="AV209" t="n">
        <v>154.95</v>
      </c>
      <c r="AW209" t="n">
        <v>154.95</v>
      </c>
      <c r="AX209" t="n">
        <v>154.95</v>
      </c>
    </row>
    <row r="210">
      <c r="A210" t="inlineStr">
        <is>
          <t>PLTGU GRATI #3</t>
        </is>
      </c>
      <c r="B210" t="inlineStr"/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</row>
    <row r="211">
      <c r="A211" t="inlineStr"/>
      <c r="B211" t="inlineStr"/>
      <c r="C211" t="inlineStr">
        <is>
          <t>PT. PEMBANGKITAN JAWA-BALI</t>
        </is>
      </c>
      <c r="D211" t="inlineStr">
        <is>
          <t>PT. PEMBANGKITAN JAWA-BALI</t>
        </is>
      </c>
      <c r="E211" t="inlineStr">
        <is>
          <t>PT. PEMBANGKITAN JAWA-BALI</t>
        </is>
      </c>
      <c r="F211" t="inlineStr">
        <is>
          <t>PT. PEMBANGKITAN JAWA-BALI</t>
        </is>
      </c>
      <c r="G211" t="inlineStr">
        <is>
          <t>PT. PEMBANGKITAN JAWA-BALI</t>
        </is>
      </c>
      <c r="H211" t="inlineStr">
        <is>
          <t>PT. PEMBANGKITAN JAWA-BALI</t>
        </is>
      </c>
      <c r="I211" t="inlineStr">
        <is>
          <t>PT. PEMBANGKITAN JAWA-BALI</t>
        </is>
      </c>
      <c r="J211" t="inlineStr">
        <is>
          <t>PT. PEMBANGKITAN JAWA-BALI</t>
        </is>
      </c>
      <c r="K211" t="inlineStr">
        <is>
          <t>PT. PEMBANGKITAN JAWA-BALI</t>
        </is>
      </c>
      <c r="L211" t="inlineStr">
        <is>
          <t>PT. PEMBANGKITAN JAWA-BALI</t>
        </is>
      </c>
      <c r="M211" t="inlineStr">
        <is>
          <t>PT. PEMBANGKITAN JAWA-BALI</t>
        </is>
      </c>
      <c r="N211" t="inlineStr">
        <is>
          <t>PT. PEMBANGKITAN JAWA-BALI</t>
        </is>
      </c>
      <c r="O211" t="inlineStr">
        <is>
          <t>PT. PEMBANGKITAN JAWA-BALI</t>
        </is>
      </c>
      <c r="P211" t="inlineStr">
        <is>
          <t>PT. PEMBANGKITAN JAWA-BALI</t>
        </is>
      </c>
      <c r="Q211" t="inlineStr">
        <is>
          <t>PT. PEMBANGKITAN JAWA-BALI</t>
        </is>
      </c>
      <c r="R211" t="inlineStr">
        <is>
          <t>PT. PEMBANGKITAN JAWA-BALI</t>
        </is>
      </c>
      <c r="S211" t="inlineStr">
        <is>
          <t>PT. PEMBANGKITAN JAWA-BALI</t>
        </is>
      </c>
      <c r="T211" t="inlineStr">
        <is>
          <t>PT. PEMBANGKITAN JAWA-BALI</t>
        </is>
      </c>
      <c r="U211" t="inlineStr">
        <is>
          <t>PT. PEMBANGKITAN JAWA-BALI</t>
        </is>
      </c>
      <c r="V211" t="inlineStr">
        <is>
          <t>PT. PEMBANGKITAN JAWA-BALI</t>
        </is>
      </c>
      <c r="W211" t="inlineStr">
        <is>
          <t>PT. PEMBANGKITAN JAWA-BALI</t>
        </is>
      </c>
      <c r="X211" t="inlineStr">
        <is>
          <t>PT. PEMBANGKITAN JAWA-BALI</t>
        </is>
      </c>
      <c r="Y211" t="inlineStr">
        <is>
          <t>PT. PEMBANGKITAN JAWA-BALI</t>
        </is>
      </c>
      <c r="Z211" t="inlineStr">
        <is>
          <t>PT. PEMBANGKITAN JAWA-BALI</t>
        </is>
      </c>
      <c r="AA211" t="inlineStr">
        <is>
          <t>PT. PEMBANGKITAN JAWA-BALI</t>
        </is>
      </c>
      <c r="AB211" t="inlineStr">
        <is>
          <t>PT. PEMBANGKITAN JAWA-BALI</t>
        </is>
      </c>
      <c r="AC211" t="inlineStr">
        <is>
          <t>PT. PEMBANGKITAN JAWA-BALI</t>
        </is>
      </c>
      <c r="AD211" t="inlineStr">
        <is>
          <t>PT. PEMBANGKITAN JAWA-BALI</t>
        </is>
      </c>
      <c r="AE211" t="inlineStr">
        <is>
          <t>PT. PEMBANGKITAN JAWA-BALI</t>
        </is>
      </c>
      <c r="AF211" t="inlineStr">
        <is>
          <t>PT. PEMBANGKITAN JAWA-BALI</t>
        </is>
      </c>
      <c r="AG211" t="inlineStr">
        <is>
          <t>PT. PEMBANGKITAN JAWA-BALI</t>
        </is>
      </c>
      <c r="AH211" t="inlineStr">
        <is>
          <t>PT. PEMBANGKITAN JAWA-BALI</t>
        </is>
      </c>
      <c r="AI211" t="inlineStr">
        <is>
          <t>PT. PEMBANGKITAN JAWA-BALI</t>
        </is>
      </c>
      <c r="AJ211" t="inlineStr">
        <is>
          <t>PT. PEMBANGKITAN JAWA-BALI</t>
        </is>
      </c>
      <c r="AK211" t="inlineStr">
        <is>
          <t>PT. PEMBANGKITAN JAWA-BALI</t>
        </is>
      </c>
      <c r="AL211" t="inlineStr">
        <is>
          <t>PT. PEMBANGKITAN JAWA-BALI</t>
        </is>
      </c>
      <c r="AM211" t="inlineStr">
        <is>
          <t>PT. PEMBANGKITAN JAWA-BALI</t>
        </is>
      </c>
      <c r="AN211" t="inlineStr">
        <is>
          <t>PT. PEMBANGKITAN JAWA-BALI</t>
        </is>
      </c>
      <c r="AO211" t="inlineStr">
        <is>
          <t>PT. PEMBANGKITAN JAWA-BALI</t>
        </is>
      </c>
      <c r="AP211" t="inlineStr">
        <is>
          <t>PT. PEMBANGKITAN JAWA-BALI</t>
        </is>
      </c>
      <c r="AQ211" t="inlineStr">
        <is>
          <t>PT. PEMBANGKITAN JAWA-BALI</t>
        </is>
      </c>
      <c r="AR211" t="inlineStr">
        <is>
          <t>PT. PEMBANGKITAN JAWA-BALI</t>
        </is>
      </c>
      <c r="AS211" t="inlineStr">
        <is>
          <t>PT. PEMBANGKITAN JAWA-BALI</t>
        </is>
      </c>
      <c r="AT211" t="inlineStr">
        <is>
          <t>PT. PEMBANGKITAN JAWA-BALI</t>
        </is>
      </c>
      <c r="AU211" t="inlineStr">
        <is>
          <t>PT. PEMBANGKITAN JAWA-BALI</t>
        </is>
      </c>
      <c r="AV211" t="inlineStr">
        <is>
          <t>PT. PEMBANGKITAN JAWA-BALI</t>
        </is>
      </c>
      <c r="AW211" t="inlineStr">
        <is>
          <t>PT. PEMBANGKITAN JAWA-BALI</t>
        </is>
      </c>
      <c r="AX211" t="inlineStr">
        <is>
          <t>PT. PEMBANGKITAN JAWA-BALI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</row>
    <row r="213">
      <c r="A213" t="inlineStr">
        <is>
          <t>PLTA Region 4</t>
        </is>
      </c>
      <c r="B213" t="inlineStr"/>
      <c r="C213" t="n">
        <v>19</v>
      </c>
      <c r="D213" t="n">
        <v>19</v>
      </c>
      <c r="E213" t="n">
        <v>19</v>
      </c>
      <c r="F213" t="n">
        <v>19</v>
      </c>
      <c r="G213" t="n">
        <v>19</v>
      </c>
      <c r="H213" t="n">
        <v>19</v>
      </c>
      <c r="I213" t="n">
        <v>19</v>
      </c>
      <c r="J213" t="n">
        <v>11</v>
      </c>
      <c r="K213" t="n">
        <v>11</v>
      </c>
      <c r="L213" t="n">
        <v>11</v>
      </c>
      <c r="M213" t="n">
        <v>11</v>
      </c>
      <c r="N213" t="n">
        <v>11</v>
      </c>
      <c r="O213" t="n">
        <v>1</v>
      </c>
      <c r="P213" t="n">
        <v>1</v>
      </c>
      <c r="Q213" t="n">
        <v>1</v>
      </c>
      <c r="R213" t="n">
        <v>1</v>
      </c>
      <c r="S213" t="n">
        <v>9</v>
      </c>
      <c r="T213" t="n">
        <v>9</v>
      </c>
      <c r="U213" t="n">
        <v>9</v>
      </c>
      <c r="V213" t="n">
        <v>20</v>
      </c>
      <c r="W213" t="n">
        <v>20</v>
      </c>
      <c r="X213" t="n">
        <v>20</v>
      </c>
      <c r="Y213" t="n">
        <v>20</v>
      </c>
      <c r="Z213" t="n">
        <v>19</v>
      </c>
      <c r="AA213" t="n">
        <v>19</v>
      </c>
      <c r="AB213" t="n">
        <v>19</v>
      </c>
      <c r="AC213" t="n">
        <v>20</v>
      </c>
      <c r="AD213" t="n">
        <v>20</v>
      </c>
      <c r="AE213" t="n">
        <v>9</v>
      </c>
      <c r="AF213" t="n">
        <v>9</v>
      </c>
      <c r="AG213" t="n">
        <v>9</v>
      </c>
      <c r="AH213" t="n">
        <v>9</v>
      </c>
      <c r="AI213" t="n">
        <v>9</v>
      </c>
      <c r="AJ213" t="n">
        <v>9</v>
      </c>
      <c r="AK213" t="n">
        <v>21</v>
      </c>
      <c r="AL213" t="n">
        <v>21</v>
      </c>
      <c r="AM213" t="n">
        <v>21</v>
      </c>
      <c r="AN213" t="n">
        <v>21</v>
      </c>
      <c r="AO213" t="n">
        <v>21</v>
      </c>
      <c r="AP213" t="n">
        <v>19</v>
      </c>
      <c r="AQ213" t="n">
        <v>19</v>
      </c>
      <c r="AR213" t="n">
        <v>19</v>
      </c>
      <c r="AS213" t="n">
        <v>19</v>
      </c>
      <c r="AT213" t="n">
        <v>19</v>
      </c>
      <c r="AU213" t="n">
        <v>19</v>
      </c>
      <c r="AV213" t="n">
        <v>19</v>
      </c>
      <c r="AW213" t="n">
        <v>19</v>
      </c>
      <c r="AX213" t="n">
        <v>19</v>
      </c>
    </row>
    <row r="214">
      <c r="A214" t="inlineStr">
        <is>
          <t>PLTA BRANTAS</t>
        </is>
      </c>
      <c r="B214" t="inlineStr"/>
      <c r="C214" t="n">
        <v>33</v>
      </c>
      <c r="D214" t="n">
        <v>33</v>
      </c>
      <c r="E214" t="n">
        <v>33</v>
      </c>
      <c r="F214" t="n">
        <v>32</v>
      </c>
      <c r="G214" t="n">
        <v>33</v>
      </c>
      <c r="H214" t="n">
        <v>31</v>
      </c>
      <c r="I214" t="n">
        <v>31</v>
      </c>
      <c r="J214" t="n">
        <v>33</v>
      </c>
      <c r="K214" t="n">
        <v>33</v>
      </c>
      <c r="L214" t="n">
        <v>33</v>
      </c>
      <c r="M214" t="n">
        <v>33</v>
      </c>
      <c r="N214" t="n">
        <v>33</v>
      </c>
      <c r="O214" t="n">
        <v>32</v>
      </c>
      <c r="P214" t="n">
        <v>32</v>
      </c>
      <c r="Q214" t="n">
        <v>33</v>
      </c>
      <c r="R214" t="n">
        <v>33</v>
      </c>
      <c r="S214" t="n">
        <v>33</v>
      </c>
      <c r="T214" t="n">
        <v>33</v>
      </c>
      <c r="U214" t="n">
        <v>33</v>
      </c>
      <c r="V214" t="n">
        <v>33</v>
      </c>
      <c r="W214" t="n">
        <v>33</v>
      </c>
      <c r="X214" t="n">
        <v>33</v>
      </c>
      <c r="Y214" t="n">
        <v>32</v>
      </c>
      <c r="Z214" t="n">
        <v>33</v>
      </c>
      <c r="AA214" t="n">
        <v>33</v>
      </c>
      <c r="AB214" t="n">
        <v>33</v>
      </c>
      <c r="AC214" t="n">
        <v>33</v>
      </c>
      <c r="AD214" t="n">
        <v>33</v>
      </c>
      <c r="AE214" t="n">
        <v>33</v>
      </c>
      <c r="AF214" t="n">
        <v>33</v>
      </c>
      <c r="AG214" t="n">
        <v>33</v>
      </c>
      <c r="AH214" t="n">
        <v>33</v>
      </c>
      <c r="AI214" t="n">
        <v>33</v>
      </c>
      <c r="AJ214" t="n">
        <v>37</v>
      </c>
      <c r="AK214" t="n">
        <v>37</v>
      </c>
      <c r="AL214" t="n">
        <v>38</v>
      </c>
      <c r="AM214" t="n">
        <v>38</v>
      </c>
      <c r="AN214" t="n">
        <v>38</v>
      </c>
      <c r="AO214" t="n">
        <v>37</v>
      </c>
      <c r="AP214" t="n">
        <v>38</v>
      </c>
      <c r="AQ214" t="n">
        <v>39</v>
      </c>
      <c r="AR214" t="n">
        <v>38</v>
      </c>
      <c r="AS214" t="n">
        <v>39</v>
      </c>
      <c r="AT214" t="n">
        <v>39</v>
      </c>
      <c r="AU214" t="n">
        <v>39</v>
      </c>
      <c r="AV214" t="n">
        <v>38</v>
      </c>
      <c r="AW214" t="n">
        <v>38</v>
      </c>
      <c r="AX214" t="n">
        <v>39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</row>
    <row r="216">
      <c r="A216" t="inlineStr">
        <is>
          <t>PLTA STAMI</t>
        </is>
      </c>
      <c r="B216" t="inlineStr"/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30</v>
      </c>
      <c r="AK216" t="n">
        <v>30</v>
      </c>
      <c r="AL216" t="n">
        <v>30</v>
      </c>
      <c r="AM216" t="n">
        <v>29</v>
      </c>
      <c r="AN216" t="n">
        <v>30</v>
      </c>
      <c r="AO216" t="n">
        <v>29</v>
      </c>
      <c r="AP216" t="n">
        <v>29</v>
      </c>
      <c r="AQ216" t="n">
        <v>30</v>
      </c>
      <c r="AR216" t="n">
        <v>29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</row>
    <row r="218">
      <c r="A218" t="inlineStr">
        <is>
          <t>PLTU GRSIK #1</t>
        </is>
      </c>
      <c r="B218" t="n">
        <v>80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</row>
    <row r="219">
      <c r="A219" t="inlineStr">
        <is>
          <t>PLTU GRSIK #2</t>
        </is>
      </c>
      <c r="B219" t="n">
        <v>80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</row>
    <row r="220">
      <c r="A220" t="inlineStr">
        <is>
          <t>PLTU GRSIK #3</t>
        </is>
      </c>
      <c r="B220" t="n">
        <v>166.5</v>
      </c>
      <c r="C220" t="n">
        <v>93</v>
      </c>
      <c r="D220" t="n">
        <v>93</v>
      </c>
      <c r="E220" t="n">
        <v>93</v>
      </c>
      <c r="F220" t="n">
        <v>93</v>
      </c>
      <c r="G220" t="n">
        <v>93</v>
      </c>
      <c r="H220" t="n">
        <v>93</v>
      </c>
      <c r="I220" t="n">
        <v>93</v>
      </c>
      <c r="J220" t="n">
        <v>93</v>
      </c>
      <c r="K220" t="n">
        <v>93</v>
      </c>
      <c r="L220" t="n">
        <v>93</v>
      </c>
      <c r="M220" t="n">
        <v>93</v>
      </c>
      <c r="N220" t="n">
        <v>93</v>
      </c>
      <c r="O220" t="n">
        <v>93</v>
      </c>
      <c r="P220" t="n">
        <v>93</v>
      </c>
      <c r="Q220" t="n">
        <v>93</v>
      </c>
      <c r="R220" t="n">
        <v>93</v>
      </c>
      <c r="S220" t="n">
        <v>93</v>
      </c>
      <c r="T220" t="n">
        <v>93</v>
      </c>
      <c r="U220" t="n">
        <v>93</v>
      </c>
      <c r="V220" t="n">
        <v>93</v>
      </c>
      <c r="W220" t="n">
        <v>93</v>
      </c>
      <c r="X220" t="n">
        <v>93</v>
      </c>
      <c r="Y220" t="n">
        <v>93</v>
      </c>
      <c r="Z220" t="n">
        <v>93</v>
      </c>
      <c r="AA220" t="n">
        <v>93</v>
      </c>
      <c r="AB220" t="n">
        <v>93</v>
      </c>
      <c r="AC220" t="n">
        <v>93</v>
      </c>
      <c r="AD220" t="n">
        <v>93</v>
      </c>
      <c r="AE220" t="n">
        <v>93</v>
      </c>
      <c r="AF220" t="n">
        <v>93</v>
      </c>
      <c r="AG220" t="n">
        <v>93</v>
      </c>
      <c r="AH220" t="n">
        <v>93</v>
      </c>
      <c r="AI220" t="n">
        <v>93</v>
      </c>
      <c r="AJ220" t="n">
        <v>93</v>
      </c>
      <c r="AK220" t="n">
        <v>93</v>
      </c>
      <c r="AL220" t="n">
        <v>93</v>
      </c>
      <c r="AM220" t="n">
        <v>93</v>
      </c>
      <c r="AN220" t="n">
        <v>93</v>
      </c>
      <c r="AO220" t="n">
        <v>93</v>
      </c>
      <c r="AP220" t="n">
        <v>93</v>
      </c>
      <c r="AQ220" t="n">
        <v>93</v>
      </c>
      <c r="AR220" t="n">
        <v>93</v>
      </c>
      <c r="AS220" t="n">
        <v>93</v>
      </c>
      <c r="AT220" t="n">
        <v>93</v>
      </c>
      <c r="AU220" t="n">
        <v>93</v>
      </c>
      <c r="AV220" t="n">
        <v>93</v>
      </c>
      <c r="AW220" t="n">
        <v>93</v>
      </c>
      <c r="AX220" t="n">
        <v>93</v>
      </c>
    </row>
    <row r="221">
      <c r="A221" t="inlineStr">
        <is>
          <t>PLTU GRSIK #4</t>
        </is>
      </c>
      <c r="B221" t="n">
        <v>166.5</v>
      </c>
      <c r="C221" t="n">
        <v>93</v>
      </c>
      <c r="D221" t="n">
        <v>93</v>
      </c>
      <c r="E221" t="n">
        <v>93</v>
      </c>
      <c r="F221" t="n">
        <v>93</v>
      </c>
      <c r="G221" t="n">
        <v>93</v>
      </c>
      <c r="H221" t="n">
        <v>93</v>
      </c>
      <c r="I221" t="n">
        <v>93</v>
      </c>
      <c r="J221" t="n">
        <v>93</v>
      </c>
      <c r="K221" t="n">
        <v>93</v>
      </c>
      <c r="L221" t="n">
        <v>93</v>
      </c>
      <c r="M221" t="n">
        <v>93</v>
      </c>
      <c r="N221" t="n">
        <v>93</v>
      </c>
      <c r="O221" t="n">
        <v>93</v>
      </c>
      <c r="P221" t="n">
        <v>93</v>
      </c>
      <c r="Q221" t="n">
        <v>93</v>
      </c>
      <c r="R221" t="n">
        <v>93</v>
      </c>
      <c r="S221" t="n">
        <v>93</v>
      </c>
      <c r="T221" t="n">
        <v>93</v>
      </c>
      <c r="U221" t="n">
        <v>93</v>
      </c>
      <c r="V221" t="n">
        <v>93</v>
      </c>
      <c r="W221" t="n">
        <v>93</v>
      </c>
      <c r="X221" t="n">
        <v>93</v>
      </c>
      <c r="Y221" t="n">
        <v>93</v>
      </c>
      <c r="Z221" t="n">
        <v>93</v>
      </c>
      <c r="AA221" t="n">
        <v>93</v>
      </c>
      <c r="AB221" t="n">
        <v>93</v>
      </c>
      <c r="AC221" t="n">
        <v>93</v>
      </c>
      <c r="AD221" t="n">
        <v>93</v>
      </c>
      <c r="AE221" t="n">
        <v>93</v>
      </c>
      <c r="AF221" t="n">
        <v>93</v>
      </c>
      <c r="AG221" t="n">
        <v>93</v>
      </c>
      <c r="AH221" t="n">
        <v>93</v>
      </c>
      <c r="AI221" t="n">
        <v>93</v>
      </c>
      <c r="AJ221" t="n">
        <v>93</v>
      </c>
      <c r="AK221" t="n">
        <v>93</v>
      </c>
      <c r="AL221" t="n">
        <v>93</v>
      </c>
      <c r="AM221" t="n">
        <v>93</v>
      </c>
      <c r="AN221" t="n">
        <v>93</v>
      </c>
      <c r="AO221" t="n">
        <v>93</v>
      </c>
      <c r="AP221" t="n">
        <v>93</v>
      </c>
      <c r="AQ221" t="n">
        <v>93</v>
      </c>
      <c r="AR221" t="n">
        <v>93</v>
      </c>
      <c r="AS221" t="n">
        <v>93</v>
      </c>
      <c r="AT221" t="n">
        <v>93</v>
      </c>
      <c r="AU221" t="n">
        <v>93</v>
      </c>
      <c r="AV221" t="n">
        <v>93</v>
      </c>
      <c r="AW221" t="n">
        <v>93</v>
      </c>
      <c r="AX221" t="n">
        <v>93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</row>
    <row r="223">
      <c r="A223" t="inlineStr">
        <is>
          <t>PLTU PITON #1</t>
        </is>
      </c>
      <c r="B223" t="n">
        <v>370</v>
      </c>
      <c r="C223" t="n">
        <v>275</v>
      </c>
      <c r="D223" t="n">
        <v>275</v>
      </c>
      <c r="E223" t="n">
        <v>275</v>
      </c>
      <c r="F223" t="n">
        <v>275</v>
      </c>
      <c r="G223" t="n">
        <v>275</v>
      </c>
      <c r="H223" t="n">
        <v>275</v>
      </c>
      <c r="I223" t="n">
        <v>275</v>
      </c>
      <c r="J223" t="n">
        <v>275</v>
      </c>
      <c r="K223" t="n">
        <v>275</v>
      </c>
      <c r="L223" t="n">
        <v>275</v>
      </c>
      <c r="M223" t="n">
        <v>275</v>
      </c>
      <c r="N223" t="n">
        <v>275</v>
      </c>
      <c r="O223" t="n">
        <v>275</v>
      </c>
      <c r="P223" t="n">
        <v>275</v>
      </c>
      <c r="Q223" t="n">
        <v>275</v>
      </c>
      <c r="R223" t="n">
        <v>275</v>
      </c>
      <c r="S223" t="n">
        <v>275</v>
      </c>
      <c r="T223" t="n">
        <v>275</v>
      </c>
      <c r="U223" t="n">
        <v>275</v>
      </c>
      <c r="V223" t="n">
        <v>275</v>
      </c>
      <c r="W223" t="n">
        <v>275</v>
      </c>
      <c r="X223" t="n">
        <v>275</v>
      </c>
      <c r="Y223" t="n">
        <v>275</v>
      </c>
      <c r="Z223" t="n">
        <v>275</v>
      </c>
      <c r="AA223" t="n">
        <v>275</v>
      </c>
      <c r="AB223" t="n">
        <v>340</v>
      </c>
      <c r="AC223" t="n">
        <v>340</v>
      </c>
      <c r="AD223" t="n">
        <v>340</v>
      </c>
      <c r="AE223" t="n">
        <v>340</v>
      </c>
      <c r="AF223" t="n">
        <v>340</v>
      </c>
      <c r="AG223" t="n">
        <v>340</v>
      </c>
      <c r="AH223" t="n">
        <v>340</v>
      </c>
      <c r="AI223" t="n">
        <v>340</v>
      </c>
      <c r="AJ223" t="n">
        <v>340</v>
      </c>
      <c r="AK223" t="n">
        <v>340</v>
      </c>
      <c r="AL223" t="n">
        <v>340</v>
      </c>
      <c r="AM223" t="n">
        <v>340</v>
      </c>
      <c r="AN223" t="n">
        <v>340</v>
      </c>
      <c r="AO223" t="n">
        <v>340</v>
      </c>
      <c r="AP223" t="n">
        <v>275</v>
      </c>
      <c r="AQ223" t="n">
        <v>275</v>
      </c>
      <c r="AR223" t="n">
        <v>275</v>
      </c>
      <c r="AS223" t="n">
        <v>275</v>
      </c>
      <c r="AT223" t="n">
        <v>275</v>
      </c>
      <c r="AU223" t="n">
        <v>275</v>
      </c>
      <c r="AV223" t="n">
        <v>275</v>
      </c>
      <c r="AW223" t="n">
        <v>275</v>
      </c>
      <c r="AX223" t="n">
        <v>275</v>
      </c>
    </row>
    <row r="224">
      <c r="A224" t="inlineStr">
        <is>
          <t>PLTU PITON #2</t>
        </is>
      </c>
      <c r="B224" t="n">
        <v>370</v>
      </c>
      <c r="C224" t="n">
        <v>275</v>
      </c>
      <c r="D224" t="n">
        <v>275</v>
      </c>
      <c r="E224" t="n">
        <v>275</v>
      </c>
      <c r="F224" t="n">
        <v>275</v>
      </c>
      <c r="G224" t="n">
        <v>275</v>
      </c>
      <c r="H224" t="n">
        <v>275</v>
      </c>
      <c r="I224" t="n">
        <v>275</v>
      </c>
      <c r="J224" t="n">
        <v>275</v>
      </c>
      <c r="K224" t="n">
        <v>275</v>
      </c>
      <c r="L224" t="n">
        <v>275</v>
      </c>
      <c r="M224" t="n">
        <v>275</v>
      </c>
      <c r="N224" t="n">
        <v>275</v>
      </c>
      <c r="O224" t="n">
        <v>275</v>
      </c>
      <c r="P224" t="n">
        <v>275</v>
      </c>
      <c r="Q224" t="n">
        <v>275</v>
      </c>
      <c r="R224" t="n">
        <v>275</v>
      </c>
      <c r="S224" t="n">
        <v>275</v>
      </c>
      <c r="T224" t="n">
        <v>275</v>
      </c>
      <c r="U224" t="n">
        <v>275</v>
      </c>
      <c r="V224" t="n">
        <v>275</v>
      </c>
      <c r="W224" t="n">
        <v>275</v>
      </c>
      <c r="X224" t="n">
        <v>275</v>
      </c>
      <c r="Y224" t="n">
        <v>275</v>
      </c>
      <c r="Z224" t="n">
        <v>275</v>
      </c>
      <c r="AA224" t="n">
        <v>275</v>
      </c>
      <c r="AB224" t="n">
        <v>340</v>
      </c>
      <c r="AC224" t="n">
        <v>340</v>
      </c>
      <c r="AD224" t="n">
        <v>340</v>
      </c>
      <c r="AE224" t="n">
        <v>340</v>
      </c>
      <c r="AF224" t="n">
        <v>340</v>
      </c>
      <c r="AG224" t="n">
        <v>340</v>
      </c>
      <c r="AH224" t="n">
        <v>340</v>
      </c>
      <c r="AI224" t="n">
        <v>340</v>
      </c>
      <c r="AJ224" t="n">
        <v>340</v>
      </c>
      <c r="AK224" t="n">
        <v>340</v>
      </c>
      <c r="AL224" t="n">
        <v>340</v>
      </c>
      <c r="AM224" t="n">
        <v>340</v>
      </c>
      <c r="AN224" t="n">
        <v>340</v>
      </c>
      <c r="AO224" t="n">
        <v>340</v>
      </c>
      <c r="AP224" t="n">
        <v>275</v>
      </c>
      <c r="AQ224" t="n">
        <v>275</v>
      </c>
      <c r="AR224" t="n">
        <v>275</v>
      </c>
      <c r="AS224" t="n">
        <v>275</v>
      </c>
      <c r="AT224" t="n">
        <v>275</v>
      </c>
      <c r="AU224" t="n">
        <v>275</v>
      </c>
      <c r="AV224" t="n">
        <v>275</v>
      </c>
      <c r="AW224" t="n">
        <v>275</v>
      </c>
      <c r="AX224" t="n">
        <v>275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</row>
    <row r="226">
      <c r="A226" t="inlineStr">
        <is>
          <t>PLTG GRSIK #1</t>
        </is>
      </c>
      <c r="B226" t="n">
        <v>15.5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</row>
    <row r="227">
      <c r="A227" t="inlineStr">
        <is>
          <t>PLTG GRSIK #2</t>
        </is>
      </c>
      <c r="B227" t="n">
        <v>15.5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</row>
    <row r="229">
      <c r="A229" t="inlineStr">
        <is>
          <t>PLTGU GRBRU #1</t>
        </is>
      </c>
      <c r="B229" t="inlineStr"/>
      <c r="C229" t="n">
        <v>242.25</v>
      </c>
      <c r="D229" t="n">
        <v>242.25</v>
      </c>
      <c r="E229" t="n">
        <v>242.25</v>
      </c>
      <c r="F229" t="n">
        <v>242.25</v>
      </c>
      <c r="G229" t="n">
        <v>242.25</v>
      </c>
      <c r="H229" t="n">
        <v>242.25</v>
      </c>
      <c r="I229" t="n">
        <v>242.25</v>
      </c>
      <c r="J229" t="n">
        <v>242.25</v>
      </c>
      <c r="K229" t="n">
        <v>242.25</v>
      </c>
      <c r="L229" t="n">
        <v>242.25</v>
      </c>
      <c r="M229" t="n">
        <v>242.25</v>
      </c>
      <c r="N229" t="n">
        <v>242.25</v>
      </c>
      <c r="O229" t="n">
        <v>254.99</v>
      </c>
      <c r="P229" t="n">
        <v>280.47</v>
      </c>
      <c r="Q229" t="n">
        <v>326.17</v>
      </c>
      <c r="R229" t="n">
        <v>326.17</v>
      </c>
      <c r="S229" t="n">
        <v>326.17</v>
      </c>
      <c r="T229" t="n">
        <v>326.17</v>
      </c>
      <c r="U229" t="n">
        <v>326.17</v>
      </c>
      <c r="V229" t="n">
        <v>326.17</v>
      </c>
      <c r="W229" t="n">
        <v>326.17</v>
      </c>
      <c r="X229" t="n">
        <v>326.17</v>
      </c>
      <c r="Y229" t="n">
        <v>326.17</v>
      </c>
      <c r="Z229" t="n">
        <v>326.17</v>
      </c>
      <c r="AA229" t="n">
        <v>326.17</v>
      </c>
      <c r="AB229" t="n">
        <v>326.17</v>
      </c>
      <c r="AC229" t="n">
        <v>326.17</v>
      </c>
      <c r="AD229" t="n">
        <v>326.17</v>
      </c>
      <c r="AE229" t="n">
        <v>326.17</v>
      </c>
      <c r="AF229" t="n">
        <v>326.17</v>
      </c>
      <c r="AG229" t="n">
        <v>326.17</v>
      </c>
      <c r="AH229" t="n">
        <v>326.17</v>
      </c>
      <c r="AI229" t="n">
        <v>326.17</v>
      </c>
      <c r="AJ229" t="n">
        <v>326.17</v>
      </c>
      <c r="AK229" t="n">
        <v>326.17</v>
      </c>
      <c r="AL229" t="n">
        <v>326.17</v>
      </c>
      <c r="AM229" t="n">
        <v>326.17</v>
      </c>
      <c r="AN229" t="n">
        <v>326.17</v>
      </c>
      <c r="AO229" t="n">
        <v>326.17</v>
      </c>
      <c r="AP229" t="n">
        <v>326.17</v>
      </c>
      <c r="AQ229" t="n">
        <v>326.17</v>
      </c>
      <c r="AR229" t="n">
        <v>326.17</v>
      </c>
      <c r="AS229" t="n">
        <v>326.17</v>
      </c>
      <c r="AT229" t="n">
        <v>274.98</v>
      </c>
      <c r="AU229" t="n">
        <v>242.25</v>
      </c>
      <c r="AV229" t="n">
        <v>242.25</v>
      </c>
      <c r="AW229" t="n">
        <v>242.25</v>
      </c>
      <c r="AX229" t="n">
        <v>242.25</v>
      </c>
    </row>
    <row r="230">
      <c r="A230" t="inlineStr">
        <is>
          <t>PLTGU GRBRU #2</t>
        </is>
      </c>
      <c r="B230" t="inlineStr"/>
      <c r="C230" t="n">
        <v>155</v>
      </c>
      <c r="D230" t="n">
        <v>155</v>
      </c>
      <c r="E230" t="n">
        <v>155</v>
      </c>
      <c r="F230" t="n">
        <v>155</v>
      </c>
      <c r="G230" t="n">
        <v>155</v>
      </c>
      <c r="H230" t="n">
        <v>155</v>
      </c>
      <c r="I230" t="n">
        <v>155</v>
      </c>
      <c r="J230" t="n">
        <v>155</v>
      </c>
      <c r="K230" t="n">
        <v>155</v>
      </c>
      <c r="L230" t="n">
        <v>155</v>
      </c>
      <c r="M230" t="n">
        <v>155</v>
      </c>
      <c r="N230" t="n">
        <v>155</v>
      </c>
      <c r="O230" t="n">
        <v>155</v>
      </c>
      <c r="P230" t="n">
        <v>155</v>
      </c>
      <c r="Q230" t="n">
        <v>155</v>
      </c>
      <c r="R230" t="n">
        <v>220.25</v>
      </c>
      <c r="S230" t="n">
        <v>237.15</v>
      </c>
      <c r="T230" t="n">
        <v>302.4</v>
      </c>
      <c r="U230" t="n">
        <v>319.3</v>
      </c>
      <c r="V230" t="n">
        <v>319.3</v>
      </c>
      <c r="W230" t="n">
        <v>319.3</v>
      </c>
      <c r="X230" t="n">
        <v>319.3</v>
      </c>
      <c r="Y230" t="n">
        <v>319.3</v>
      </c>
      <c r="Z230" t="n">
        <v>319.3</v>
      </c>
      <c r="AA230" t="n">
        <v>319.3</v>
      </c>
      <c r="AB230" t="n">
        <v>319.3</v>
      </c>
      <c r="AC230" t="n">
        <v>319.3</v>
      </c>
      <c r="AD230" t="n">
        <v>319.3</v>
      </c>
      <c r="AE230" t="n">
        <v>319.3</v>
      </c>
      <c r="AF230" t="n">
        <v>319.3</v>
      </c>
      <c r="AG230" t="n">
        <v>319.3</v>
      </c>
      <c r="AH230" t="n">
        <v>319.3</v>
      </c>
      <c r="AI230" t="n">
        <v>319.3</v>
      </c>
      <c r="AJ230" t="n">
        <v>319.3</v>
      </c>
      <c r="AK230" t="n">
        <v>319.3</v>
      </c>
      <c r="AL230" t="n">
        <v>319.3</v>
      </c>
      <c r="AM230" t="n">
        <v>319.3</v>
      </c>
      <c r="AN230" t="n">
        <v>319.3</v>
      </c>
      <c r="AO230" t="n">
        <v>319.3</v>
      </c>
      <c r="AP230" t="n">
        <v>319.3</v>
      </c>
      <c r="AQ230" t="n">
        <v>319.3</v>
      </c>
      <c r="AR230" t="n">
        <v>319.3</v>
      </c>
      <c r="AS230" t="n">
        <v>319.3</v>
      </c>
      <c r="AT230" t="n">
        <v>319.3</v>
      </c>
      <c r="AU230" t="n">
        <v>155</v>
      </c>
      <c r="AV230" t="n">
        <v>155</v>
      </c>
      <c r="AW230" t="n">
        <v>155</v>
      </c>
      <c r="AX230" t="n">
        <v>155</v>
      </c>
    </row>
    <row r="231">
      <c r="A231" t="inlineStr">
        <is>
          <t>PLTGU GRBRU #3</t>
        </is>
      </c>
      <c r="B231" t="inlineStr"/>
      <c r="C231" t="n">
        <v>156.67</v>
      </c>
      <c r="D231" t="n">
        <v>156.67</v>
      </c>
      <c r="E231" t="n">
        <v>156.67</v>
      </c>
      <c r="F231" t="n">
        <v>156.67</v>
      </c>
      <c r="G231" t="n">
        <v>156.67</v>
      </c>
      <c r="H231" t="n">
        <v>156.67</v>
      </c>
      <c r="I231" t="n">
        <v>156.67</v>
      </c>
      <c r="J231" t="n">
        <v>156.67</v>
      </c>
      <c r="K231" t="n">
        <v>156.67</v>
      </c>
      <c r="L231" t="n">
        <v>156.67</v>
      </c>
      <c r="M231" t="n">
        <v>156.67</v>
      </c>
      <c r="N231" t="n">
        <v>156.67</v>
      </c>
      <c r="O231" t="n">
        <v>156.67</v>
      </c>
      <c r="P231" t="n">
        <v>156.67</v>
      </c>
      <c r="Q231" t="n">
        <v>156.67</v>
      </c>
      <c r="R231" t="n">
        <v>156.67</v>
      </c>
      <c r="S231" t="n">
        <v>169.41</v>
      </c>
      <c r="T231" t="n">
        <v>260.55</v>
      </c>
      <c r="U231" t="n">
        <v>373.61</v>
      </c>
      <c r="V231" t="n">
        <v>398.84</v>
      </c>
      <c r="W231" t="n">
        <v>410</v>
      </c>
      <c r="X231" t="n">
        <v>410</v>
      </c>
      <c r="Y231" t="n">
        <v>410</v>
      </c>
      <c r="Z231" t="n">
        <v>410</v>
      </c>
      <c r="AA231" t="n">
        <v>410</v>
      </c>
      <c r="AB231" t="n">
        <v>410</v>
      </c>
      <c r="AC231" t="n">
        <v>410</v>
      </c>
      <c r="AD231" t="n">
        <v>410</v>
      </c>
      <c r="AE231" t="n">
        <v>410</v>
      </c>
      <c r="AF231" t="n">
        <v>410</v>
      </c>
      <c r="AG231" t="n">
        <v>410</v>
      </c>
      <c r="AH231" t="n">
        <v>410</v>
      </c>
      <c r="AI231" t="n">
        <v>410</v>
      </c>
      <c r="AJ231" t="n">
        <v>410</v>
      </c>
      <c r="AK231" t="n">
        <v>410</v>
      </c>
      <c r="AL231" t="n">
        <v>410</v>
      </c>
      <c r="AM231" t="n">
        <v>410</v>
      </c>
      <c r="AN231" t="n">
        <v>410</v>
      </c>
      <c r="AO231" t="n">
        <v>385</v>
      </c>
      <c r="AP231" t="n">
        <v>325</v>
      </c>
      <c r="AQ231" t="n">
        <v>300</v>
      </c>
      <c r="AR231" t="n">
        <v>272.52</v>
      </c>
      <c r="AS231" t="n">
        <v>156.67</v>
      </c>
      <c r="AT231" t="n">
        <v>156.67</v>
      </c>
      <c r="AU231" t="n">
        <v>156.67</v>
      </c>
      <c r="AV231" t="n">
        <v>156.67</v>
      </c>
      <c r="AW231" t="n">
        <v>156.67</v>
      </c>
      <c r="AX231" t="n">
        <v>156.67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</row>
    <row r="233">
      <c r="A233" t="inlineStr">
        <is>
          <t>PLTU TJ AWAR2 #1</t>
        </is>
      </c>
      <c r="B233" t="n">
        <v>323</v>
      </c>
      <c r="C233" t="n">
        <v>232.75</v>
      </c>
      <c r="D233" t="n">
        <v>322.75</v>
      </c>
      <c r="E233" t="n">
        <v>322.75</v>
      </c>
      <c r="F233" t="n">
        <v>322.75</v>
      </c>
      <c r="G233" t="n">
        <v>322.75</v>
      </c>
      <c r="H233" t="n">
        <v>322.75</v>
      </c>
      <c r="I233" t="n">
        <v>322.75</v>
      </c>
      <c r="J233" t="n">
        <v>322.75</v>
      </c>
      <c r="K233" t="n">
        <v>322.75</v>
      </c>
      <c r="L233" t="n">
        <v>322.75</v>
      </c>
      <c r="M233" t="n">
        <v>322.75</v>
      </c>
      <c r="N233" t="n">
        <v>322.75</v>
      </c>
      <c r="O233" t="n">
        <v>322.75</v>
      </c>
      <c r="P233" t="n">
        <v>322.75</v>
      </c>
      <c r="Q233" t="n">
        <v>322.75</v>
      </c>
      <c r="R233" t="n">
        <v>323</v>
      </c>
      <c r="S233" t="n">
        <v>323</v>
      </c>
      <c r="T233" t="n">
        <v>323</v>
      </c>
      <c r="U233" t="n">
        <v>323</v>
      </c>
      <c r="V233" t="n">
        <v>323</v>
      </c>
      <c r="W233" t="n">
        <v>323</v>
      </c>
      <c r="X233" t="n">
        <v>323</v>
      </c>
      <c r="Y233" t="n">
        <v>323</v>
      </c>
      <c r="Z233" t="n">
        <v>323</v>
      </c>
      <c r="AA233" t="n">
        <v>323</v>
      </c>
      <c r="AB233" t="n">
        <v>323</v>
      </c>
      <c r="AC233" t="n">
        <v>323</v>
      </c>
      <c r="AD233" t="n">
        <v>323</v>
      </c>
      <c r="AE233" t="n">
        <v>323</v>
      </c>
      <c r="AF233" t="n">
        <v>323</v>
      </c>
      <c r="AG233" t="n">
        <v>323</v>
      </c>
      <c r="AH233" t="n">
        <v>323</v>
      </c>
      <c r="AI233" t="n">
        <v>323</v>
      </c>
      <c r="AJ233" t="n">
        <v>323</v>
      </c>
      <c r="AK233" t="n">
        <v>323</v>
      </c>
      <c r="AL233" t="n">
        <v>323</v>
      </c>
      <c r="AM233" t="n">
        <v>323</v>
      </c>
      <c r="AN233" t="n">
        <v>323</v>
      </c>
      <c r="AO233" t="n">
        <v>323</v>
      </c>
      <c r="AP233" t="n">
        <v>323</v>
      </c>
      <c r="AQ233" t="n">
        <v>323</v>
      </c>
      <c r="AR233" t="n">
        <v>323</v>
      </c>
      <c r="AS233" t="n">
        <v>323</v>
      </c>
      <c r="AT233" t="n">
        <v>323</v>
      </c>
      <c r="AU233" t="n">
        <v>323</v>
      </c>
      <c r="AV233" t="n">
        <v>323</v>
      </c>
      <c r="AW233" t="n">
        <v>323</v>
      </c>
      <c r="AX233" t="n">
        <v>323</v>
      </c>
    </row>
    <row r="234">
      <c r="A234" t="inlineStr">
        <is>
          <t>PLTU TJ AWAR2 #2</t>
        </is>
      </c>
      <c r="B234" t="n">
        <v>323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</row>
    <row r="236">
      <c r="A236" t="inlineStr">
        <is>
          <t>PLTU PAITON #9</t>
        </is>
      </c>
      <c r="B236" t="n">
        <v>615</v>
      </c>
      <c r="C236" t="n">
        <v>410</v>
      </c>
      <c r="D236" t="n">
        <v>330.91</v>
      </c>
      <c r="E236" t="n">
        <v>330.91</v>
      </c>
      <c r="F236" t="n">
        <v>330.91</v>
      </c>
      <c r="G236" t="n">
        <v>330.91</v>
      </c>
      <c r="H236" t="n">
        <v>330.91</v>
      </c>
      <c r="I236" t="n">
        <v>330.91</v>
      </c>
      <c r="J236" t="n">
        <v>330.91</v>
      </c>
      <c r="K236" t="n">
        <v>420.91</v>
      </c>
      <c r="L236" t="n">
        <v>510.91</v>
      </c>
      <c r="M236" t="n">
        <v>600.91</v>
      </c>
      <c r="N236" t="n">
        <v>602.7</v>
      </c>
      <c r="O236" t="n">
        <v>602.7</v>
      </c>
      <c r="P236" t="n">
        <v>579.03</v>
      </c>
      <c r="Q236" t="n">
        <v>602.7</v>
      </c>
      <c r="R236" t="n">
        <v>602.7</v>
      </c>
      <c r="S236" t="n">
        <v>602.7</v>
      </c>
      <c r="T236" t="n">
        <v>602.7</v>
      </c>
      <c r="U236" t="n">
        <v>602.7</v>
      </c>
      <c r="V236" t="n">
        <v>602.7</v>
      </c>
      <c r="W236" t="n">
        <v>602.7</v>
      </c>
      <c r="X236" t="n">
        <v>602.7</v>
      </c>
      <c r="Y236" t="n">
        <v>602.7</v>
      </c>
      <c r="Z236" t="n">
        <v>602.7</v>
      </c>
      <c r="AA236" t="n">
        <v>602.7</v>
      </c>
      <c r="AB236" t="n">
        <v>602.7</v>
      </c>
      <c r="AC236" t="n">
        <v>602.7</v>
      </c>
      <c r="AD236" t="n">
        <v>602.7</v>
      </c>
      <c r="AE236" t="n">
        <v>602.7</v>
      </c>
      <c r="AF236" t="n">
        <v>602.7</v>
      </c>
      <c r="AG236" t="n">
        <v>602.7</v>
      </c>
      <c r="AH236" t="n">
        <v>602.7</v>
      </c>
      <c r="AI236" t="n">
        <v>602.7</v>
      </c>
      <c r="AJ236" t="n">
        <v>602.7</v>
      </c>
      <c r="AK236" t="n">
        <v>602.7</v>
      </c>
      <c r="AL236" t="n">
        <v>602.7</v>
      </c>
      <c r="AM236" t="n">
        <v>602.7</v>
      </c>
      <c r="AN236" t="n">
        <v>602.7</v>
      </c>
      <c r="AO236" t="n">
        <v>602.7</v>
      </c>
      <c r="AP236" t="n">
        <v>602.7</v>
      </c>
      <c r="AQ236" t="n">
        <v>602.7</v>
      </c>
      <c r="AR236" t="n">
        <v>602.7</v>
      </c>
      <c r="AS236" t="n">
        <v>602.7</v>
      </c>
      <c r="AT236" t="n">
        <v>602.7</v>
      </c>
      <c r="AU236" t="n">
        <v>602.7</v>
      </c>
      <c r="AV236" t="n">
        <v>602.7</v>
      </c>
      <c r="AW236" t="n">
        <v>602.7</v>
      </c>
      <c r="AX236" t="n">
        <v>602.7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</row>
    <row r="238">
      <c r="A238" t="inlineStr">
        <is>
          <t>PLTU PACITAN #1</t>
        </is>
      </c>
      <c r="B238" t="n">
        <v>280</v>
      </c>
      <c r="C238" t="n">
        <v>200</v>
      </c>
      <c r="D238" t="n">
        <v>200</v>
      </c>
      <c r="E238" t="n">
        <v>200</v>
      </c>
      <c r="F238" t="n">
        <v>200</v>
      </c>
      <c r="G238" t="n">
        <v>200</v>
      </c>
      <c r="H238" t="n">
        <v>200</v>
      </c>
      <c r="I238" t="n">
        <v>200</v>
      </c>
      <c r="J238" t="n">
        <v>200</v>
      </c>
      <c r="K238" t="n">
        <v>200</v>
      </c>
      <c r="L238" t="n">
        <v>200</v>
      </c>
      <c r="M238" t="n">
        <v>200</v>
      </c>
      <c r="N238" t="n">
        <v>200</v>
      </c>
      <c r="O238" t="n">
        <v>200</v>
      </c>
      <c r="P238" t="n">
        <v>200</v>
      </c>
      <c r="Q238" t="n">
        <v>200</v>
      </c>
      <c r="R238" t="n">
        <v>200</v>
      </c>
      <c r="S238" t="n">
        <v>200</v>
      </c>
      <c r="T238" t="n">
        <v>200</v>
      </c>
      <c r="U238" t="n">
        <v>200</v>
      </c>
      <c r="V238" t="n">
        <v>200</v>
      </c>
      <c r="W238" t="n">
        <v>200</v>
      </c>
      <c r="X238" t="n">
        <v>200</v>
      </c>
      <c r="Y238" t="n">
        <v>200</v>
      </c>
      <c r="Z238" t="n">
        <v>200</v>
      </c>
      <c r="AA238" t="n">
        <v>200</v>
      </c>
      <c r="AB238" t="n">
        <v>200</v>
      </c>
      <c r="AC238" t="n">
        <v>200</v>
      </c>
      <c r="AD238" t="n">
        <v>200</v>
      </c>
      <c r="AE238" t="n">
        <v>200</v>
      </c>
      <c r="AF238" t="n">
        <v>200</v>
      </c>
      <c r="AG238" t="n">
        <v>200</v>
      </c>
      <c r="AH238" t="n">
        <v>200</v>
      </c>
      <c r="AI238" t="n">
        <v>200</v>
      </c>
      <c r="AJ238" t="n">
        <v>200</v>
      </c>
      <c r="AK238" t="n">
        <v>270</v>
      </c>
      <c r="AL238" t="n">
        <v>270</v>
      </c>
      <c r="AM238" t="n">
        <v>270</v>
      </c>
      <c r="AN238" t="n">
        <v>270</v>
      </c>
      <c r="AO238" t="n">
        <v>270</v>
      </c>
      <c r="AP238" t="n">
        <v>200</v>
      </c>
      <c r="AQ238" t="n">
        <v>200</v>
      </c>
      <c r="AR238" t="n">
        <v>200</v>
      </c>
      <c r="AS238" t="n">
        <v>200</v>
      </c>
      <c r="AT238" t="n">
        <v>200</v>
      </c>
      <c r="AU238" t="n">
        <v>200</v>
      </c>
      <c r="AV238" t="n">
        <v>200</v>
      </c>
      <c r="AW238" t="n">
        <v>200</v>
      </c>
      <c r="AX238" t="n">
        <v>200</v>
      </c>
    </row>
    <row r="239">
      <c r="A239" t="inlineStr">
        <is>
          <t>PLTU PACITAN #2</t>
        </is>
      </c>
      <c r="B239" t="n">
        <v>280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inlineStr">
        <is>
          <t>PLTU PACITAN #3</t>
        </is>
      </c>
      <c r="B240" t="n">
        <v>0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</row>
    <row r="242">
      <c r="A242" t="inlineStr">
        <is>
          <t>PLTA APGDG #1</t>
        </is>
      </c>
      <c r="B242" t="n">
        <v>0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</row>
    <row r="243">
      <c r="A243" t="inlineStr">
        <is>
          <t>PLTA APGDG #2</t>
        </is>
      </c>
      <c r="B243" t="n">
        <v>0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</row>
    <row r="244">
      <c r="A244" t="inlineStr"/>
      <c r="B244" t="inlineStr"/>
      <c r="C244" t="inlineStr">
        <is>
          <t>IPP</t>
        </is>
      </c>
      <c r="D244" t="inlineStr">
        <is>
          <t>IPP</t>
        </is>
      </c>
      <c r="E244" t="inlineStr">
        <is>
          <t>IPP</t>
        </is>
      </c>
      <c r="F244" t="inlineStr">
        <is>
          <t>IPP</t>
        </is>
      </c>
      <c r="G244" t="inlineStr">
        <is>
          <t>IPP</t>
        </is>
      </c>
      <c r="H244" t="inlineStr">
        <is>
          <t>IPP</t>
        </is>
      </c>
      <c r="I244" t="inlineStr">
        <is>
          <t>IPP</t>
        </is>
      </c>
      <c r="J244" t="inlineStr">
        <is>
          <t>IPP</t>
        </is>
      </c>
      <c r="K244" t="inlineStr">
        <is>
          <t>IPP</t>
        </is>
      </c>
      <c r="L244" t="inlineStr">
        <is>
          <t>IPP</t>
        </is>
      </c>
      <c r="M244" t="inlineStr">
        <is>
          <t>IPP</t>
        </is>
      </c>
      <c r="N244" t="inlineStr">
        <is>
          <t>IPP</t>
        </is>
      </c>
      <c r="O244" t="inlineStr">
        <is>
          <t>IPP</t>
        </is>
      </c>
      <c r="P244" t="inlineStr">
        <is>
          <t>IPP</t>
        </is>
      </c>
      <c r="Q244" t="inlineStr">
        <is>
          <t>IPP</t>
        </is>
      </c>
      <c r="R244" t="inlineStr">
        <is>
          <t>IPP</t>
        </is>
      </c>
      <c r="S244" t="inlineStr">
        <is>
          <t>IPP</t>
        </is>
      </c>
      <c r="T244" t="inlineStr">
        <is>
          <t>IPP</t>
        </is>
      </c>
      <c r="U244" t="inlineStr">
        <is>
          <t>IPP</t>
        </is>
      </c>
      <c r="V244" t="inlineStr">
        <is>
          <t>IPP</t>
        </is>
      </c>
      <c r="W244" t="inlineStr">
        <is>
          <t>IPP</t>
        </is>
      </c>
      <c r="X244" t="inlineStr">
        <is>
          <t>IPP</t>
        </is>
      </c>
      <c r="Y244" t="inlineStr">
        <is>
          <t>IPP</t>
        </is>
      </c>
      <c r="Z244" t="inlineStr">
        <is>
          <t>IPP</t>
        </is>
      </c>
      <c r="AA244" t="inlineStr">
        <is>
          <t>IPP</t>
        </is>
      </c>
      <c r="AB244" t="inlineStr">
        <is>
          <t>IPP</t>
        </is>
      </c>
      <c r="AC244" t="inlineStr">
        <is>
          <t>IPP</t>
        </is>
      </c>
      <c r="AD244" t="inlineStr">
        <is>
          <t>IPP</t>
        </is>
      </c>
      <c r="AE244" t="inlineStr">
        <is>
          <t>IPP</t>
        </is>
      </c>
      <c r="AF244" t="inlineStr">
        <is>
          <t>IPP</t>
        </is>
      </c>
      <c r="AG244" t="inlineStr">
        <is>
          <t>IPP</t>
        </is>
      </c>
      <c r="AH244" t="inlineStr">
        <is>
          <t>IPP</t>
        </is>
      </c>
      <c r="AI244" t="inlineStr">
        <is>
          <t>IPP</t>
        </is>
      </c>
      <c r="AJ244" t="inlineStr">
        <is>
          <t>IPP</t>
        </is>
      </c>
      <c r="AK244" t="inlineStr">
        <is>
          <t>IPP</t>
        </is>
      </c>
      <c r="AL244" t="inlineStr">
        <is>
          <t>IPP</t>
        </is>
      </c>
      <c r="AM244" t="inlineStr">
        <is>
          <t>IPP</t>
        </is>
      </c>
      <c r="AN244" t="inlineStr">
        <is>
          <t>IPP</t>
        </is>
      </c>
      <c r="AO244" t="inlineStr">
        <is>
          <t>IPP</t>
        </is>
      </c>
      <c r="AP244" t="inlineStr">
        <is>
          <t>IPP</t>
        </is>
      </c>
      <c r="AQ244" t="inlineStr">
        <is>
          <t>IPP</t>
        </is>
      </c>
      <c r="AR244" t="inlineStr">
        <is>
          <t>IPP</t>
        </is>
      </c>
      <c r="AS244" t="inlineStr">
        <is>
          <t>IPP</t>
        </is>
      </c>
      <c r="AT244" t="inlineStr">
        <is>
          <t>IPP</t>
        </is>
      </c>
      <c r="AU244" t="inlineStr">
        <is>
          <t>IPP</t>
        </is>
      </c>
      <c r="AV244" t="inlineStr">
        <is>
          <t>IPP</t>
        </is>
      </c>
      <c r="AW244" t="inlineStr">
        <is>
          <t>IPP</t>
        </is>
      </c>
      <c r="AX244" t="inlineStr">
        <is>
          <t>IPP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</row>
    <row r="246">
      <c r="A246" t="inlineStr">
        <is>
          <t>PLTU PEC #7</t>
        </is>
      </c>
      <c r="B246" t="n">
        <v>610</v>
      </c>
      <c r="C246" t="n">
        <v>590</v>
      </c>
      <c r="D246" t="n">
        <v>597.8</v>
      </c>
      <c r="E246" t="n">
        <v>530</v>
      </c>
      <c r="F246" t="n">
        <v>440</v>
      </c>
      <c r="G246" t="n">
        <v>350</v>
      </c>
      <c r="H246" t="n">
        <v>350</v>
      </c>
      <c r="I246" t="n">
        <v>350</v>
      </c>
      <c r="J246" t="n">
        <v>440</v>
      </c>
      <c r="K246" t="n">
        <v>530</v>
      </c>
      <c r="L246" t="n">
        <v>597.8</v>
      </c>
      <c r="M246" t="n">
        <v>597.8</v>
      </c>
      <c r="N246" t="n">
        <v>597.8</v>
      </c>
      <c r="O246" t="n">
        <v>597.8</v>
      </c>
      <c r="P246" t="n">
        <v>597.8</v>
      </c>
      <c r="Q246" t="n">
        <v>597.8</v>
      </c>
      <c r="R246" t="n">
        <v>597.8</v>
      </c>
      <c r="S246" t="n">
        <v>597.8</v>
      </c>
      <c r="T246" t="n">
        <v>597.8</v>
      </c>
      <c r="U246" t="n">
        <v>597.8</v>
      </c>
      <c r="V246" t="n">
        <v>597.8</v>
      </c>
      <c r="W246" t="n">
        <v>597.8</v>
      </c>
      <c r="X246" t="n">
        <v>597.8</v>
      </c>
      <c r="Y246" t="n">
        <v>597.8</v>
      </c>
      <c r="Z246" t="n">
        <v>597.8</v>
      </c>
      <c r="AA246" t="n">
        <v>597.8</v>
      </c>
      <c r="AB246" t="n">
        <v>597.8</v>
      </c>
      <c r="AC246" t="n">
        <v>597.8</v>
      </c>
      <c r="AD246" t="n">
        <v>597.8</v>
      </c>
      <c r="AE246" t="n">
        <v>597.8</v>
      </c>
      <c r="AF246" t="n">
        <v>597.8</v>
      </c>
      <c r="AG246" t="n">
        <v>597.8</v>
      </c>
      <c r="AH246" t="n">
        <v>597.8</v>
      </c>
      <c r="AI246" t="n">
        <v>597.8</v>
      </c>
      <c r="AJ246" t="n">
        <v>597.8</v>
      </c>
      <c r="AK246" t="n">
        <v>597.8</v>
      </c>
      <c r="AL246" t="n">
        <v>597.8</v>
      </c>
      <c r="AM246" t="n">
        <v>597.8</v>
      </c>
      <c r="AN246" t="n">
        <v>597.8</v>
      </c>
      <c r="AO246" t="n">
        <v>597.8</v>
      </c>
      <c r="AP246" t="n">
        <v>597.8</v>
      </c>
      <c r="AQ246" t="n">
        <v>597.8</v>
      </c>
      <c r="AR246" t="n">
        <v>597.8</v>
      </c>
      <c r="AS246" t="n">
        <v>597.8</v>
      </c>
      <c r="AT246" t="n">
        <v>597.8</v>
      </c>
      <c r="AU246" t="n">
        <v>597.8</v>
      </c>
      <c r="AV246" t="n">
        <v>597.8</v>
      </c>
      <c r="AW246" t="n">
        <v>597.8</v>
      </c>
      <c r="AX246" t="n">
        <v>597.8</v>
      </c>
    </row>
    <row r="247">
      <c r="A247" t="inlineStr">
        <is>
          <t>PLTU PEC #8</t>
        </is>
      </c>
      <c r="B247" t="n">
        <v>610</v>
      </c>
      <c r="C247" t="n">
        <v>590</v>
      </c>
      <c r="D247" t="n">
        <v>597.8</v>
      </c>
      <c r="E247" t="n">
        <v>530</v>
      </c>
      <c r="F247" t="n">
        <v>440</v>
      </c>
      <c r="G247" t="n">
        <v>350</v>
      </c>
      <c r="H247" t="n">
        <v>350</v>
      </c>
      <c r="I247" t="n">
        <v>350</v>
      </c>
      <c r="J247" t="n">
        <v>440</v>
      </c>
      <c r="K247" t="n">
        <v>530</v>
      </c>
      <c r="L247" t="n">
        <v>597.8</v>
      </c>
      <c r="M247" t="n">
        <v>597.8</v>
      </c>
      <c r="N247" t="n">
        <v>597.8</v>
      </c>
      <c r="O247" t="n">
        <v>597.8</v>
      </c>
      <c r="P247" t="n">
        <v>597.8</v>
      </c>
      <c r="Q247" t="n">
        <v>597.8</v>
      </c>
      <c r="R247" t="n">
        <v>597.8</v>
      </c>
      <c r="S247" t="n">
        <v>597.8</v>
      </c>
      <c r="T247" t="n">
        <v>597.8</v>
      </c>
      <c r="U247" t="n">
        <v>597.8</v>
      </c>
      <c r="V247" t="n">
        <v>597.8</v>
      </c>
      <c r="W247" t="n">
        <v>597.8</v>
      </c>
      <c r="X247" t="n">
        <v>597.8</v>
      </c>
      <c r="Y247" t="n">
        <v>597.8</v>
      </c>
      <c r="Z247" t="n">
        <v>597.8</v>
      </c>
      <c r="AA247" t="n">
        <v>597.8</v>
      </c>
      <c r="AB247" t="n">
        <v>597.8</v>
      </c>
      <c r="AC247" t="n">
        <v>597.8</v>
      </c>
      <c r="AD247" t="n">
        <v>597.8</v>
      </c>
      <c r="AE247" t="n">
        <v>597.8</v>
      </c>
      <c r="AF247" t="n">
        <v>597.8</v>
      </c>
      <c r="AG247" t="n">
        <v>597.8</v>
      </c>
      <c r="AH247" t="n">
        <v>597.8</v>
      </c>
      <c r="AI247" t="n">
        <v>597.8</v>
      </c>
      <c r="AJ247" t="n">
        <v>597.8</v>
      </c>
      <c r="AK247" t="n">
        <v>597.8</v>
      </c>
      <c r="AL247" t="n">
        <v>597.8</v>
      </c>
      <c r="AM247" t="n">
        <v>597.8</v>
      </c>
      <c r="AN247" t="n">
        <v>597.8</v>
      </c>
      <c r="AO247" t="n">
        <v>597.8</v>
      </c>
      <c r="AP247" t="n">
        <v>597.8</v>
      </c>
      <c r="AQ247" t="n">
        <v>597.8</v>
      </c>
      <c r="AR247" t="n">
        <v>597.8</v>
      </c>
      <c r="AS247" t="n">
        <v>597.8</v>
      </c>
      <c r="AT247" t="n">
        <v>597.8</v>
      </c>
      <c r="AU247" t="n">
        <v>597.8</v>
      </c>
      <c r="AV247" t="n">
        <v>597.8</v>
      </c>
      <c r="AW247" t="n">
        <v>597.8</v>
      </c>
      <c r="AX247" t="n">
        <v>597.8</v>
      </c>
    </row>
    <row r="248">
      <c r="A248" t="inlineStr">
        <is>
          <t>PLTU PEC #3</t>
        </is>
      </c>
      <c r="B248" t="n">
        <v>811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</row>
    <row r="250">
      <c r="A250" t="inlineStr">
        <is>
          <t>PLTU Jawa Power #5</t>
        </is>
      </c>
      <c r="B250" t="n">
        <v>610</v>
      </c>
      <c r="C250" t="n">
        <v>410</v>
      </c>
      <c r="D250" t="n">
        <v>320</v>
      </c>
      <c r="E250" t="n">
        <v>305</v>
      </c>
      <c r="F250" t="n">
        <v>305</v>
      </c>
      <c r="G250" t="n">
        <v>305</v>
      </c>
      <c r="H250" t="n">
        <v>305</v>
      </c>
      <c r="I250" t="n">
        <v>305</v>
      </c>
      <c r="J250" t="n">
        <v>395</v>
      </c>
      <c r="K250" t="n">
        <v>485</v>
      </c>
      <c r="L250" t="n">
        <v>575</v>
      </c>
      <c r="M250" t="n">
        <v>597.8</v>
      </c>
      <c r="N250" t="n">
        <v>597.8</v>
      </c>
      <c r="O250" t="n">
        <v>597.8</v>
      </c>
      <c r="P250" t="n">
        <v>597.8</v>
      </c>
      <c r="Q250" t="n">
        <v>597.8</v>
      </c>
      <c r="R250" t="n">
        <v>597.8</v>
      </c>
      <c r="S250" t="n">
        <v>597.8</v>
      </c>
      <c r="T250" t="n">
        <v>597.8</v>
      </c>
      <c r="U250" t="n">
        <v>597.8</v>
      </c>
      <c r="V250" t="n">
        <v>597.8</v>
      </c>
      <c r="W250" t="n">
        <v>597.8</v>
      </c>
      <c r="X250" t="n">
        <v>597.8</v>
      </c>
      <c r="Y250" t="n">
        <v>597.8</v>
      </c>
      <c r="Z250" t="n">
        <v>597.8</v>
      </c>
      <c r="AA250" t="n">
        <v>597.8</v>
      </c>
      <c r="AB250" t="n">
        <v>597.8</v>
      </c>
      <c r="AC250" t="n">
        <v>597.8</v>
      </c>
      <c r="AD250" t="n">
        <v>597.8</v>
      </c>
      <c r="AE250" t="n">
        <v>597.8</v>
      </c>
      <c r="AF250" t="n">
        <v>597.8</v>
      </c>
      <c r="AG250" t="n">
        <v>597.8</v>
      </c>
      <c r="AH250" t="n">
        <v>597.8</v>
      </c>
      <c r="AI250" t="n">
        <v>597.8</v>
      </c>
      <c r="AJ250" t="n">
        <v>597.8</v>
      </c>
      <c r="AK250" t="n">
        <v>597.8</v>
      </c>
      <c r="AL250" t="n">
        <v>597.8</v>
      </c>
      <c r="AM250" t="n">
        <v>597.8</v>
      </c>
      <c r="AN250" t="n">
        <v>597.8</v>
      </c>
      <c r="AO250" t="n">
        <v>597.8</v>
      </c>
      <c r="AP250" t="n">
        <v>597.8</v>
      </c>
      <c r="AQ250" t="n">
        <v>597.8</v>
      </c>
      <c r="AR250" t="n">
        <v>597.8</v>
      </c>
      <c r="AS250" t="n">
        <v>597.8</v>
      </c>
      <c r="AT250" t="n">
        <v>597.8</v>
      </c>
      <c r="AU250" t="n">
        <v>597.8</v>
      </c>
      <c r="AV250" t="n">
        <v>597.8</v>
      </c>
      <c r="AW250" t="n">
        <v>597.8</v>
      </c>
      <c r="AX250" t="n">
        <v>597.8</v>
      </c>
    </row>
    <row r="251">
      <c r="A251" t="inlineStr">
        <is>
          <t>PLTU Jawa Power #6</t>
        </is>
      </c>
      <c r="B251" t="n">
        <v>610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</row>
    <row r="253">
      <c r="A253" t="inlineStr">
        <is>
          <t>PLTP IJEN #1</t>
        </is>
      </c>
      <c r="B253" t="n">
        <v>35.86615</v>
      </c>
      <c r="C253" t="n">
        <v>33.81</v>
      </c>
      <c r="D253" t="n">
        <v>33.81</v>
      </c>
      <c r="E253" t="n">
        <v>33.81</v>
      </c>
      <c r="F253" t="n">
        <v>33.81</v>
      </c>
      <c r="G253" t="n">
        <v>33.81</v>
      </c>
      <c r="H253" t="n">
        <v>33.81</v>
      </c>
      <c r="I253" t="n">
        <v>33.81</v>
      </c>
      <c r="J253" t="n">
        <v>33.81</v>
      </c>
      <c r="K253" t="n">
        <v>33.81</v>
      </c>
      <c r="L253" t="n">
        <v>33.81</v>
      </c>
      <c r="M253" t="n">
        <v>33.81</v>
      </c>
      <c r="N253" t="n">
        <v>33.81</v>
      </c>
      <c r="O253" t="n">
        <v>33.81</v>
      </c>
      <c r="P253" t="n">
        <v>33.81</v>
      </c>
      <c r="Q253" t="n">
        <v>33.81</v>
      </c>
      <c r="R253" t="n">
        <v>33.81</v>
      </c>
      <c r="S253" t="n">
        <v>33.81</v>
      </c>
      <c r="T253" t="n">
        <v>33.81</v>
      </c>
      <c r="U253" t="n">
        <v>33.81</v>
      </c>
      <c r="V253" t="n">
        <v>33.81</v>
      </c>
      <c r="W253" t="n">
        <v>33.81</v>
      </c>
      <c r="X253" t="n">
        <v>33.81</v>
      </c>
      <c r="Y253" t="n">
        <v>33.81</v>
      </c>
      <c r="Z253" t="n">
        <v>33.81</v>
      </c>
      <c r="AA253" t="n">
        <v>33.81</v>
      </c>
      <c r="AB253" t="n">
        <v>33.81</v>
      </c>
      <c r="AC253" t="n">
        <v>33.81</v>
      </c>
      <c r="AD253" t="n">
        <v>33.81</v>
      </c>
      <c r="AE253" t="n">
        <v>33.81</v>
      </c>
      <c r="AF253" t="n">
        <v>33.81</v>
      </c>
      <c r="AG253" t="n">
        <v>33.81</v>
      </c>
      <c r="AH253" t="n">
        <v>33.81</v>
      </c>
      <c r="AI253" t="n">
        <v>33.81</v>
      </c>
      <c r="AJ253" t="n">
        <v>33.81</v>
      </c>
      <c r="AK253" t="n">
        <v>33.81</v>
      </c>
      <c r="AL253" t="n">
        <v>33.81</v>
      </c>
      <c r="AM253" t="n">
        <v>33.81</v>
      </c>
      <c r="AN253" t="n">
        <v>33.81</v>
      </c>
      <c r="AO253" t="n">
        <v>33.81</v>
      </c>
      <c r="AP253" t="n">
        <v>33.81</v>
      </c>
      <c r="AQ253" t="n">
        <v>33.81</v>
      </c>
      <c r="AR253" t="n">
        <v>33.81</v>
      </c>
      <c r="AS253" t="n">
        <v>33.81</v>
      </c>
      <c r="AT253" t="n">
        <v>33.81</v>
      </c>
      <c r="AU253" t="n">
        <v>33.81</v>
      </c>
      <c r="AV253" t="n">
        <v>33.81</v>
      </c>
      <c r="AW253" t="n">
        <v>33.81</v>
      </c>
      <c r="AX253" t="n">
        <v>33.81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</row>
    <row r="255">
      <c r="A255" t="inlineStr">
        <is>
          <t>Pembangkitan Area</t>
        </is>
      </c>
      <c r="B255" t="inlineStr"/>
      <c r="C255" t="n">
        <v>3963.43</v>
      </c>
      <c r="D255" t="n">
        <v>3899.94</v>
      </c>
      <c r="E255" t="n">
        <v>3749.34</v>
      </c>
      <c r="F255" t="n">
        <v>3568.34</v>
      </c>
      <c r="G255" t="n">
        <v>3389.34</v>
      </c>
      <c r="H255" t="n">
        <v>3387.34</v>
      </c>
      <c r="I255" t="n">
        <v>3387.34</v>
      </c>
      <c r="J255" t="n">
        <v>3651.34</v>
      </c>
      <c r="K255" t="n">
        <v>4011.34</v>
      </c>
      <c r="L255" t="n">
        <v>4326.94</v>
      </c>
      <c r="M255" t="n">
        <v>4439.74</v>
      </c>
      <c r="N255" t="n">
        <v>4441.53</v>
      </c>
      <c r="O255" t="n">
        <v>4443.27</v>
      </c>
      <c r="P255" t="n">
        <v>4464.25</v>
      </c>
      <c r="Q255" t="n">
        <v>4620.06</v>
      </c>
      <c r="R255" t="n">
        <v>4714.31</v>
      </c>
      <c r="S255" t="n">
        <v>4751.19</v>
      </c>
      <c r="T255" t="n">
        <v>4916.91</v>
      </c>
      <c r="U255" t="n">
        <v>5066.2</v>
      </c>
      <c r="V255" t="n">
        <v>5103.4</v>
      </c>
      <c r="W255" t="n">
        <v>5114.55</v>
      </c>
      <c r="X255" t="n">
        <v>5114.32</v>
      </c>
      <c r="Y255" t="n">
        <v>5113.65</v>
      </c>
      <c r="Z255" t="n">
        <v>5114.36</v>
      </c>
      <c r="AA255" t="n">
        <v>5114.13</v>
      </c>
      <c r="AB255" t="n">
        <v>5243.43</v>
      </c>
      <c r="AC255" t="n">
        <v>5243.69</v>
      </c>
      <c r="AD255" t="n">
        <v>5243.72</v>
      </c>
      <c r="AE255" t="n">
        <v>5232.46</v>
      </c>
      <c r="AF255" t="n">
        <v>5232.42</v>
      </c>
      <c r="AG255" t="n">
        <v>5232.47</v>
      </c>
      <c r="AH255" t="n">
        <v>5232.44</v>
      </c>
      <c r="AI255" t="n">
        <v>5232.67</v>
      </c>
      <c r="AJ255" t="n">
        <v>5266.1</v>
      </c>
      <c r="AK255" t="n">
        <v>5346.83</v>
      </c>
      <c r="AL255" t="n">
        <v>5347.5</v>
      </c>
      <c r="AM255" t="n">
        <v>5346.83</v>
      </c>
      <c r="AN255" t="n">
        <v>5348.01</v>
      </c>
      <c r="AO255" t="n">
        <v>5321.38</v>
      </c>
      <c r="AP255" t="n">
        <v>5060.73</v>
      </c>
      <c r="AQ255" t="n">
        <v>5038.14</v>
      </c>
      <c r="AR255" t="n">
        <v>5009.38</v>
      </c>
      <c r="AS255" t="n">
        <v>4822.03</v>
      </c>
      <c r="AT255" t="n">
        <v>4652.81</v>
      </c>
      <c r="AU255" t="n">
        <v>4455.78</v>
      </c>
      <c r="AV255" t="n">
        <v>4454.78</v>
      </c>
      <c r="AW255" t="n">
        <v>4454.78</v>
      </c>
      <c r="AX255" t="n">
        <v>4455.78</v>
      </c>
    </row>
    <row r="256">
      <c r="A256" t="inlineStr">
        <is>
          <t>Beban Area</t>
        </is>
      </c>
      <c r="B256" t="inlineStr"/>
      <c r="C256" t="n">
        <v>5340.88</v>
      </c>
      <c r="D256" t="n">
        <v>5555.71</v>
      </c>
      <c r="E256" t="n">
        <v>5577.65</v>
      </c>
      <c r="F256" t="n">
        <v>5516.82</v>
      </c>
      <c r="G256" t="n">
        <v>5487.42</v>
      </c>
      <c r="H256" t="n">
        <v>5488.77</v>
      </c>
      <c r="I256" t="n">
        <v>5511.37</v>
      </c>
      <c r="J256" t="n">
        <v>5544.63</v>
      </c>
      <c r="K256" t="n">
        <v>5709.35</v>
      </c>
      <c r="L256" t="n">
        <v>5842.58</v>
      </c>
      <c r="M256" t="n">
        <v>5908.82</v>
      </c>
      <c r="N256" t="n">
        <v>5810.29</v>
      </c>
      <c r="O256" t="n">
        <v>5746.24</v>
      </c>
      <c r="P256" t="n">
        <v>5760.32</v>
      </c>
      <c r="Q256" t="n">
        <v>6136.74</v>
      </c>
      <c r="R256" t="n">
        <v>6374.54</v>
      </c>
      <c r="S256" t="n">
        <v>6647.89</v>
      </c>
      <c r="T256" t="n">
        <v>6704.05</v>
      </c>
      <c r="U256" t="n">
        <v>6732.25</v>
      </c>
      <c r="V256" t="n">
        <v>6852.56</v>
      </c>
      <c r="W256" t="n">
        <v>6886.37</v>
      </c>
      <c r="X256" t="n">
        <v>6916.03</v>
      </c>
      <c r="Y256" t="n">
        <v>6860.6</v>
      </c>
      <c r="Z256" t="n">
        <v>6616.99</v>
      </c>
      <c r="AA256" t="n">
        <v>6613.13</v>
      </c>
      <c r="AB256" t="n">
        <v>6781.36</v>
      </c>
      <c r="AC256" t="n">
        <v>7041.07</v>
      </c>
      <c r="AD256" t="n">
        <v>7107.74</v>
      </c>
      <c r="AE256" t="n">
        <v>7125.14</v>
      </c>
      <c r="AF256" t="n">
        <v>7125.58</v>
      </c>
      <c r="AG256" t="n">
        <v>7039.51</v>
      </c>
      <c r="AH256" t="n">
        <v>6998.11</v>
      </c>
      <c r="AI256" t="n">
        <v>6954.79</v>
      </c>
      <c r="AJ256" t="n">
        <v>7060.77</v>
      </c>
      <c r="AK256" t="n">
        <v>7376.75</v>
      </c>
      <c r="AL256" t="n">
        <v>7478.42</v>
      </c>
      <c r="AM256" t="n">
        <v>7361.87</v>
      </c>
      <c r="AN256" t="n">
        <v>7272.02</v>
      </c>
      <c r="AO256" t="n">
        <v>7189.08</v>
      </c>
      <c r="AP256" t="n">
        <v>7061.78</v>
      </c>
      <c r="AQ256" t="n">
        <v>6967.39</v>
      </c>
      <c r="AR256" t="n">
        <v>6863.82</v>
      </c>
      <c r="AS256" t="n">
        <v>6683.95</v>
      </c>
      <c r="AT256" t="n">
        <v>6535.99</v>
      </c>
      <c r="AU256" t="n">
        <v>6456.54</v>
      </c>
      <c r="AV256" t="n">
        <v>6338.09</v>
      </c>
      <c r="AW256" t="n">
        <v>6244.96</v>
      </c>
      <c r="AX256" t="n">
        <v>6105.18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</row>
    <row r="258">
      <c r="A258" t="inlineStr">
        <is>
          <t>RJTB SRB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</row>
    <row r="259">
      <c r="A259" t="inlineStr"/>
      <c r="B259" t="inlineStr"/>
      <c r="C259" t="inlineStr">
        <is>
          <t>PT. INDONESIA POWER</t>
        </is>
      </c>
      <c r="D259" t="inlineStr">
        <is>
          <t>PT. INDONESIA POWER</t>
        </is>
      </c>
      <c r="E259" t="inlineStr">
        <is>
          <t>PT. INDONESIA POWER</t>
        </is>
      </c>
      <c r="F259" t="inlineStr">
        <is>
          <t>PT. INDONESIA POWER</t>
        </is>
      </c>
      <c r="G259" t="inlineStr">
        <is>
          <t>PT. INDONESIA POWER</t>
        </is>
      </c>
      <c r="H259" t="inlineStr">
        <is>
          <t>PT. INDONESIA POWER</t>
        </is>
      </c>
      <c r="I259" t="inlineStr">
        <is>
          <t>PT. INDONESIA POWER</t>
        </is>
      </c>
      <c r="J259" t="inlineStr">
        <is>
          <t>PT. INDONESIA POWER</t>
        </is>
      </c>
      <c r="K259" t="inlineStr">
        <is>
          <t>PT. INDONESIA POWER</t>
        </is>
      </c>
      <c r="L259" t="inlineStr">
        <is>
          <t>PT. INDONESIA POWER</t>
        </is>
      </c>
      <c r="M259" t="inlineStr">
        <is>
          <t>PT. INDONESIA POWER</t>
        </is>
      </c>
      <c r="N259" t="inlineStr">
        <is>
          <t>PT. INDONESIA POWER</t>
        </is>
      </c>
      <c r="O259" t="inlineStr">
        <is>
          <t>PT. INDONESIA POWER</t>
        </is>
      </c>
      <c r="P259" t="inlineStr">
        <is>
          <t>PT. INDONESIA POWER</t>
        </is>
      </c>
      <c r="Q259" t="inlineStr">
        <is>
          <t>PT. INDONESIA POWER</t>
        </is>
      </c>
      <c r="R259" t="inlineStr">
        <is>
          <t>PT. INDONESIA POWER</t>
        </is>
      </c>
      <c r="S259" t="inlineStr">
        <is>
          <t>PT. INDONESIA POWER</t>
        </is>
      </c>
      <c r="T259" t="inlineStr">
        <is>
          <t>PT. INDONESIA POWER</t>
        </is>
      </c>
      <c r="U259" t="inlineStr">
        <is>
          <t>PT. INDONESIA POWER</t>
        </is>
      </c>
      <c r="V259" t="inlineStr">
        <is>
          <t>PT. INDONESIA POWER</t>
        </is>
      </c>
      <c r="W259" t="inlineStr">
        <is>
          <t>PT. INDONESIA POWER</t>
        </is>
      </c>
      <c r="X259" t="inlineStr">
        <is>
          <t>PT. INDONESIA POWER</t>
        </is>
      </c>
      <c r="Y259" t="inlineStr">
        <is>
          <t>PT. INDONESIA POWER</t>
        </is>
      </c>
      <c r="Z259" t="inlineStr">
        <is>
          <t>PT. INDONESIA POWER</t>
        </is>
      </c>
      <c r="AA259" t="inlineStr">
        <is>
          <t>PT. INDONESIA POWER</t>
        </is>
      </c>
      <c r="AB259" t="inlineStr">
        <is>
          <t>PT. INDONESIA POWER</t>
        </is>
      </c>
      <c r="AC259" t="inlineStr">
        <is>
          <t>PT. INDONESIA POWER</t>
        </is>
      </c>
      <c r="AD259" t="inlineStr">
        <is>
          <t>PT. INDONESIA POWER</t>
        </is>
      </c>
      <c r="AE259" t="inlineStr">
        <is>
          <t>PT. INDONESIA POWER</t>
        </is>
      </c>
      <c r="AF259" t="inlineStr">
        <is>
          <t>PT. INDONESIA POWER</t>
        </is>
      </c>
      <c r="AG259" t="inlineStr">
        <is>
          <t>PT. INDONESIA POWER</t>
        </is>
      </c>
      <c r="AH259" t="inlineStr">
        <is>
          <t>PT. INDONESIA POWER</t>
        </is>
      </c>
      <c r="AI259" t="inlineStr">
        <is>
          <t>PT. INDONESIA POWER</t>
        </is>
      </c>
      <c r="AJ259" t="inlineStr">
        <is>
          <t>PT. INDONESIA POWER</t>
        </is>
      </c>
      <c r="AK259" t="inlineStr">
        <is>
          <t>PT. INDONESIA POWER</t>
        </is>
      </c>
      <c r="AL259" t="inlineStr">
        <is>
          <t>PT. INDONESIA POWER</t>
        </is>
      </c>
      <c r="AM259" t="inlineStr">
        <is>
          <t>PT. INDONESIA POWER</t>
        </is>
      </c>
      <c r="AN259" t="inlineStr">
        <is>
          <t>PT. INDONESIA POWER</t>
        </is>
      </c>
      <c r="AO259" t="inlineStr">
        <is>
          <t>PT. INDONESIA POWER</t>
        </is>
      </c>
      <c r="AP259" t="inlineStr">
        <is>
          <t>PT. INDONESIA POWER</t>
        </is>
      </c>
      <c r="AQ259" t="inlineStr">
        <is>
          <t>PT. INDONESIA POWER</t>
        </is>
      </c>
      <c r="AR259" t="inlineStr">
        <is>
          <t>PT. INDONESIA POWER</t>
        </is>
      </c>
      <c r="AS259" t="inlineStr">
        <is>
          <t>PT. INDONESIA POWER</t>
        </is>
      </c>
      <c r="AT259" t="inlineStr">
        <is>
          <t>PT. INDONESIA POWER</t>
        </is>
      </c>
      <c r="AU259" t="inlineStr">
        <is>
          <t>PT. INDONESIA POWER</t>
        </is>
      </c>
      <c r="AV259" t="inlineStr">
        <is>
          <t>PT. INDONESIA POWER</t>
        </is>
      </c>
      <c r="AW259" t="inlineStr">
        <is>
          <t>PT. INDONESIA POWER</t>
        </is>
      </c>
      <c r="AX259" t="inlineStr">
        <is>
          <t>PT. INDONESIA POWER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</row>
    <row r="261">
      <c r="A261" t="inlineStr">
        <is>
          <t>PLTG BALI PSRAN</t>
        </is>
      </c>
      <c r="B261" t="inlineStr"/>
      <c r="C261" t="n">
        <v>107</v>
      </c>
      <c r="D261" t="n">
        <v>107</v>
      </c>
      <c r="E261" t="n">
        <v>107</v>
      </c>
      <c r="F261" t="n">
        <v>107</v>
      </c>
      <c r="G261" t="n">
        <v>107</v>
      </c>
      <c r="H261" t="n">
        <v>107</v>
      </c>
      <c r="I261" t="n">
        <v>107</v>
      </c>
      <c r="J261" t="n">
        <v>107</v>
      </c>
      <c r="K261" t="n">
        <v>107</v>
      </c>
      <c r="L261" t="n">
        <v>107</v>
      </c>
      <c r="M261" t="n">
        <v>107</v>
      </c>
      <c r="N261" t="n">
        <v>107</v>
      </c>
      <c r="O261" t="n">
        <v>107</v>
      </c>
      <c r="P261" t="n">
        <v>107</v>
      </c>
      <c r="Q261" t="n">
        <v>107</v>
      </c>
      <c r="R261" t="n">
        <v>107</v>
      </c>
      <c r="S261" t="n">
        <v>107</v>
      </c>
      <c r="T261" t="n">
        <v>107</v>
      </c>
      <c r="U261" t="n">
        <v>107</v>
      </c>
      <c r="V261" t="n">
        <v>107</v>
      </c>
      <c r="W261" t="n">
        <v>107</v>
      </c>
      <c r="X261" t="n">
        <v>107</v>
      </c>
      <c r="Y261" t="n">
        <v>107</v>
      </c>
      <c r="Z261" t="n">
        <v>107</v>
      </c>
      <c r="AA261" t="n">
        <v>107</v>
      </c>
      <c r="AB261" t="n">
        <v>107</v>
      </c>
      <c r="AC261" t="n">
        <v>107</v>
      </c>
      <c r="AD261" t="n">
        <v>107</v>
      </c>
      <c r="AE261" t="n">
        <v>107</v>
      </c>
      <c r="AF261" t="n">
        <v>107</v>
      </c>
      <c r="AG261" t="n">
        <v>107</v>
      </c>
      <c r="AH261" t="n">
        <v>107</v>
      </c>
      <c r="AI261" t="n">
        <v>107</v>
      </c>
      <c r="AJ261" t="n">
        <v>107</v>
      </c>
      <c r="AK261" t="n">
        <v>107</v>
      </c>
      <c r="AL261" t="n">
        <v>107</v>
      </c>
      <c r="AM261" t="n">
        <v>132</v>
      </c>
      <c r="AN261" t="n">
        <v>132</v>
      </c>
      <c r="AO261" t="n">
        <v>132</v>
      </c>
      <c r="AP261" t="n">
        <v>132</v>
      </c>
      <c r="AQ261" t="n">
        <v>132</v>
      </c>
      <c r="AR261" t="n">
        <v>132</v>
      </c>
      <c r="AS261" t="n">
        <v>132</v>
      </c>
      <c r="AT261" t="n">
        <v>132</v>
      </c>
      <c r="AU261" t="n">
        <v>132</v>
      </c>
      <c r="AV261" t="n">
        <v>132</v>
      </c>
      <c r="AW261" t="n">
        <v>107</v>
      </c>
      <c r="AX261" t="n">
        <v>107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</row>
    <row r="263">
      <c r="A263" t="inlineStr">
        <is>
          <t>PLTG GILIMANUK</t>
        </is>
      </c>
      <c r="B263" t="inlineStr"/>
      <c r="C263" t="n">
        <v>85</v>
      </c>
      <c r="D263" t="n">
        <v>85</v>
      </c>
      <c r="E263" t="n">
        <v>85</v>
      </c>
      <c r="F263" t="n">
        <v>112.6</v>
      </c>
      <c r="G263" t="n">
        <v>126.2</v>
      </c>
      <c r="H263" t="n">
        <v>115</v>
      </c>
      <c r="I263" t="n">
        <v>100.6</v>
      </c>
      <c r="J263" t="n">
        <v>85</v>
      </c>
      <c r="K263" t="n">
        <v>85</v>
      </c>
      <c r="L263" t="n">
        <v>85</v>
      </c>
      <c r="M263" t="n">
        <v>85</v>
      </c>
      <c r="N263" t="n">
        <v>85</v>
      </c>
      <c r="O263" t="n">
        <v>85</v>
      </c>
      <c r="P263" t="n">
        <v>85</v>
      </c>
      <c r="Q263" t="n">
        <v>85</v>
      </c>
      <c r="R263" t="n">
        <v>85</v>
      </c>
      <c r="S263" t="n">
        <v>85</v>
      </c>
      <c r="T263" t="n">
        <v>85</v>
      </c>
      <c r="U263" t="n">
        <v>85</v>
      </c>
      <c r="V263" t="n">
        <v>85</v>
      </c>
      <c r="W263" t="n">
        <v>88.40000000000001</v>
      </c>
      <c r="X263" t="n">
        <v>90.7</v>
      </c>
      <c r="Y263" t="n">
        <v>90.8</v>
      </c>
      <c r="Z263" t="n">
        <v>85</v>
      </c>
      <c r="AA263" t="n">
        <v>85</v>
      </c>
      <c r="AB263" t="n">
        <v>88.3</v>
      </c>
      <c r="AC263" t="n">
        <v>100</v>
      </c>
      <c r="AD263" t="n">
        <v>96</v>
      </c>
      <c r="AE263" t="n">
        <v>94.5</v>
      </c>
      <c r="AF263" t="n">
        <v>106.5</v>
      </c>
      <c r="AG263" t="n">
        <v>130</v>
      </c>
      <c r="AH263" t="n">
        <v>130</v>
      </c>
      <c r="AI263" t="n">
        <v>94.39</v>
      </c>
      <c r="AJ263" t="n">
        <v>95.47</v>
      </c>
      <c r="AK263" t="n">
        <v>110</v>
      </c>
      <c r="AL263" t="n">
        <v>110</v>
      </c>
      <c r="AM263" t="n">
        <v>105.4</v>
      </c>
      <c r="AN263" t="n">
        <v>113.6</v>
      </c>
      <c r="AO263" t="n">
        <v>105.4</v>
      </c>
      <c r="AP263" t="n">
        <v>105</v>
      </c>
      <c r="AQ263" t="n">
        <v>105</v>
      </c>
      <c r="AR263" t="n">
        <v>103.7</v>
      </c>
      <c r="AS263" t="n">
        <v>85</v>
      </c>
      <c r="AT263" t="n">
        <v>85</v>
      </c>
      <c r="AU263" t="n">
        <v>85</v>
      </c>
      <c r="AV263" t="n">
        <v>85</v>
      </c>
      <c r="AW263" t="n">
        <v>89.22</v>
      </c>
      <c r="AX263" t="n">
        <v>89.68000000000001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</row>
    <row r="265">
      <c r="A265" t="inlineStr">
        <is>
          <t>PLTG PEMARON #1</t>
        </is>
      </c>
      <c r="B265" t="n">
        <v>40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</v>
      </c>
      <c r="AJ265" t="n">
        <v>30</v>
      </c>
      <c r="AK265" t="n">
        <v>30</v>
      </c>
      <c r="AL265" t="n">
        <v>30</v>
      </c>
      <c r="AM265" t="n">
        <v>40</v>
      </c>
      <c r="AN265" t="n">
        <v>40</v>
      </c>
      <c r="AO265" t="n">
        <v>40</v>
      </c>
      <c r="AP265" t="n">
        <v>36</v>
      </c>
      <c r="AQ265" t="n">
        <v>40</v>
      </c>
      <c r="AR265" t="n">
        <v>30</v>
      </c>
      <c r="AS265" t="n">
        <v>30</v>
      </c>
      <c r="AT265" t="n">
        <v>30</v>
      </c>
      <c r="AU265" t="n">
        <v>0</v>
      </c>
      <c r="AV265" t="n">
        <v>0</v>
      </c>
      <c r="AW265" t="n">
        <v>0</v>
      </c>
      <c r="AX265" t="n">
        <v>0</v>
      </c>
    </row>
    <row r="266">
      <c r="A266" t="inlineStr">
        <is>
          <t>PLTG PEMARON #2</t>
        </is>
      </c>
      <c r="B266" t="n">
        <v>40</v>
      </c>
      <c r="C266" t="n">
        <v>30</v>
      </c>
      <c r="D266" t="n">
        <v>30</v>
      </c>
      <c r="E266" t="n">
        <v>30</v>
      </c>
      <c r="F266" t="n">
        <v>30</v>
      </c>
      <c r="G266" t="n">
        <v>30</v>
      </c>
      <c r="H266" t="n">
        <v>30</v>
      </c>
      <c r="I266" t="n">
        <v>30</v>
      </c>
      <c r="J266" t="n">
        <v>30</v>
      </c>
      <c r="K266" t="n">
        <v>30</v>
      </c>
      <c r="L266" t="n">
        <v>30</v>
      </c>
      <c r="M266" t="n">
        <v>30</v>
      </c>
      <c r="N266" t="n">
        <v>30</v>
      </c>
      <c r="O266" t="n">
        <v>30</v>
      </c>
      <c r="P266" t="n">
        <v>30</v>
      </c>
      <c r="Q266" t="n">
        <v>30</v>
      </c>
      <c r="R266" t="n">
        <v>30</v>
      </c>
      <c r="S266" t="n">
        <v>30</v>
      </c>
      <c r="T266" t="n">
        <v>30</v>
      </c>
      <c r="U266" t="n">
        <v>30</v>
      </c>
      <c r="V266" t="n">
        <v>30</v>
      </c>
      <c r="W266" t="n">
        <v>30</v>
      </c>
      <c r="X266" t="n">
        <v>30</v>
      </c>
      <c r="Y266" t="n">
        <v>30</v>
      </c>
      <c r="Z266" t="n">
        <v>30</v>
      </c>
      <c r="AA266" t="n">
        <v>30</v>
      </c>
      <c r="AB266" t="n">
        <v>30</v>
      </c>
      <c r="AC266" t="n">
        <v>30</v>
      </c>
      <c r="AD266" t="n">
        <v>30</v>
      </c>
      <c r="AE266" t="n">
        <v>30</v>
      </c>
      <c r="AF266" t="n">
        <v>30</v>
      </c>
      <c r="AG266" t="n">
        <v>30</v>
      </c>
      <c r="AH266" t="n">
        <v>30</v>
      </c>
      <c r="AI266" t="n">
        <v>30</v>
      </c>
      <c r="AJ266" t="n">
        <v>30</v>
      </c>
      <c r="AK266" t="n">
        <v>30</v>
      </c>
      <c r="AL266" t="n">
        <v>30</v>
      </c>
      <c r="AM266" t="n">
        <v>40</v>
      </c>
      <c r="AN266" t="n">
        <v>40</v>
      </c>
      <c r="AO266" t="n">
        <v>40</v>
      </c>
      <c r="AP266" t="n">
        <v>36</v>
      </c>
      <c r="AQ266" t="n">
        <v>36.29</v>
      </c>
      <c r="AR266" t="n">
        <v>30</v>
      </c>
      <c r="AS266" t="n">
        <v>30</v>
      </c>
      <c r="AT266" t="n">
        <v>30</v>
      </c>
      <c r="AU266" t="n">
        <v>0</v>
      </c>
      <c r="AV266" t="n">
        <v>0</v>
      </c>
      <c r="AW266" t="n">
        <v>0</v>
      </c>
      <c r="AX266" t="n">
        <v>0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</row>
    <row r="268">
      <c r="A268" t="inlineStr">
        <is>
          <t>PLTD BALI PSRAN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</row>
    <row r="270">
      <c r="A270" t="inlineStr">
        <is>
          <t>PLTD BOT PESANGGARAN #1</t>
        </is>
      </c>
      <c r="B270" t="n">
        <v>16.67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8</v>
      </c>
      <c r="AJ270" t="n">
        <v>8</v>
      </c>
      <c r="AK270" t="n">
        <v>12</v>
      </c>
      <c r="AL270" t="n">
        <v>12</v>
      </c>
      <c r="AM270" t="n">
        <v>16.67</v>
      </c>
      <c r="AN270" t="n">
        <v>16.67</v>
      </c>
      <c r="AO270" t="n">
        <v>16.67</v>
      </c>
      <c r="AP270" t="n">
        <v>13.53</v>
      </c>
      <c r="AQ270" t="n">
        <v>16.16</v>
      </c>
      <c r="AR270" t="n">
        <v>12</v>
      </c>
      <c r="AS270" t="n">
        <v>8</v>
      </c>
      <c r="AT270" t="n">
        <v>8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inlineStr">
        <is>
          <t>PLTD BOT PESANGGARAN #2</t>
        </is>
      </c>
      <c r="B271" t="n">
        <v>16.67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12</v>
      </c>
      <c r="AF271" t="n">
        <v>12</v>
      </c>
      <c r="AG271" t="n">
        <v>15.01</v>
      </c>
      <c r="AH271" t="n">
        <v>12.01</v>
      </c>
      <c r="AI271" t="n">
        <v>8</v>
      </c>
      <c r="AJ271" t="n">
        <v>8</v>
      </c>
      <c r="AK271" t="n">
        <v>12</v>
      </c>
      <c r="AL271" t="n">
        <v>8</v>
      </c>
      <c r="AM271" t="n">
        <v>16.67</v>
      </c>
      <c r="AN271" t="n">
        <v>16.67</v>
      </c>
      <c r="AO271" t="n">
        <v>16.67</v>
      </c>
      <c r="AP271" t="n">
        <v>13.71</v>
      </c>
      <c r="AQ271" t="n">
        <v>16.16</v>
      </c>
      <c r="AR271" t="n">
        <v>12</v>
      </c>
      <c r="AS271" t="n">
        <v>8</v>
      </c>
      <c r="AT271" t="n">
        <v>8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inlineStr">
        <is>
          <t>PLTD BOT PESANGGARAN #3</t>
        </is>
      </c>
      <c r="B272" t="n">
        <v>16.67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8</v>
      </c>
      <c r="AJ272" t="n">
        <v>8</v>
      </c>
      <c r="AK272" t="n">
        <v>8</v>
      </c>
      <c r="AL272" t="n">
        <v>8</v>
      </c>
      <c r="AM272" t="n">
        <v>16.67</v>
      </c>
      <c r="AN272" t="n">
        <v>16.67</v>
      </c>
      <c r="AO272" t="n">
        <v>16.67</v>
      </c>
      <c r="AP272" t="n">
        <v>12</v>
      </c>
      <c r="AQ272" t="n">
        <v>16.16</v>
      </c>
      <c r="AR272" t="n">
        <v>12</v>
      </c>
      <c r="AS272" t="n">
        <v>8</v>
      </c>
      <c r="AT272" t="n">
        <v>8</v>
      </c>
      <c r="AU272" t="n">
        <v>0</v>
      </c>
      <c r="AV272" t="n">
        <v>0</v>
      </c>
      <c r="AW272" t="n">
        <v>0</v>
      </c>
      <c r="AX272" t="n">
        <v>0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</row>
    <row r="274">
      <c r="A274" t="inlineStr">
        <is>
          <t>PLTDG PESANGGARAN B1</t>
        </is>
      </c>
      <c r="B274" t="inlineStr"/>
      <c r="C274" t="n">
        <v>10</v>
      </c>
      <c r="D274" t="n">
        <v>10</v>
      </c>
      <c r="E274" t="n">
        <v>10</v>
      </c>
      <c r="F274" t="n">
        <v>40.4</v>
      </c>
      <c r="G274" t="n">
        <v>10</v>
      </c>
      <c r="H274" t="n">
        <v>10</v>
      </c>
      <c r="I274" t="n">
        <v>10</v>
      </c>
      <c r="J274" t="n">
        <v>10</v>
      </c>
      <c r="K274" t="n">
        <v>10</v>
      </c>
      <c r="L274" t="n">
        <v>10</v>
      </c>
      <c r="M274" t="n">
        <v>10</v>
      </c>
      <c r="N274" t="n">
        <v>10</v>
      </c>
      <c r="O274" t="n">
        <v>10</v>
      </c>
      <c r="P274" t="n">
        <v>10</v>
      </c>
      <c r="Q274" t="n">
        <v>10</v>
      </c>
      <c r="R274" t="n">
        <v>10</v>
      </c>
      <c r="S274" t="n">
        <v>10</v>
      </c>
      <c r="T274" t="n">
        <v>10</v>
      </c>
      <c r="U274" t="n">
        <v>10</v>
      </c>
      <c r="V274" t="n">
        <v>10</v>
      </c>
      <c r="W274" t="n">
        <v>10</v>
      </c>
      <c r="X274" t="n">
        <v>10</v>
      </c>
      <c r="Y274" t="n">
        <v>10</v>
      </c>
      <c r="Z274" t="n">
        <v>10</v>
      </c>
      <c r="AA274" t="n">
        <v>10</v>
      </c>
      <c r="AB274" t="n">
        <v>10</v>
      </c>
      <c r="AC274" t="n">
        <v>18.7</v>
      </c>
      <c r="AD274" t="n">
        <v>40.4</v>
      </c>
      <c r="AE274" t="n">
        <v>40.4</v>
      </c>
      <c r="AF274" t="n">
        <v>40.4</v>
      </c>
      <c r="AG274" t="n">
        <v>10</v>
      </c>
      <c r="AH274" t="n">
        <v>10</v>
      </c>
      <c r="AI274" t="n">
        <v>10</v>
      </c>
      <c r="AJ274" t="n">
        <v>10</v>
      </c>
      <c r="AK274" t="n">
        <v>10</v>
      </c>
      <c r="AL274" t="n">
        <v>10</v>
      </c>
      <c r="AM274" t="n">
        <v>42.3</v>
      </c>
      <c r="AN274" t="n">
        <v>45.6</v>
      </c>
      <c r="AO274" t="n">
        <v>41.92</v>
      </c>
      <c r="AP274" t="n">
        <v>40.4</v>
      </c>
      <c r="AQ274" t="n">
        <v>10</v>
      </c>
      <c r="AR274" t="n">
        <v>10</v>
      </c>
      <c r="AS274" t="n">
        <v>10</v>
      </c>
      <c r="AT274" t="n">
        <v>10</v>
      </c>
      <c r="AU274" t="n">
        <v>10</v>
      </c>
      <c r="AV274" t="n">
        <v>10</v>
      </c>
      <c r="AW274" t="n">
        <v>10</v>
      </c>
      <c r="AX274" t="n">
        <v>10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</row>
    <row r="276">
      <c r="A276" t="inlineStr">
        <is>
          <t>PLTDG PESANGGARAN B2</t>
        </is>
      </c>
      <c r="B276" t="inlineStr"/>
      <c r="C276" t="n">
        <v>24</v>
      </c>
      <c r="D276" t="n">
        <v>10</v>
      </c>
      <c r="E276" t="n">
        <v>10</v>
      </c>
      <c r="F276" t="n">
        <v>45</v>
      </c>
      <c r="G276" t="n">
        <v>45.6</v>
      </c>
      <c r="H276" t="n">
        <v>45.6</v>
      </c>
      <c r="I276" t="n">
        <v>45</v>
      </c>
      <c r="J276" t="n">
        <v>10</v>
      </c>
      <c r="K276" t="n">
        <v>10</v>
      </c>
      <c r="L276" t="n">
        <v>10</v>
      </c>
      <c r="M276" t="n">
        <v>10</v>
      </c>
      <c r="N276" t="n">
        <v>10</v>
      </c>
      <c r="O276" t="n">
        <v>10</v>
      </c>
      <c r="P276" t="n">
        <v>10</v>
      </c>
      <c r="Q276" t="n">
        <v>10</v>
      </c>
      <c r="R276" t="n">
        <v>15.2</v>
      </c>
      <c r="S276" t="n">
        <v>45</v>
      </c>
      <c r="T276" t="n">
        <v>45</v>
      </c>
      <c r="U276" t="n">
        <v>45</v>
      </c>
      <c r="V276" t="n">
        <v>45</v>
      </c>
      <c r="W276" t="n">
        <v>45</v>
      </c>
      <c r="X276" t="n">
        <v>45</v>
      </c>
      <c r="Y276" t="n">
        <v>45</v>
      </c>
      <c r="Z276" t="n">
        <v>44</v>
      </c>
      <c r="AA276" t="n">
        <v>37.5</v>
      </c>
      <c r="AB276" t="n">
        <v>45</v>
      </c>
      <c r="AC276" t="n">
        <v>45.6</v>
      </c>
      <c r="AD276" t="n">
        <v>45</v>
      </c>
      <c r="AE276" t="n">
        <v>45</v>
      </c>
      <c r="AF276" t="n">
        <v>45</v>
      </c>
      <c r="AG276" t="n">
        <v>45.6</v>
      </c>
      <c r="AH276" t="n">
        <v>45.6</v>
      </c>
      <c r="AI276" t="n">
        <v>45</v>
      </c>
      <c r="AJ276" t="n">
        <v>10</v>
      </c>
      <c r="AK276" t="n">
        <v>10</v>
      </c>
      <c r="AL276" t="n">
        <v>10</v>
      </c>
      <c r="AM276" t="n">
        <v>45</v>
      </c>
      <c r="AN276" t="n">
        <v>45.6</v>
      </c>
      <c r="AO276" t="n">
        <v>45</v>
      </c>
      <c r="AP276" t="n">
        <v>45</v>
      </c>
      <c r="AQ276" t="n">
        <v>45.6</v>
      </c>
      <c r="AR276" t="n">
        <v>45</v>
      </c>
      <c r="AS276" t="n">
        <v>45</v>
      </c>
      <c r="AT276" t="n">
        <v>10</v>
      </c>
      <c r="AU276" t="n">
        <v>45</v>
      </c>
      <c r="AV276" t="n">
        <v>10</v>
      </c>
      <c r="AW276" t="n">
        <v>45</v>
      </c>
      <c r="AX276" t="n">
        <v>10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</row>
    <row r="278">
      <c r="A278" t="inlineStr">
        <is>
          <t>PLTDG PESANGGARAN B3</t>
        </is>
      </c>
      <c r="B278" t="inlineStr"/>
      <c r="C278" t="n">
        <v>45</v>
      </c>
      <c r="D278" t="n">
        <v>32</v>
      </c>
      <c r="E278" t="n">
        <v>9.5</v>
      </c>
      <c r="F278" t="n">
        <v>45</v>
      </c>
      <c r="G278" t="n">
        <v>45.6</v>
      </c>
      <c r="H278" t="n">
        <v>45.6</v>
      </c>
      <c r="I278" t="n">
        <v>45</v>
      </c>
      <c r="J278" t="n">
        <v>10</v>
      </c>
      <c r="K278" t="n">
        <v>10</v>
      </c>
      <c r="L278" t="n">
        <v>10</v>
      </c>
      <c r="M278" t="n">
        <v>10</v>
      </c>
      <c r="N278" t="n">
        <v>10</v>
      </c>
      <c r="O278" t="n">
        <v>10</v>
      </c>
      <c r="P278" t="n">
        <v>10</v>
      </c>
      <c r="Q278" t="n">
        <v>10</v>
      </c>
      <c r="R278" t="n">
        <v>10</v>
      </c>
      <c r="S278" t="n">
        <v>38.24</v>
      </c>
      <c r="T278" t="n">
        <v>45</v>
      </c>
      <c r="U278" t="n">
        <v>10</v>
      </c>
      <c r="V278" t="n">
        <v>45</v>
      </c>
      <c r="W278" t="n">
        <v>45</v>
      </c>
      <c r="X278" t="n">
        <v>45</v>
      </c>
      <c r="Y278" t="n">
        <v>45.6</v>
      </c>
      <c r="Z278" t="n">
        <v>45</v>
      </c>
      <c r="AA278" t="n">
        <v>45</v>
      </c>
      <c r="AB278" t="n">
        <v>45</v>
      </c>
      <c r="AC278" t="n">
        <v>45.6</v>
      </c>
      <c r="AD278" t="n">
        <v>45</v>
      </c>
      <c r="AE278" t="n">
        <v>45</v>
      </c>
      <c r="AF278" t="n">
        <v>45</v>
      </c>
      <c r="AG278" t="n">
        <v>45.6</v>
      </c>
      <c r="AH278" t="n">
        <v>45.6</v>
      </c>
      <c r="AI278" t="n">
        <v>45</v>
      </c>
      <c r="AJ278" t="n">
        <v>45</v>
      </c>
      <c r="AK278" t="n">
        <v>10</v>
      </c>
      <c r="AL278" t="n">
        <v>10</v>
      </c>
      <c r="AM278" t="n">
        <v>45</v>
      </c>
      <c r="AN278" t="n">
        <v>45.6</v>
      </c>
      <c r="AO278" t="n">
        <v>45</v>
      </c>
      <c r="AP278" t="n">
        <v>45</v>
      </c>
      <c r="AQ278" t="n">
        <v>45.6</v>
      </c>
      <c r="AR278" t="n">
        <v>45</v>
      </c>
      <c r="AS278" t="n">
        <v>39.7</v>
      </c>
      <c r="AT278" t="n">
        <v>34.2</v>
      </c>
      <c r="AU278" t="n">
        <v>32</v>
      </c>
      <c r="AV278" t="n">
        <v>25.7</v>
      </c>
      <c r="AW278" t="n">
        <v>10</v>
      </c>
      <c r="AX278" t="n">
        <v>10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</row>
    <row r="280">
      <c r="A280" t="inlineStr">
        <is>
          <t>PLTDG PESANGGARAN B4</t>
        </is>
      </c>
      <c r="B280" t="inlineStr"/>
      <c r="C280" t="n">
        <v>45</v>
      </c>
      <c r="D280" t="n">
        <v>45</v>
      </c>
      <c r="E280" t="n">
        <v>45</v>
      </c>
      <c r="F280" t="n">
        <v>45</v>
      </c>
      <c r="G280" t="n">
        <v>45.6</v>
      </c>
      <c r="H280" t="n">
        <v>45.6</v>
      </c>
      <c r="I280" t="n">
        <v>45</v>
      </c>
      <c r="J280" t="n">
        <v>10</v>
      </c>
      <c r="K280" t="n">
        <v>10</v>
      </c>
      <c r="L280" t="n">
        <v>10</v>
      </c>
      <c r="M280" t="n">
        <v>10</v>
      </c>
      <c r="N280" t="n">
        <v>10</v>
      </c>
      <c r="O280" t="n">
        <v>10</v>
      </c>
      <c r="P280" t="n">
        <v>10</v>
      </c>
      <c r="Q280" t="n">
        <v>10</v>
      </c>
      <c r="R280" t="n">
        <v>10</v>
      </c>
      <c r="S280" t="n">
        <v>10</v>
      </c>
      <c r="T280" t="n">
        <v>40.96</v>
      </c>
      <c r="U280" t="n">
        <v>45</v>
      </c>
      <c r="V280" t="n">
        <v>45</v>
      </c>
      <c r="W280" t="n">
        <v>45</v>
      </c>
      <c r="X280" t="n">
        <v>45</v>
      </c>
      <c r="Y280" t="n">
        <v>45.35</v>
      </c>
      <c r="Z280" t="n">
        <v>45</v>
      </c>
      <c r="AA280" t="n">
        <v>45</v>
      </c>
      <c r="AB280" t="n">
        <v>45</v>
      </c>
      <c r="AC280" t="n">
        <v>45.6</v>
      </c>
      <c r="AD280" t="n">
        <v>45</v>
      </c>
      <c r="AE280" t="n">
        <v>45</v>
      </c>
      <c r="AF280" t="n">
        <v>45</v>
      </c>
      <c r="AG280" t="n">
        <v>45.6</v>
      </c>
      <c r="AH280" t="n">
        <v>45.6</v>
      </c>
      <c r="AI280" t="n">
        <v>45</v>
      </c>
      <c r="AJ280" t="n">
        <v>45</v>
      </c>
      <c r="AK280" t="n">
        <v>45</v>
      </c>
      <c r="AL280" t="n">
        <v>45</v>
      </c>
      <c r="AM280" t="n">
        <v>45</v>
      </c>
      <c r="AN280" t="n">
        <v>45.6</v>
      </c>
      <c r="AO280" t="n">
        <v>45</v>
      </c>
      <c r="AP280" t="n">
        <v>45</v>
      </c>
      <c r="AQ280" t="n">
        <v>45.6</v>
      </c>
      <c r="AR280" t="n">
        <v>45</v>
      </c>
      <c r="AS280" t="n">
        <v>45</v>
      </c>
      <c r="AT280" t="n">
        <v>45</v>
      </c>
      <c r="AU280" t="n">
        <v>45</v>
      </c>
      <c r="AV280" t="n">
        <v>45</v>
      </c>
      <c r="AW280" t="n">
        <v>10</v>
      </c>
      <c r="AX280" t="n">
        <v>10</v>
      </c>
    </row>
    <row r="281">
      <c r="A281" t="inlineStr"/>
      <c r="B281" t="inlineStr"/>
      <c r="C281" t="inlineStr">
        <is>
          <t>IPP</t>
        </is>
      </c>
      <c r="D281" t="inlineStr">
        <is>
          <t>IPP</t>
        </is>
      </c>
      <c r="E281" t="inlineStr">
        <is>
          <t>IPP</t>
        </is>
      </c>
      <c r="F281" t="inlineStr">
        <is>
          <t>IPP</t>
        </is>
      </c>
      <c r="G281" t="inlineStr">
        <is>
          <t>IPP</t>
        </is>
      </c>
      <c r="H281" t="inlineStr">
        <is>
          <t>IPP</t>
        </is>
      </c>
      <c r="I281" t="inlineStr">
        <is>
          <t>IPP</t>
        </is>
      </c>
      <c r="J281" t="inlineStr">
        <is>
          <t>IPP</t>
        </is>
      </c>
      <c r="K281" t="inlineStr">
        <is>
          <t>IPP</t>
        </is>
      </c>
      <c r="L281" t="inlineStr">
        <is>
          <t>IPP</t>
        </is>
      </c>
      <c r="M281" t="inlineStr">
        <is>
          <t>IPP</t>
        </is>
      </c>
      <c r="N281" t="inlineStr">
        <is>
          <t>IPP</t>
        </is>
      </c>
      <c r="O281" t="inlineStr">
        <is>
          <t>IPP</t>
        </is>
      </c>
      <c r="P281" t="inlineStr">
        <is>
          <t>IPP</t>
        </is>
      </c>
      <c r="Q281" t="inlineStr">
        <is>
          <t>IPP</t>
        </is>
      </c>
      <c r="R281" t="inlineStr">
        <is>
          <t>IPP</t>
        </is>
      </c>
      <c r="S281" t="inlineStr">
        <is>
          <t>IPP</t>
        </is>
      </c>
      <c r="T281" t="inlineStr">
        <is>
          <t>IPP</t>
        </is>
      </c>
      <c r="U281" t="inlineStr">
        <is>
          <t>IPP</t>
        </is>
      </c>
      <c r="V281" t="inlineStr">
        <is>
          <t>IPP</t>
        </is>
      </c>
      <c r="W281" t="inlineStr">
        <is>
          <t>IPP</t>
        </is>
      </c>
      <c r="X281" t="inlineStr">
        <is>
          <t>IPP</t>
        </is>
      </c>
      <c r="Y281" t="inlineStr">
        <is>
          <t>IPP</t>
        </is>
      </c>
      <c r="Z281" t="inlineStr">
        <is>
          <t>IPP</t>
        </is>
      </c>
      <c r="AA281" t="inlineStr">
        <is>
          <t>IPP</t>
        </is>
      </c>
      <c r="AB281" t="inlineStr">
        <is>
          <t>IPP</t>
        </is>
      </c>
      <c r="AC281" t="inlineStr">
        <is>
          <t>IPP</t>
        </is>
      </c>
      <c r="AD281" t="inlineStr">
        <is>
          <t>IPP</t>
        </is>
      </c>
      <c r="AE281" t="inlineStr">
        <is>
          <t>IPP</t>
        </is>
      </c>
      <c r="AF281" t="inlineStr">
        <is>
          <t>IPP</t>
        </is>
      </c>
      <c r="AG281" t="inlineStr">
        <is>
          <t>IPP</t>
        </is>
      </c>
      <c r="AH281" t="inlineStr">
        <is>
          <t>IPP</t>
        </is>
      </c>
      <c r="AI281" t="inlineStr">
        <is>
          <t>IPP</t>
        </is>
      </c>
      <c r="AJ281" t="inlineStr">
        <is>
          <t>IPP</t>
        </is>
      </c>
      <c r="AK281" t="inlineStr">
        <is>
          <t>IPP</t>
        </is>
      </c>
      <c r="AL281" t="inlineStr">
        <is>
          <t>IPP</t>
        </is>
      </c>
      <c r="AM281" t="inlineStr">
        <is>
          <t>IPP</t>
        </is>
      </c>
      <c r="AN281" t="inlineStr">
        <is>
          <t>IPP</t>
        </is>
      </c>
      <c r="AO281" t="inlineStr">
        <is>
          <t>IPP</t>
        </is>
      </c>
      <c r="AP281" t="inlineStr">
        <is>
          <t>IPP</t>
        </is>
      </c>
      <c r="AQ281" t="inlineStr">
        <is>
          <t>IPP</t>
        </is>
      </c>
      <c r="AR281" t="inlineStr">
        <is>
          <t>IPP</t>
        </is>
      </c>
      <c r="AS281" t="inlineStr">
        <is>
          <t>IPP</t>
        </is>
      </c>
      <c r="AT281" t="inlineStr">
        <is>
          <t>IPP</t>
        </is>
      </c>
      <c r="AU281" t="inlineStr">
        <is>
          <t>IPP</t>
        </is>
      </c>
      <c r="AV281" t="inlineStr">
        <is>
          <t>IPP</t>
        </is>
      </c>
      <c r="AW281" t="inlineStr">
        <is>
          <t>IPP</t>
        </is>
      </c>
      <c r="AX281" t="inlineStr">
        <is>
          <t>IPP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</row>
    <row r="283">
      <c r="A283" t="inlineStr">
        <is>
          <t>PLTU CELUKAN BAWANG #1</t>
        </is>
      </c>
      <c r="B283" t="n">
        <v>125</v>
      </c>
      <c r="C283" t="n">
        <v>125</v>
      </c>
      <c r="D283" t="n">
        <v>125</v>
      </c>
      <c r="E283" t="n">
        <v>125</v>
      </c>
      <c r="F283" t="n">
        <v>125</v>
      </c>
      <c r="G283" t="n">
        <v>125</v>
      </c>
      <c r="H283" t="n">
        <v>125</v>
      </c>
      <c r="I283" t="n">
        <v>125</v>
      </c>
      <c r="J283" t="n">
        <v>83.75</v>
      </c>
      <c r="K283" t="n">
        <v>84.75</v>
      </c>
      <c r="L283" t="n">
        <v>84.75</v>
      </c>
      <c r="M283" t="n">
        <v>103.75</v>
      </c>
      <c r="N283" t="n">
        <v>89.98</v>
      </c>
      <c r="O283" t="n">
        <v>97.70999999999999</v>
      </c>
      <c r="P283" t="n">
        <v>95.95</v>
      </c>
      <c r="Q283" t="n">
        <v>125</v>
      </c>
      <c r="R283" t="n">
        <v>125</v>
      </c>
      <c r="S283" t="n">
        <v>125</v>
      </c>
      <c r="T283" t="n">
        <v>125</v>
      </c>
      <c r="U283" t="n">
        <v>125</v>
      </c>
      <c r="V283" t="n">
        <v>125</v>
      </c>
      <c r="W283" t="n">
        <v>125</v>
      </c>
      <c r="X283" t="n">
        <v>125</v>
      </c>
      <c r="Y283" t="n">
        <v>125</v>
      </c>
      <c r="Z283" t="n">
        <v>125</v>
      </c>
      <c r="AA283" t="n">
        <v>125</v>
      </c>
      <c r="AB283" t="n">
        <v>125</v>
      </c>
      <c r="AC283" t="n">
        <v>125</v>
      </c>
      <c r="AD283" t="n">
        <v>125</v>
      </c>
      <c r="AE283" t="n">
        <v>125</v>
      </c>
      <c r="AF283" t="n">
        <v>125</v>
      </c>
      <c r="AG283" t="n">
        <v>125</v>
      </c>
      <c r="AH283" t="n">
        <v>125</v>
      </c>
      <c r="AI283" t="n">
        <v>125</v>
      </c>
      <c r="AJ283" t="n">
        <v>125</v>
      </c>
      <c r="AK283" t="n">
        <v>125</v>
      </c>
      <c r="AL283" t="n">
        <v>125</v>
      </c>
      <c r="AM283" t="n">
        <v>125</v>
      </c>
      <c r="AN283" t="n">
        <v>125</v>
      </c>
      <c r="AO283" t="n">
        <v>125</v>
      </c>
      <c r="AP283" t="n">
        <v>125</v>
      </c>
      <c r="AQ283" t="n">
        <v>125</v>
      </c>
      <c r="AR283" t="n">
        <v>125</v>
      </c>
      <c r="AS283" t="n">
        <v>125</v>
      </c>
      <c r="AT283" t="n">
        <v>125</v>
      </c>
      <c r="AU283" t="n">
        <v>125</v>
      </c>
      <c r="AV283" t="n">
        <v>125</v>
      </c>
      <c r="AW283" t="n">
        <v>125</v>
      </c>
      <c r="AX283" t="n">
        <v>125</v>
      </c>
    </row>
    <row r="284">
      <c r="A284" t="inlineStr">
        <is>
          <t>PLTU CELUKAN BAWANG #2</t>
        </is>
      </c>
      <c r="B284" t="n">
        <v>125</v>
      </c>
      <c r="C284" t="n">
        <v>125</v>
      </c>
      <c r="D284" t="n">
        <v>125</v>
      </c>
      <c r="E284" t="n">
        <v>125</v>
      </c>
      <c r="F284" t="n">
        <v>125</v>
      </c>
      <c r="G284" t="n">
        <v>125</v>
      </c>
      <c r="H284" t="n">
        <v>125</v>
      </c>
      <c r="I284" t="n">
        <v>125</v>
      </c>
      <c r="J284" t="n">
        <v>62</v>
      </c>
      <c r="K284" t="n">
        <v>62</v>
      </c>
      <c r="L284" t="n">
        <v>62</v>
      </c>
      <c r="M284" t="n">
        <v>62</v>
      </c>
      <c r="N284" t="n">
        <v>62</v>
      </c>
      <c r="O284" t="n">
        <v>62</v>
      </c>
      <c r="P284" t="n">
        <v>62</v>
      </c>
      <c r="Q284" t="n">
        <v>62</v>
      </c>
      <c r="R284" t="n">
        <v>84</v>
      </c>
      <c r="S284" t="n">
        <v>95</v>
      </c>
      <c r="T284" t="n">
        <v>95</v>
      </c>
      <c r="U284" t="n">
        <v>102</v>
      </c>
      <c r="V284" t="n">
        <v>103</v>
      </c>
      <c r="W284" t="n">
        <v>125</v>
      </c>
      <c r="X284" t="n">
        <v>125</v>
      </c>
      <c r="Y284" t="n">
        <v>125</v>
      </c>
      <c r="Z284" t="n">
        <v>125</v>
      </c>
      <c r="AA284" t="n">
        <v>125</v>
      </c>
      <c r="AB284" t="n">
        <v>125</v>
      </c>
      <c r="AC284" t="n">
        <v>125</v>
      </c>
      <c r="AD284" t="n">
        <v>125</v>
      </c>
      <c r="AE284" t="n">
        <v>125</v>
      </c>
      <c r="AF284" t="n">
        <v>125</v>
      </c>
      <c r="AG284" t="n">
        <v>125</v>
      </c>
      <c r="AH284" t="n">
        <v>125</v>
      </c>
      <c r="AI284" t="n">
        <v>125</v>
      </c>
      <c r="AJ284" t="n">
        <v>125</v>
      </c>
      <c r="AK284" t="n">
        <v>125</v>
      </c>
      <c r="AL284" t="n">
        <v>125</v>
      </c>
      <c r="AM284" t="n">
        <v>125</v>
      </c>
      <c r="AN284" t="n">
        <v>125</v>
      </c>
      <c r="AO284" t="n">
        <v>125</v>
      </c>
      <c r="AP284" t="n">
        <v>125</v>
      </c>
      <c r="AQ284" t="n">
        <v>125</v>
      </c>
      <c r="AR284" t="n">
        <v>125</v>
      </c>
      <c r="AS284" t="n">
        <v>125</v>
      </c>
      <c r="AT284" t="n">
        <v>125</v>
      </c>
      <c r="AU284" t="n">
        <v>125</v>
      </c>
      <c r="AV284" t="n">
        <v>125</v>
      </c>
      <c r="AW284" t="n">
        <v>125</v>
      </c>
      <c r="AX284" t="n">
        <v>125</v>
      </c>
    </row>
    <row r="285">
      <c r="A285" t="inlineStr">
        <is>
          <t>PLTU CELUKAN BAWANG #3</t>
        </is>
      </c>
      <c r="B285" t="n">
        <v>130</v>
      </c>
      <c r="C285" t="n">
        <v>130</v>
      </c>
      <c r="D285" t="n">
        <v>130</v>
      </c>
      <c r="E285" t="n">
        <v>130</v>
      </c>
      <c r="F285" t="n">
        <v>130</v>
      </c>
      <c r="G285" t="n">
        <v>130</v>
      </c>
      <c r="H285" t="n">
        <v>130</v>
      </c>
      <c r="I285" t="n">
        <v>130</v>
      </c>
      <c r="J285" t="n">
        <v>78.3</v>
      </c>
      <c r="K285" t="n">
        <v>78.8</v>
      </c>
      <c r="L285" t="n">
        <v>90.8</v>
      </c>
      <c r="M285" t="n">
        <v>95.40000000000001</v>
      </c>
      <c r="N285" t="n">
        <v>78.8</v>
      </c>
      <c r="O285" t="n">
        <v>78.8</v>
      </c>
      <c r="P285" t="n">
        <v>78.8</v>
      </c>
      <c r="Q285" t="n">
        <v>113</v>
      </c>
      <c r="R285" t="n">
        <v>130</v>
      </c>
      <c r="S285" t="n">
        <v>130</v>
      </c>
      <c r="T285" t="n">
        <v>130</v>
      </c>
      <c r="U285" t="n">
        <v>130</v>
      </c>
      <c r="V285" t="n">
        <v>130</v>
      </c>
      <c r="W285" t="n">
        <v>130</v>
      </c>
      <c r="X285" t="n">
        <v>130</v>
      </c>
      <c r="Y285" t="n">
        <v>130</v>
      </c>
      <c r="Z285" t="n">
        <v>130</v>
      </c>
      <c r="AA285" t="n">
        <v>130</v>
      </c>
      <c r="AB285" t="n">
        <v>130</v>
      </c>
      <c r="AC285" t="n">
        <v>130</v>
      </c>
      <c r="AD285" t="n">
        <v>130</v>
      </c>
      <c r="AE285" t="n">
        <v>130</v>
      </c>
      <c r="AF285" t="n">
        <v>130</v>
      </c>
      <c r="AG285" t="n">
        <v>130</v>
      </c>
      <c r="AH285" t="n">
        <v>130</v>
      </c>
      <c r="AI285" t="n">
        <v>130</v>
      </c>
      <c r="AJ285" t="n">
        <v>130</v>
      </c>
      <c r="AK285" t="n">
        <v>130</v>
      </c>
      <c r="AL285" t="n">
        <v>130</v>
      </c>
      <c r="AM285" t="n">
        <v>130</v>
      </c>
      <c r="AN285" t="n">
        <v>130</v>
      </c>
      <c r="AO285" t="n">
        <v>130</v>
      </c>
      <c r="AP285" t="n">
        <v>130</v>
      </c>
      <c r="AQ285" t="n">
        <v>130</v>
      </c>
      <c r="AR285" t="n">
        <v>130</v>
      </c>
      <c r="AS285" t="n">
        <v>130</v>
      </c>
      <c r="AT285" t="n">
        <v>130</v>
      </c>
      <c r="AU285" t="n">
        <v>130</v>
      </c>
      <c r="AV285" t="n">
        <v>130</v>
      </c>
      <c r="AW285" t="n">
        <v>130</v>
      </c>
      <c r="AX285" t="n">
        <v>130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</row>
    <row r="287">
      <c r="A287" t="inlineStr">
        <is>
          <t>PLTD SEWA PEMARON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60</v>
      </c>
      <c r="V287" t="n">
        <v>60</v>
      </c>
      <c r="W287" t="n">
        <v>60</v>
      </c>
      <c r="X287" t="n">
        <v>60</v>
      </c>
      <c r="Y287" t="n">
        <v>60</v>
      </c>
      <c r="Z287" t="n">
        <v>60</v>
      </c>
      <c r="AA287" t="n">
        <v>60</v>
      </c>
      <c r="AB287" t="n">
        <v>60</v>
      </c>
      <c r="AC287" t="n">
        <v>60</v>
      </c>
      <c r="AD287" t="n">
        <v>60</v>
      </c>
      <c r="AE287" t="n">
        <v>60</v>
      </c>
      <c r="AF287" t="n">
        <v>60</v>
      </c>
      <c r="AG287" t="n">
        <v>60</v>
      </c>
      <c r="AH287" t="n">
        <v>60</v>
      </c>
      <c r="AI287" t="n">
        <v>60</v>
      </c>
      <c r="AJ287" t="n">
        <v>60</v>
      </c>
      <c r="AK287" t="n">
        <v>60</v>
      </c>
      <c r="AL287" t="n">
        <v>60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inlineStr">
        <is>
          <t>PLTD SEWA PEMARON TAHAP 2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</row>
    <row r="290">
      <c r="A290" t="inlineStr">
        <is>
          <t>PLTS BALI TIMUR</t>
        </is>
      </c>
      <c r="B290" t="n">
        <v>22.2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</row>
    <row r="292">
      <c r="A292" t="inlineStr">
        <is>
          <t>PLTD SEWA KUBU STAGE-1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50</v>
      </c>
      <c r="O292" t="n">
        <v>50</v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inlineStr">
        <is>
          <t>PLTD SEWA KUBU STAGE-2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</row>
    <row r="295">
      <c r="A295" t="inlineStr">
        <is>
          <t>Pembangkitan Area</t>
        </is>
      </c>
      <c r="B295" t="inlineStr"/>
      <c r="C295" t="n">
        <v>726</v>
      </c>
      <c r="D295" t="n">
        <v>699</v>
      </c>
      <c r="E295" t="n">
        <v>676.5</v>
      </c>
      <c r="F295" t="n">
        <v>805</v>
      </c>
      <c r="G295" t="n">
        <v>790</v>
      </c>
      <c r="H295" t="n">
        <v>778.8</v>
      </c>
      <c r="I295" t="n">
        <v>762.6</v>
      </c>
      <c r="J295" t="n">
        <v>486.05</v>
      </c>
      <c r="K295" t="n">
        <v>487.55</v>
      </c>
      <c r="L295" t="n">
        <v>499.55</v>
      </c>
      <c r="M295" t="n">
        <v>523.15</v>
      </c>
      <c r="N295" t="n">
        <v>542.78</v>
      </c>
      <c r="O295" t="n">
        <v>550.51</v>
      </c>
      <c r="P295" t="n">
        <v>548.75</v>
      </c>
      <c r="Q295" t="n">
        <v>612</v>
      </c>
      <c r="R295" t="n">
        <v>656.2</v>
      </c>
      <c r="S295" t="n">
        <v>725.24</v>
      </c>
      <c r="T295" t="n">
        <v>762.96</v>
      </c>
      <c r="U295" t="n">
        <v>799</v>
      </c>
      <c r="V295" t="n">
        <v>835</v>
      </c>
      <c r="W295" t="n">
        <v>860.4</v>
      </c>
      <c r="X295" t="n">
        <v>862.7</v>
      </c>
      <c r="Y295" t="n">
        <v>863.75</v>
      </c>
      <c r="Z295" t="n">
        <v>856</v>
      </c>
      <c r="AA295" t="n">
        <v>849.5</v>
      </c>
      <c r="AB295" t="n">
        <v>860.3</v>
      </c>
      <c r="AC295" t="n">
        <v>882.5</v>
      </c>
      <c r="AD295" t="n">
        <v>898.4</v>
      </c>
      <c r="AE295" t="n">
        <v>908.9</v>
      </c>
      <c r="AF295" t="n">
        <v>920.9</v>
      </c>
      <c r="AG295" t="n">
        <v>918.8099999999999</v>
      </c>
      <c r="AH295" t="n">
        <v>915.8099999999999</v>
      </c>
      <c r="AI295" t="n">
        <v>900.39</v>
      </c>
      <c r="AJ295" t="n">
        <v>886.47</v>
      </c>
      <c r="AK295" t="n">
        <v>874</v>
      </c>
      <c r="AL295" t="n">
        <v>870</v>
      </c>
      <c r="AM295" t="n">
        <v>924.71</v>
      </c>
      <c r="AN295" t="n">
        <v>938.01</v>
      </c>
      <c r="AO295" t="n">
        <v>924.33</v>
      </c>
      <c r="AP295" t="n">
        <v>903.64</v>
      </c>
      <c r="AQ295" t="n">
        <v>888.5700000000001</v>
      </c>
      <c r="AR295" t="n">
        <v>856.7</v>
      </c>
      <c r="AS295" t="n">
        <v>820.7</v>
      </c>
      <c r="AT295" t="n">
        <v>780.2</v>
      </c>
      <c r="AU295" t="n">
        <v>729</v>
      </c>
      <c r="AV295" t="n">
        <v>687.7</v>
      </c>
      <c r="AW295" t="n">
        <v>651.22</v>
      </c>
      <c r="AX295" t="n">
        <v>616.6799999999999</v>
      </c>
    </row>
    <row r="296">
      <c r="A296" t="inlineStr">
        <is>
          <t>Beban Area</t>
        </is>
      </c>
      <c r="B296" t="inlineStr"/>
      <c r="C296" t="n">
        <v>875.9400000000001</v>
      </c>
      <c r="D296" t="n">
        <v>848.8</v>
      </c>
      <c r="E296" t="n">
        <v>826.12</v>
      </c>
      <c r="F296" t="n">
        <v>805.03</v>
      </c>
      <c r="G296" t="n">
        <v>790.04</v>
      </c>
      <c r="H296" t="n">
        <v>778.8</v>
      </c>
      <c r="I296" t="n">
        <v>762.61</v>
      </c>
      <c r="J296" t="n">
        <v>756.03</v>
      </c>
      <c r="K296" t="n">
        <v>757.5</v>
      </c>
      <c r="L296" t="n">
        <v>769.53</v>
      </c>
      <c r="M296" t="n">
        <v>793.13</v>
      </c>
      <c r="N296" t="n">
        <v>815.28</v>
      </c>
      <c r="O296" t="n">
        <v>826.61</v>
      </c>
      <c r="P296" t="n">
        <v>829.01</v>
      </c>
      <c r="Q296" t="n">
        <v>896.34</v>
      </c>
      <c r="R296" t="n">
        <v>943.45</v>
      </c>
      <c r="S296" t="n">
        <v>1014.72</v>
      </c>
      <c r="T296" t="n">
        <v>1053.38</v>
      </c>
      <c r="U296" t="n">
        <v>1089.62</v>
      </c>
      <c r="V296" t="n">
        <v>1125.86</v>
      </c>
      <c r="W296" t="n">
        <v>1151.22</v>
      </c>
      <c r="X296" t="n">
        <v>1153.64</v>
      </c>
      <c r="Y296" t="n">
        <v>1154.85</v>
      </c>
      <c r="Z296" t="n">
        <v>1147</v>
      </c>
      <c r="AA296" t="n">
        <v>1140</v>
      </c>
      <c r="AB296" t="n">
        <v>1151</v>
      </c>
      <c r="AC296" t="n">
        <v>1172.89</v>
      </c>
      <c r="AD296" t="n">
        <v>1188</v>
      </c>
      <c r="AE296" t="n">
        <v>1197</v>
      </c>
      <c r="AF296" t="n">
        <v>1206</v>
      </c>
      <c r="AG296" t="n">
        <v>1200</v>
      </c>
      <c r="AH296" t="n">
        <v>1193</v>
      </c>
      <c r="AI296" t="n">
        <v>1174</v>
      </c>
      <c r="AJ296" t="n">
        <v>1158</v>
      </c>
      <c r="AK296" t="n">
        <v>1144</v>
      </c>
      <c r="AL296" t="n">
        <v>1140</v>
      </c>
      <c r="AM296" t="n">
        <v>1194.75</v>
      </c>
      <c r="AN296" t="n">
        <v>1208</v>
      </c>
      <c r="AO296" t="n">
        <v>1194.37</v>
      </c>
      <c r="AP296" t="n">
        <v>1173.64</v>
      </c>
      <c r="AQ296" t="n">
        <v>1158.57</v>
      </c>
      <c r="AR296" t="n">
        <v>1126.69</v>
      </c>
      <c r="AS296" t="n">
        <v>1090.73</v>
      </c>
      <c r="AT296" t="n">
        <v>1050.21</v>
      </c>
      <c r="AU296" t="n">
        <v>999</v>
      </c>
      <c r="AV296" t="n">
        <v>957.7</v>
      </c>
      <c r="AW296" t="n">
        <v>921.22</v>
      </c>
      <c r="AX296" t="n">
        <v>886.6799999999999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</row>
    <row r="298">
      <c r="A298" t="inlineStr">
        <is>
          <t>Total Sistem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</row>
    <row r="300">
      <c r="A300" t="inlineStr">
        <is>
          <t>Pembangkitan Total</t>
        </is>
      </c>
      <c r="B300" t="inlineStr"/>
      <c r="C300" t="n">
        <v>25751.21</v>
      </c>
      <c r="D300" t="n">
        <v>25740.9</v>
      </c>
      <c r="E300" t="n">
        <v>25523.76</v>
      </c>
      <c r="F300" t="n">
        <v>25260.41</v>
      </c>
      <c r="G300" t="n">
        <v>25112.36</v>
      </c>
      <c r="H300" t="n">
        <v>24944.41</v>
      </c>
      <c r="I300" t="n">
        <v>24935.12</v>
      </c>
      <c r="J300" t="n">
        <v>25039.47</v>
      </c>
      <c r="K300" t="n">
        <v>25644.52</v>
      </c>
      <c r="L300" t="n">
        <v>26435.27</v>
      </c>
      <c r="M300" t="n">
        <v>27162.66</v>
      </c>
      <c r="N300" t="n">
        <v>26957.29</v>
      </c>
      <c r="O300" t="n">
        <v>26755.52</v>
      </c>
      <c r="P300" t="n">
        <v>27038.72</v>
      </c>
      <c r="Q300" t="n">
        <v>28421.97</v>
      </c>
      <c r="R300" t="n">
        <v>29569.56</v>
      </c>
      <c r="S300" t="n">
        <v>30354.14</v>
      </c>
      <c r="T300" t="n">
        <v>31442.17</v>
      </c>
      <c r="U300" t="n">
        <v>31974.34</v>
      </c>
      <c r="V300" t="n">
        <v>32308.68</v>
      </c>
      <c r="W300" t="n">
        <v>32699.1</v>
      </c>
      <c r="X300" t="n">
        <v>32778.5</v>
      </c>
      <c r="Y300" t="n">
        <v>32551.92</v>
      </c>
      <c r="Z300" t="n">
        <v>31707.48</v>
      </c>
      <c r="AA300" t="n">
        <v>31682.37</v>
      </c>
      <c r="AB300" t="n">
        <v>32584.02</v>
      </c>
      <c r="AC300" t="n">
        <v>33811.37</v>
      </c>
      <c r="AD300" t="n">
        <v>33908.97</v>
      </c>
      <c r="AE300" t="n">
        <v>33997.46</v>
      </c>
      <c r="AF300" t="n">
        <v>33993.18</v>
      </c>
      <c r="AG300" t="n">
        <v>33958.11</v>
      </c>
      <c r="AH300" t="n">
        <v>33609.88</v>
      </c>
      <c r="AI300" t="n">
        <v>33364.24</v>
      </c>
      <c r="AJ300" t="n">
        <v>33288.89</v>
      </c>
      <c r="AK300" t="n">
        <v>33702.89</v>
      </c>
      <c r="AL300" t="n">
        <v>34635.47</v>
      </c>
      <c r="AM300" t="n">
        <v>34426.95</v>
      </c>
      <c r="AN300" t="n">
        <v>34088.72</v>
      </c>
      <c r="AO300" t="n">
        <v>33907.03</v>
      </c>
      <c r="AP300" t="n">
        <v>33582.88</v>
      </c>
      <c r="AQ300" t="n">
        <v>33315.94</v>
      </c>
      <c r="AR300" t="n">
        <v>32807.54</v>
      </c>
      <c r="AS300" t="n">
        <v>32208.79</v>
      </c>
      <c r="AT300" t="n">
        <v>31528.11</v>
      </c>
      <c r="AU300" t="n">
        <v>30814.74</v>
      </c>
      <c r="AV300" t="n">
        <v>29993.71</v>
      </c>
      <c r="AW300" t="n">
        <v>29530.09</v>
      </c>
      <c r="AX300" t="n">
        <v>28843.64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LOKASI</t>
        </is>
      </c>
      <c r="B1" t="inlineStr">
        <is>
          <t>DMN</t>
        </is>
      </c>
      <c r="C1" t="inlineStr">
        <is>
          <t>00:30</t>
        </is>
      </c>
      <c r="D1" t="inlineStr">
        <is>
          <t>01:00</t>
        </is>
      </c>
      <c r="E1" t="inlineStr">
        <is>
          <t>01:30</t>
        </is>
      </c>
      <c r="F1" t="inlineStr">
        <is>
          <t>02:00</t>
        </is>
      </c>
      <c r="G1" t="inlineStr">
        <is>
          <t>02:30</t>
        </is>
      </c>
      <c r="H1" t="inlineStr">
        <is>
          <t>03:00</t>
        </is>
      </c>
      <c r="I1" t="inlineStr">
        <is>
          <t>03:30</t>
        </is>
      </c>
      <c r="J1" t="inlineStr">
        <is>
          <t>04:00</t>
        </is>
      </c>
      <c r="K1" t="inlineStr">
        <is>
          <t>04:30</t>
        </is>
      </c>
      <c r="L1" t="inlineStr">
        <is>
          <t>05:00</t>
        </is>
      </c>
      <c r="M1" t="inlineStr">
        <is>
          <t>05:30</t>
        </is>
      </c>
      <c r="N1" t="inlineStr">
        <is>
          <t>06:00</t>
        </is>
      </c>
      <c r="O1" t="inlineStr">
        <is>
          <t>06:30</t>
        </is>
      </c>
      <c r="P1" t="inlineStr">
        <is>
          <t>07:00</t>
        </is>
      </c>
      <c r="Q1" t="inlineStr">
        <is>
          <t>07:30</t>
        </is>
      </c>
      <c r="R1" t="inlineStr">
        <is>
          <t>08:00</t>
        </is>
      </c>
      <c r="S1" t="inlineStr">
        <is>
          <t>08:30</t>
        </is>
      </c>
      <c r="T1" t="inlineStr">
        <is>
          <t>09:00</t>
        </is>
      </c>
      <c r="U1" t="inlineStr">
        <is>
          <t>09:30</t>
        </is>
      </c>
      <c r="V1" t="inlineStr">
        <is>
          <t>10:00</t>
        </is>
      </c>
      <c r="W1" t="inlineStr">
        <is>
          <t>10:30</t>
        </is>
      </c>
      <c r="X1" t="inlineStr">
        <is>
          <t>11:00</t>
        </is>
      </c>
      <c r="Y1" t="inlineStr">
        <is>
          <t>11:30</t>
        </is>
      </c>
      <c r="Z1" t="inlineStr">
        <is>
          <t>12:00</t>
        </is>
      </c>
      <c r="AA1" t="inlineStr">
        <is>
          <t>12:30</t>
        </is>
      </c>
      <c r="AB1" t="inlineStr">
        <is>
          <t>13:00</t>
        </is>
      </c>
      <c r="AC1" t="inlineStr">
        <is>
          <t>13:30</t>
        </is>
      </c>
      <c r="AD1" t="inlineStr">
        <is>
          <t>14:00</t>
        </is>
      </c>
      <c r="AE1" t="inlineStr">
        <is>
          <t>14:30</t>
        </is>
      </c>
      <c r="AF1" t="inlineStr">
        <is>
          <t>15:00</t>
        </is>
      </c>
      <c r="AG1" t="inlineStr">
        <is>
          <t>15:30</t>
        </is>
      </c>
      <c r="AH1" t="inlineStr">
        <is>
          <t>16:00</t>
        </is>
      </c>
      <c r="AI1" t="inlineStr">
        <is>
          <t>16:30</t>
        </is>
      </c>
      <c r="AJ1" t="inlineStr">
        <is>
          <t>17:00</t>
        </is>
      </c>
      <c r="AK1" t="inlineStr">
        <is>
          <t>17:30</t>
        </is>
      </c>
      <c r="AL1" t="inlineStr">
        <is>
          <t>18:00</t>
        </is>
      </c>
      <c r="AM1" t="inlineStr">
        <is>
          <t>18:30</t>
        </is>
      </c>
      <c r="AN1" t="inlineStr">
        <is>
          <t>19:00</t>
        </is>
      </c>
      <c r="AO1" t="inlineStr">
        <is>
          <t>19:30</t>
        </is>
      </c>
      <c r="AP1" t="inlineStr">
        <is>
          <t>20:00</t>
        </is>
      </c>
      <c r="AQ1" t="inlineStr">
        <is>
          <t>20:30</t>
        </is>
      </c>
      <c r="AR1" t="inlineStr">
        <is>
          <t>21:00</t>
        </is>
      </c>
      <c r="AS1" t="inlineStr">
        <is>
          <t>21:30</t>
        </is>
      </c>
      <c r="AT1" t="inlineStr">
        <is>
          <t>22:00</t>
        </is>
      </c>
      <c r="AU1" t="inlineStr">
        <is>
          <t>22:30</t>
        </is>
      </c>
      <c r="AV1" t="inlineStr">
        <is>
          <t>23:00</t>
        </is>
      </c>
      <c r="AW1" t="inlineStr">
        <is>
          <t>23:30</t>
        </is>
      </c>
      <c r="AX1" t="inlineStr">
        <is>
          <t>24:00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RJKB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PLTA UBRUG</t>
        </is>
      </c>
      <c r="B5" t="inlineStr"/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PLTA KRCAK</t>
        </is>
      </c>
      <c r="B7" t="inlineStr"/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PLTU SRLYA #1</t>
        </is>
      </c>
      <c r="B9" t="n">
        <v>371.5</v>
      </c>
      <c r="C9" t="n">
        <v>248</v>
      </c>
      <c r="D9" t="n">
        <v>250</v>
      </c>
      <c r="E9" t="n">
        <v>245</v>
      </c>
      <c r="F9" t="n">
        <v>244</v>
      </c>
      <c r="G9" t="n">
        <v>245</v>
      </c>
      <c r="H9" t="n">
        <v>236</v>
      </c>
      <c r="I9" t="n">
        <v>244</v>
      </c>
      <c r="J9" t="n">
        <v>219</v>
      </c>
      <c r="K9" t="n">
        <v>228</v>
      </c>
      <c r="L9" t="n">
        <v>263</v>
      </c>
      <c r="M9" t="n">
        <v>253</v>
      </c>
      <c r="N9" t="n">
        <v>250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PLTU SRLYA #2</t>
        </is>
      </c>
      <c r="B11" t="n">
        <v>371.5</v>
      </c>
      <c r="C11" t="n">
        <v>253</v>
      </c>
      <c r="D11" t="n">
        <v>260</v>
      </c>
      <c r="E11" t="n">
        <v>248</v>
      </c>
      <c r="F11" t="n">
        <v>255</v>
      </c>
      <c r="G11" t="n">
        <v>256</v>
      </c>
      <c r="H11" t="n">
        <v>250</v>
      </c>
      <c r="I11" t="n">
        <v>260</v>
      </c>
      <c r="J11" t="n">
        <v>260</v>
      </c>
      <c r="K11" t="n">
        <v>268</v>
      </c>
      <c r="L11" t="n">
        <v>253</v>
      </c>
      <c r="M11" t="n">
        <v>237</v>
      </c>
      <c r="N11" t="n">
        <v>247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PLTU SRLYA #4</t>
        </is>
      </c>
      <c r="B13" t="n">
        <v>371.5</v>
      </c>
      <c r="C13" t="n">
        <v>225</v>
      </c>
      <c r="D13" t="n">
        <v>253</v>
      </c>
      <c r="E13" t="n">
        <v>251</v>
      </c>
      <c r="F13" t="n">
        <v>239</v>
      </c>
      <c r="G13" t="n">
        <v>248</v>
      </c>
      <c r="H13" t="n">
        <v>248</v>
      </c>
      <c r="I13" t="n">
        <v>252</v>
      </c>
      <c r="J13" t="n">
        <v>262</v>
      </c>
      <c r="K13" t="n">
        <v>247</v>
      </c>
      <c r="L13" t="n">
        <v>256</v>
      </c>
      <c r="M13" t="n">
        <v>256</v>
      </c>
      <c r="N13" t="n">
        <v>245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PLTU SRLYA #5</t>
        </is>
      </c>
      <c r="B15" t="n">
        <v>575.2</v>
      </c>
      <c r="C15" t="n">
        <v>329</v>
      </c>
      <c r="D15" t="n">
        <v>334</v>
      </c>
      <c r="E15" t="n">
        <v>356</v>
      </c>
      <c r="F15" t="n">
        <v>388</v>
      </c>
      <c r="G15" t="n">
        <v>394</v>
      </c>
      <c r="H15" t="n">
        <v>380</v>
      </c>
      <c r="I15" t="n">
        <v>383</v>
      </c>
      <c r="J15" t="n">
        <v>391</v>
      </c>
      <c r="K15" t="n">
        <v>388</v>
      </c>
      <c r="L15" t="n">
        <v>388</v>
      </c>
      <c r="M15" t="n">
        <v>387</v>
      </c>
      <c r="N15" t="n">
        <v>381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PLTU SRLYA #6</t>
        </is>
      </c>
      <c r="B17" t="n">
        <v>575.2</v>
      </c>
      <c r="C17" t="n">
        <v>376</v>
      </c>
      <c r="D17" t="n">
        <v>377</v>
      </c>
      <c r="E17" t="n">
        <v>383</v>
      </c>
      <c r="F17" t="n">
        <v>377</v>
      </c>
      <c r="G17" t="n">
        <v>375</v>
      </c>
      <c r="H17" t="n">
        <v>385</v>
      </c>
      <c r="I17" t="n">
        <v>383</v>
      </c>
      <c r="J17" t="n">
        <v>375</v>
      </c>
      <c r="K17" t="n">
        <v>369</v>
      </c>
      <c r="L17" t="n">
        <v>380</v>
      </c>
      <c r="M17" t="n">
        <v>384</v>
      </c>
      <c r="N17" t="n">
        <v>386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PLTU SRLYA #7</t>
        </is>
      </c>
      <c r="B19" t="n">
        <v>575.2</v>
      </c>
      <c r="C19" t="n">
        <v>380</v>
      </c>
      <c r="D19" t="n">
        <v>399</v>
      </c>
      <c r="E19" t="n">
        <v>392</v>
      </c>
      <c r="F19" t="n">
        <v>396</v>
      </c>
      <c r="G19" t="n">
        <v>395</v>
      </c>
      <c r="H19" t="n">
        <v>388</v>
      </c>
      <c r="I19" t="n">
        <v>390</v>
      </c>
      <c r="J19" t="n">
        <v>390</v>
      </c>
      <c r="K19" t="n">
        <v>395</v>
      </c>
      <c r="L19" t="n">
        <v>397</v>
      </c>
      <c r="M19" t="n">
        <v>388</v>
      </c>
      <c r="N19" t="n">
        <v>386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PLTGU PRIOK #1 .0</t>
        </is>
      </c>
      <c r="B21" t="n">
        <v>172.5</v>
      </c>
      <c r="C21" t="n">
        <v>38</v>
      </c>
      <c r="D21" t="n">
        <v>38</v>
      </c>
      <c r="E21" t="n">
        <v>37</v>
      </c>
      <c r="F21" t="n">
        <v>38</v>
      </c>
      <c r="G21" t="n">
        <v>37</v>
      </c>
      <c r="H21" t="n">
        <v>37</v>
      </c>
      <c r="I21" t="n">
        <v>36</v>
      </c>
      <c r="J21" t="n">
        <v>37</v>
      </c>
      <c r="K21" t="n">
        <v>37</v>
      </c>
      <c r="L21" t="n">
        <v>37</v>
      </c>
      <c r="M21" t="n">
        <v>37</v>
      </c>
      <c r="N21" t="n">
        <v>40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PLTGU PRIOK #1 .1</t>
        </is>
      </c>
      <c r="B23" t="n">
        <v>125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PLTGU PRIOK #1 .2</t>
        </is>
      </c>
      <c r="B25" t="n">
        <v>125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PLTGU PRIOK #1 .3</t>
        </is>
      </c>
      <c r="B27" t="n">
        <v>125</v>
      </c>
      <c r="C27" t="n">
        <v>81</v>
      </c>
      <c r="D27" t="n">
        <v>86</v>
      </c>
      <c r="E27" t="n">
        <v>86</v>
      </c>
      <c r="F27" t="n">
        <v>87</v>
      </c>
      <c r="G27" t="n">
        <v>81</v>
      </c>
      <c r="H27" t="n">
        <v>83</v>
      </c>
      <c r="I27" t="n">
        <v>81</v>
      </c>
      <c r="J27" t="n">
        <v>84</v>
      </c>
      <c r="K27" t="n">
        <v>82</v>
      </c>
      <c r="L27" t="n">
        <v>85</v>
      </c>
      <c r="M27" t="n">
        <v>84</v>
      </c>
      <c r="N27" t="n">
        <v>86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PLTGU PRIOK #2 .0</t>
        </is>
      </c>
      <c r="B29" t="n">
        <v>172.5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40</v>
      </c>
      <c r="J29" t="n">
        <v>40</v>
      </c>
      <c r="K29" t="n">
        <v>40</v>
      </c>
      <c r="L29" t="n">
        <v>40</v>
      </c>
      <c r="M29" t="n">
        <v>39</v>
      </c>
      <c r="N29" t="n">
        <v>39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PLTGU PRIOK #2 .1</t>
        </is>
      </c>
      <c r="B31" t="n">
        <v>125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84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PLTGU PRIOK #2 .2</t>
        </is>
      </c>
      <c r="B33" t="n">
        <v>125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PLTGU PRIOK #2 .3</t>
        </is>
      </c>
      <c r="B35" t="n">
        <v>125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PLTGU PRIOK #3 .0</t>
        </is>
      </c>
      <c r="B37" t="n">
        <v>250</v>
      </c>
      <c r="C37" t="n">
        <v>222</v>
      </c>
      <c r="D37" t="n">
        <v>221</v>
      </c>
      <c r="E37" t="n">
        <v>221</v>
      </c>
      <c r="F37" t="n">
        <v>221</v>
      </c>
      <c r="G37" t="n">
        <v>221</v>
      </c>
      <c r="H37" t="n">
        <v>220</v>
      </c>
      <c r="I37" t="n">
        <v>220</v>
      </c>
      <c r="J37" t="n">
        <v>220</v>
      </c>
      <c r="K37" t="n">
        <v>219</v>
      </c>
      <c r="L37" t="n">
        <v>219</v>
      </c>
      <c r="M37" t="n">
        <v>219</v>
      </c>
      <c r="N37" t="n">
        <v>219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PLTGU PRIOK #3 .1</t>
        </is>
      </c>
      <c r="B39" t="n">
        <v>235</v>
      </c>
      <c r="C39" t="n">
        <v>198</v>
      </c>
      <c r="D39" t="n">
        <v>199</v>
      </c>
      <c r="E39" t="n">
        <v>199</v>
      </c>
      <c r="F39" t="n">
        <v>199</v>
      </c>
      <c r="G39" t="n">
        <v>200</v>
      </c>
      <c r="H39" t="n">
        <v>199</v>
      </c>
      <c r="I39" t="n">
        <v>199</v>
      </c>
      <c r="J39" t="n">
        <v>201</v>
      </c>
      <c r="K39" t="n">
        <v>200</v>
      </c>
      <c r="L39" t="n">
        <v>199</v>
      </c>
      <c r="M39" t="n">
        <v>198</v>
      </c>
      <c r="N39" t="n">
        <v>183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PLTGU PRIOK #3 .2</t>
        </is>
      </c>
      <c r="B41" t="n">
        <v>235</v>
      </c>
      <c r="C41" t="n">
        <v>200</v>
      </c>
      <c r="D41" t="n">
        <v>200</v>
      </c>
      <c r="E41" t="n">
        <v>200</v>
      </c>
      <c r="F41" t="n">
        <v>200</v>
      </c>
      <c r="G41" t="n">
        <v>200</v>
      </c>
      <c r="H41" t="n">
        <v>200</v>
      </c>
      <c r="I41" t="n">
        <v>200</v>
      </c>
      <c r="J41" t="n">
        <v>200</v>
      </c>
      <c r="K41" t="n">
        <v>200</v>
      </c>
      <c r="L41" t="n">
        <v>200</v>
      </c>
      <c r="M41" t="n">
        <v>199</v>
      </c>
      <c r="N41" t="n">
        <v>196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PLTGU PRIOK #4 .0</t>
        </is>
      </c>
      <c r="B43" t="n">
        <v>293.8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PLTGU PRIOK #4 .1</t>
        </is>
      </c>
      <c r="B45" t="n">
        <v>283.25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PLTGU PRIOK #4 .2</t>
        </is>
      </c>
      <c r="B47" t="n">
        <v>283.25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PLTP SALAK #1</t>
        </is>
      </c>
      <c r="B49" t="n">
        <v>56.5</v>
      </c>
      <c r="C49" t="n">
        <v>57</v>
      </c>
      <c r="D49" t="n">
        <v>57</v>
      </c>
      <c r="E49" t="n">
        <v>57</v>
      </c>
      <c r="F49" t="n">
        <v>57</v>
      </c>
      <c r="G49" t="n">
        <v>57</v>
      </c>
      <c r="H49" t="n">
        <v>57</v>
      </c>
      <c r="I49" t="n">
        <v>57</v>
      </c>
      <c r="J49" t="n">
        <v>57</v>
      </c>
      <c r="K49" t="n">
        <v>57</v>
      </c>
      <c r="L49" t="n">
        <v>57</v>
      </c>
      <c r="M49" t="n">
        <v>57</v>
      </c>
      <c r="N49" t="n">
        <v>57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PLTP SALAK #2</t>
        </is>
      </c>
      <c r="B51" t="n">
        <v>56.5</v>
      </c>
      <c r="C51" t="n">
        <v>57</v>
      </c>
      <c r="D51" t="n">
        <v>57</v>
      </c>
      <c r="E51" t="n">
        <v>57</v>
      </c>
      <c r="F51" t="n">
        <v>57</v>
      </c>
      <c r="G51" t="n">
        <v>57</v>
      </c>
      <c r="H51" t="n">
        <v>57</v>
      </c>
      <c r="I51" t="n">
        <v>57</v>
      </c>
      <c r="J51" t="n">
        <v>57</v>
      </c>
      <c r="K51" t="n">
        <v>57</v>
      </c>
      <c r="L51" t="n">
        <v>57</v>
      </c>
      <c r="M51" t="n">
        <v>57</v>
      </c>
      <c r="N51" t="n">
        <v>57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PLTP SALAK #3</t>
        </is>
      </c>
      <c r="B53" t="n">
        <v>57</v>
      </c>
      <c r="C53" t="n">
        <v>56</v>
      </c>
      <c r="D53" t="n">
        <v>56</v>
      </c>
      <c r="E53" t="n">
        <v>57</v>
      </c>
      <c r="F53" t="n">
        <v>57</v>
      </c>
      <c r="G53" t="n">
        <v>56</v>
      </c>
      <c r="H53" t="n">
        <v>56</v>
      </c>
      <c r="I53" t="n">
        <v>56</v>
      </c>
      <c r="J53" t="n">
        <v>56</v>
      </c>
      <c r="K53" t="n">
        <v>57</v>
      </c>
      <c r="L53" t="n">
        <v>57</v>
      </c>
      <c r="M53" t="n">
        <v>57</v>
      </c>
      <c r="N53" t="n">
        <v>57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PLTD SNYAN #1</t>
        </is>
      </c>
      <c r="B55" t="n">
        <v>17.02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PLTD SNYAN #2</t>
        </is>
      </c>
      <c r="B57" t="n">
        <v>17.02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PLTD SNYAN #3</t>
        </is>
      </c>
      <c r="B59" t="n">
        <v>17.02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PLTD SNYAN #4</t>
        </is>
      </c>
      <c r="B61" t="n">
        <v>17.02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PLTD SNYAN #5</t>
        </is>
      </c>
      <c r="B63" t="n">
        <v>17.02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PLTD SNYAN #6</t>
        </is>
      </c>
      <c r="B65" t="n">
        <v>17.02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PLTGU CLGN #1 .0</t>
        </is>
      </c>
      <c r="B67" t="n">
        <v>236</v>
      </c>
      <c r="C67" t="n">
        <v>65</v>
      </c>
      <c r="D67" t="n">
        <v>64</v>
      </c>
      <c r="E67" t="n">
        <v>64</v>
      </c>
      <c r="F67" t="n">
        <v>64</v>
      </c>
      <c r="G67" t="n">
        <v>64</v>
      </c>
      <c r="H67" t="n">
        <v>64</v>
      </c>
      <c r="I67" t="n">
        <v>64</v>
      </c>
      <c r="J67" t="n">
        <v>64</v>
      </c>
      <c r="K67" t="n">
        <v>63</v>
      </c>
      <c r="L67" t="n">
        <v>64</v>
      </c>
      <c r="M67" t="n">
        <v>64</v>
      </c>
      <c r="N67" t="n">
        <v>63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  <row r="69">
      <c r="A69" t="inlineStr">
        <is>
          <t>PLTGU CLGN #1 .1</t>
        </is>
      </c>
      <c r="B69" t="n">
        <v>212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</row>
    <row r="71">
      <c r="A71" t="inlineStr">
        <is>
          <t>PLTGU CLGN #1 .2</t>
        </is>
      </c>
      <c r="B71" t="n">
        <v>212</v>
      </c>
      <c r="C71" t="n">
        <v>105</v>
      </c>
      <c r="D71" t="n">
        <v>105</v>
      </c>
      <c r="E71" t="n">
        <v>106</v>
      </c>
      <c r="F71" t="n">
        <v>105</v>
      </c>
      <c r="G71" t="n">
        <v>106</v>
      </c>
      <c r="H71" t="n">
        <v>105</v>
      </c>
      <c r="I71" t="n">
        <v>106</v>
      </c>
      <c r="J71" t="n">
        <v>105</v>
      </c>
      <c r="K71" t="n">
        <v>106</v>
      </c>
      <c r="L71" t="n">
        <v>106</v>
      </c>
      <c r="M71" t="n">
        <v>106</v>
      </c>
      <c r="N71" t="n">
        <v>105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</row>
    <row r="73">
      <c r="A73" t="inlineStr">
        <is>
          <t>PLTU LABUAN #1</t>
        </is>
      </c>
      <c r="B73" t="n">
        <v>280</v>
      </c>
      <c r="C73" t="n">
        <v>267</v>
      </c>
      <c r="D73" t="n">
        <v>267</v>
      </c>
      <c r="E73" t="n">
        <v>258</v>
      </c>
      <c r="F73" t="n">
        <v>229</v>
      </c>
      <c r="G73" t="n">
        <v>268</v>
      </c>
      <c r="H73" t="n">
        <v>261</v>
      </c>
      <c r="I73" t="n">
        <v>275</v>
      </c>
      <c r="J73" t="n">
        <v>263</v>
      </c>
      <c r="K73" t="n">
        <v>268</v>
      </c>
      <c r="L73" t="n">
        <v>254</v>
      </c>
      <c r="M73" t="n">
        <v>257</v>
      </c>
      <c r="N73" t="n">
        <v>243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</row>
    <row r="75">
      <c r="A75" t="inlineStr">
        <is>
          <t>PLTU LABUAN #2</t>
        </is>
      </c>
      <c r="B75" t="n">
        <v>280</v>
      </c>
      <c r="C75" t="n">
        <v>276</v>
      </c>
      <c r="D75" t="n">
        <v>281</v>
      </c>
      <c r="E75" t="n">
        <v>274</v>
      </c>
      <c r="F75" t="n">
        <v>271</v>
      </c>
      <c r="G75" t="n">
        <v>268</v>
      </c>
      <c r="H75" t="n">
        <v>267</v>
      </c>
      <c r="I75" t="n">
        <v>277</v>
      </c>
      <c r="J75" t="n">
        <v>277</v>
      </c>
      <c r="K75" t="n">
        <v>268</v>
      </c>
      <c r="L75" t="n">
        <v>262</v>
      </c>
      <c r="M75" t="n">
        <v>257</v>
      </c>
      <c r="N75" t="n">
        <v>261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</row>
    <row r="77">
      <c r="A77" t="inlineStr">
        <is>
          <t>PLTU SRLYA #8</t>
        </is>
      </c>
      <c r="B77" t="n">
        <v>540</v>
      </c>
      <c r="C77" t="n">
        <v>400</v>
      </c>
      <c r="D77" t="n">
        <v>400</v>
      </c>
      <c r="E77" t="n">
        <v>398</v>
      </c>
      <c r="F77" t="n">
        <v>401</v>
      </c>
      <c r="G77" t="n">
        <v>407</v>
      </c>
      <c r="H77" t="n">
        <v>399</v>
      </c>
      <c r="I77" t="n">
        <v>396</v>
      </c>
      <c r="J77" t="n">
        <v>404</v>
      </c>
      <c r="K77" t="n">
        <v>397</v>
      </c>
      <c r="L77" t="n">
        <v>405</v>
      </c>
      <c r="M77" t="n">
        <v>406</v>
      </c>
      <c r="N77" t="n">
        <v>395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</row>
    <row r="79">
      <c r="A79" t="inlineStr">
        <is>
          <t>PLTU PRATU #1</t>
        </is>
      </c>
      <c r="B79" t="n">
        <v>323</v>
      </c>
      <c r="C79" t="n">
        <v>262</v>
      </c>
      <c r="D79" t="n">
        <v>261</v>
      </c>
      <c r="E79" t="n">
        <v>264</v>
      </c>
      <c r="F79" t="n">
        <v>260</v>
      </c>
      <c r="G79" t="n">
        <v>250</v>
      </c>
      <c r="H79" t="n">
        <v>254</v>
      </c>
      <c r="I79" t="n">
        <v>254</v>
      </c>
      <c r="J79" t="n">
        <v>255</v>
      </c>
      <c r="K79" t="n">
        <v>255</v>
      </c>
      <c r="L79" t="n">
        <v>256</v>
      </c>
      <c r="M79" t="n">
        <v>255</v>
      </c>
      <c r="N79" t="n">
        <v>255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</row>
    <row r="81">
      <c r="A81" t="inlineStr">
        <is>
          <t>PLTU PRATU #2</t>
        </is>
      </c>
      <c r="B81" t="n">
        <v>323</v>
      </c>
      <c r="C81" t="n">
        <v>263</v>
      </c>
      <c r="D81" t="n">
        <v>259</v>
      </c>
      <c r="E81" t="n">
        <v>262</v>
      </c>
      <c r="F81" t="n">
        <v>260</v>
      </c>
      <c r="G81" t="n">
        <v>261</v>
      </c>
      <c r="H81" t="n">
        <v>261</v>
      </c>
      <c r="I81" t="n">
        <v>261</v>
      </c>
      <c r="J81" t="n">
        <v>260</v>
      </c>
      <c r="K81" t="n">
        <v>265</v>
      </c>
      <c r="L81" t="n">
        <v>264</v>
      </c>
      <c r="M81" t="n">
        <v>262</v>
      </c>
      <c r="N81" t="n">
        <v>265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</row>
    <row r="83">
      <c r="A83" t="inlineStr">
        <is>
          <t>PLTU PRATU #3</t>
        </is>
      </c>
      <c r="B83" t="n">
        <v>323</v>
      </c>
      <c r="C83" t="n">
        <v>265</v>
      </c>
      <c r="D83" t="n">
        <v>259</v>
      </c>
      <c r="E83" t="n">
        <v>259</v>
      </c>
      <c r="F83" t="n">
        <v>259</v>
      </c>
      <c r="G83" t="n">
        <v>259</v>
      </c>
      <c r="H83" t="n">
        <v>260</v>
      </c>
      <c r="I83" t="n">
        <v>260</v>
      </c>
      <c r="J83" t="n">
        <v>260</v>
      </c>
      <c r="K83" t="n">
        <v>259</v>
      </c>
      <c r="L83" t="n">
        <v>259</v>
      </c>
      <c r="M83" t="n">
        <v>261</v>
      </c>
      <c r="N83" t="n">
        <v>258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</row>
    <row r="85">
      <c r="A85" t="inlineStr">
        <is>
          <t>PLTU LONTAR #1</t>
        </is>
      </c>
      <c r="B85" t="n">
        <v>280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</row>
    <row r="87">
      <c r="A87" t="inlineStr">
        <is>
          <t>PLTU LONTAR #2</t>
        </is>
      </c>
      <c r="B87" t="n">
        <v>280</v>
      </c>
      <c r="C87" t="n">
        <v>262</v>
      </c>
      <c r="D87" t="n">
        <v>262</v>
      </c>
      <c r="E87" t="n">
        <v>256</v>
      </c>
      <c r="F87" t="n">
        <v>259</v>
      </c>
      <c r="G87" t="n">
        <v>262</v>
      </c>
      <c r="H87" t="n">
        <v>262</v>
      </c>
      <c r="I87" t="n">
        <v>261</v>
      </c>
      <c r="J87" t="n">
        <v>262</v>
      </c>
      <c r="K87" t="n">
        <v>266</v>
      </c>
      <c r="L87" t="n">
        <v>268</v>
      </c>
      <c r="M87" t="n">
        <v>271</v>
      </c>
      <c r="N87" t="n">
        <v>264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</row>
    <row r="89">
      <c r="A89" t="inlineStr">
        <is>
          <t>PLTU LONTAR #3</t>
        </is>
      </c>
      <c r="B89" t="n">
        <v>280</v>
      </c>
      <c r="C89" t="n">
        <v>246</v>
      </c>
      <c r="D89" t="n">
        <v>265</v>
      </c>
      <c r="E89" t="n">
        <v>264</v>
      </c>
      <c r="F89" t="n">
        <v>265</v>
      </c>
      <c r="G89" t="n">
        <v>271</v>
      </c>
      <c r="H89" t="n">
        <v>270</v>
      </c>
      <c r="I89" t="n">
        <v>268</v>
      </c>
      <c r="J89" t="n">
        <v>271</v>
      </c>
      <c r="K89" t="n">
        <v>269</v>
      </c>
      <c r="L89" t="n">
        <v>266</v>
      </c>
      <c r="M89" t="n">
        <v>265</v>
      </c>
      <c r="N89" t="n">
        <v>271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</row>
    <row r="91">
      <c r="A91" t="inlineStr">
        <is>
          <t>PLTU LONTAR #4</t>
        </is>
      </c>
      <c r="B91" t="n">
        <v>293</v>
      </c>
      <c r="C91" t="n">
        <v>205</v>
      </c>
      <c r="D91" t="n">
        <v>205</v>
      </c>
      <c r="E91" t="n">
        <v>199</v>
      </c>
      <c r="F91" t="n">
        <v>200</v>
      </c>
      <c r="G91" t="n">
        <v>199</v>
      </c>
      <c r="H91" t="n">
        <v>200</v>
      </c>
      <c r="I91" t="n">
        <v>195</v>
      </c>
      <c r="J91" t="n">
        <v>192</v>
      </c>
      <c r="K91" t="n">
        <v>192</v>
      </c>
      <c r="L91" t="n">
        <v>192</v>
      </c>
      <c r="M91" t="n">
        <v>193</v>
      </c>
      <c r="N91" t="n">
        <v>193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</row>
    <row r="93">
      <c r="A93" t="inlineStr">
        <is>
          <t>PLTU SRLYA #3</t>
        </is>
      </c>
      <c r="B93" t="n">
        <v>371.5</v>
      </c>
      <c r="C93" t="n">
        <v>167</v>
      </c>
      <c r="D93" t="n">
        <v>168</v>
      </c>
      <c r="E93" t="n">
        <v>176</v>
      </c>
      <c r="F93" t="n">
        <v>177</v>
      </c>
      <c r="G93" t="n">
        <v>180</v>
      </c>
      <c r="H93" t="n">
        <v>171</v>
      </c>
      <c r="I93" t="n">
        <v>175</v>
      </c>
      <c r="J93" t="n">
        <v>180</v>
      </c>
      <c r="K93" t="n">
        <v>183</v>
      </c>
      <c r="L93" t="n">
        <v>191</v>
      </c>
      <c r="M93" t="n">
        <v>187</v>
      </c>
      <c r="N93" t="n">
        <v>179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</row>
    <row r="95">
      <c r="A95" t="inlineStr">
        <is>
          <t>PLTU MKRNG #4</t>
        </is>
      </c>
      <c r="B95" t="n">
        <v>162</v>
      </c>
      <c r="C95" t="n">
        <v>94</v>
      </c>
      <c r="D95" t="n">
        <v>94</v>
      </c>
      <c r="E95" t="n">
        <v>94</v>
      </c>
      <c r="F95" t="n">
        <v>94</v>
      </c>
      <c r="G95" t="n">
        <v>94</v>
      </c>
      <c r="H95" t="n">
        <v>94</v>
      </c>
      <c r="I95" t="n">
        <v>94</v>
      </c>
      <c r="J95" t="n">
        <v>94</v>
      </c>
      <c r="K95" t="n">
        <v>94</v>
      </c>
      <c r="L95" t="n">
        <v>94</v>
      </c>
      <c r="M95" t="n">
        <v>94</v>
      </c>
      <c r="N95" t="n">
        <v>94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</row>
    <row r="97">
      <c r="A97" t="inlineStr">
        <is>
          <t>PLTU MKRNG #5</t>
        </is>
      </c>
      <c r="B97" t="n">
        <v>162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</row>
    <row r="99">
      <c r="A99" t="inlineStr">
        <is>
          <t>PLTGU MKRNG #1 .0</t>
        </is>
      </c>
      <c r="B99" t="n">
        <v>124</v>
      </c>
      <c r="C99" t="n">
        <v>22</v>
      </c>
      <c r="D99" t="n">
        <v>22</v>
      </c>
      <c r="E99" t="n">
        <v>21</v>
      </c>
      <c r="F99" t="n">
        <v>21</v>
      </c>
      <c r="G99" t="n">
        <v>21</v>
      </c>
      <c r="H99" t="n">
        <v>21</v>
      </c>
      <c r="I99" t="n">
        <v>21</v>
      </c>
      <c r="J99" t="n">
        <v>21</v>
      </c>
      <c r="K99" t="n">
        <v>21</v>
      </c>
      <c r="L99" t="n">
        <v>21</v>
      </c>
      <c r="M99" t="n">
        <v>21</v>
      </c>
      <c r="N99" t="n">
        <v>21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</row>
    <row r="101">
      <c r="A101" t="inlineStr">
        <is>
          <t>PLTGU MKRNG #1 .1</t>
        </is>
      </c>
      <c r="B101" t="n">
        <v>90</v>
      </c>
      <c r="C101" t="n">
        <v>90</v>
      </c>
      <c r="D101" t="n">
        <v>90</v>
      </c>
      <c r="E101" t="n">
        <v>90</v>
      </c>
      <c r="F101" t="n">
        <v>90</v>
      </c>
      <c r="G101" t="n">
        <v>89</v>
      </c>
      <c r="H101" t="n">
        <v>89</v>
      </c>
      <c r="I101" t="n">
        <v>90</v>
      </c>
      <c r="J101" t="n">
        <v>89</v>
      </c>
      <c r="K101" t="n">
        <v>90</v>
      </c>
      <c r="L101" t="n">
        <v>90</v>
      </c>
      <c r="M101" t="n">
        <v>89</v>
      </c>
      <c r="N101" t="n">
        <v>89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</row>
    <row r="103">
      <c r="A103" t="inlineStr">
        <is>
          <t>PLTGU MKRNG #1 .2</t>
        </is>
      </c>
      <c r="B103" t="n">
        <v>90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</row>
    <row r="105">
      <c r="A105" t="inlineStr">
        <is>
          <t>PLTGU MKRNG #1 .3</t>
        </is>
      </c>
      <c r="B105" t="n">
        <v>100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</row>
    <row r="107">
      <c r="A107" t="inlineStr">
        <is>
          <t>PLTGU MKRNG #2 .01</t>
        </is>
      </c>
      <c r="B107" t="n">
        <v>70</v>
      </c>
      <c r="C107" t="n">
        <v>32</v>
      </c>
      <c r="D107" t="n">
        <v>32</v>
      </c>
      <c r="E107" t="n">
        <v>34</v>
      </c>
      <c r="F107" t="n">
        <v>30</v>
      </c>
      <c r="G107" t="n">
        <v>30</v>
      </c>
      <c r="H107" t="n">
        <v>31</v>
      </c>
      <c r="I107" t="n">
        <v>31</v>
      </c>
      <c r="J107" t="n">
        <v>31</v>
      </c>
      <c r="K107" t="n">
        <v>35</v>
      </c>
      <c r="L107" t="n">
        <v>30</v>
      </c>
      <c r="M107" t="n">
        <v>30</v>
      </c>
      <c r="N107" t="n">
        <v>30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</row>
    <row r="109">
      <c r="A109" t="inlineStr">
        <is>
          <t>PLTGU MKRNG #2 .1</t>
        </is>
      </c>
      <c r="B109" t="n">
        <v>235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</row>
    <row r="111">
      <c r="A111" t="inlineStr">
        <is>
          <t>PLTGU MKRNG #2 .2</t>
        </is>
      </c>
      <c r="B111" t="n">
        <v>235</v>
      </c>
      <c r="C111" t="n">
        <v>146</v>
      </c>
      <c r="D111" t="n">
        <v>144</v>
      </c>
      <c r="E111" t="n">
        <v>162</v>
      </c>
      <c r="F111" t="n">
        <v>136</v>
      </c>
      <c r="G111" t="n">
        <v>130</v>
      </c>
      <c r="H111" t="n">
        <v>133</v>
      </c>
      <c r="I111" t="n">
        <v>128</v>
      </c>
      <c r="J111" t="n">
        <v>130</v>
      </c>
      <c r="K111" t="n">
        <v>160</v>
      </c>
      <c r="L111" t="n">
        <v>132</v>
      </c>
      <c r="M111" t="n">
        <v>129</v>
      </c>
      <c r="N111" t="n">
        <v>127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</row>
    <row r="113">
      <c r="A113" t="inlineStr">
        <is>
          <t>PLTGU MKRNG #2 .02</t>
        </is>
      </c>
      <c r="B113" t="n">
        <v>70</v>
      </c>
      <c r="C113" t="n">
        <v>38</v>
      </c>
      <c r="D113" t="n">
        <v>37</v>
      </c>
      <c r="E113" t="n">
        <v>40</v>
      </c>
      <c r="F113" t="n">
        <v>37</v>
      </c>
      <c r="G113" t="n">
        <v>36</v>
      </c>
      <c r="H113" t="n">
        <v>37</v>
      </c>
      <c r="I113" t="n">
        <v>37</v>
      </c>
      <c r="J113" t="n">
        <v>38</v>
      </c>
      <c r="K113" t="n">
        <v>40</v>
      </c>
      <c r="L113" t="n">
        <v>37</v>
      </c>
      <c r="M113" t="n">
        <v>35</v>
      </c>
      <c r="N113" t="n">
        <v>36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</row>
    <row r="115">
      <c r="A115" t="inlineStr">
        <is>
          <t>PLTGU MKRNG #2 .03</t>
        </is>
      </c>
      <c r="B115" t="n">
        <v>70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</row>
    <row r="117">
      <c r="A117" t="inlineStr">
        <is>
          <t>PLTGU MKRNG #3 .0</t>
        </is>
      </c>
      <c r="B117" t="n">
        <v>165</v>
      </c>
      <c r="C117" t="n">
        <v>103</v>
      </c>
      <c r="D117" t="n">
        <v>103</v>
      </c>
      <c r="E117" t="n">
        <v>103</v>
      </c>
      <c r="F117" t="n">
        <v>103</v>
      </c>
      <c r="G117" t="n">
        <v>103</v>
      </c>
      <c r="H117" t="n">
        <v>103</v>
      </c>
      <c r="I117" t="n">
        <v>103</v>
      </c>
      <c r="J117" t="n">
        <v>103</v>
      </c>
      <c r="K117" t="n">
        <v>103</v>
      </c>
      <c r="L117" t="n">
        <v>103</v>
      </c>
      <c r="M117" t="n">
        <v>103</v>
      </c>
      <c r="N117" t="n">
        <v>103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</row>
    <row r="119">
      <c r="A119" t="inlineStr">
        <is>
          <t>PLTGU MKRNG #3 .1</t>
        </is>
      </c>
      <c r="B119" t="n">
        <v>330</v>
      </c>
      <c r="C119" t="n">
        <v>152</v>
      </c>
      <c r="D119" t="n">
        <v>152</v>
      </c>
      <c r="E119" t="n">
        <v>153</v>
      </c>
      <c r="F119" t="n">
        <v>153</v>
      </c>
      <c r="G119" t="n">
        <v>152</v>
      </c>
      <c r="H119" t="n">
        <v>152</v>
      </c>
      <c r="I119" t="n">
        <v>152</v>
      </c>
      <c r="J119" t="n">
        <v>152</v>
      </c>
      <c r="K119" t="n">
        <v>152</v>
      </c>
      <c r="L119" t="n">
        <v>152</v>
      </c>
      <c r="M119" t="n">
        <v>152</v>
      </c>
      <c r="N119" t="n">
        <v>153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</row>
    <row r="121">
      <c r="A121" t="inlineStr">
        <is>
          <t>PLTP SALAK #4</t>
        </is>
      </c>
      <c r="B121" t="n">
        <v>69.6163</v>
      </c>
      <c r="C121" t="n">
        <v>64</v>
      </c>
      <c r="D121" t="n">
        <v>64</v>
      </c>
      <c r="E121" t="n">
        <v>64</v>
      </c>
      <c r="F121" t="n">
        <v>64</v>
      </c>
      <c r="G121" t="n">
        <v>64</v>
      </c>
      <c r="H121" t="n">
        <v>64</v>
      </c>
      <c r="I121" t="n">
        <v>64</v>
      </c>
      <c r="J121" t="n">
        <v>64</v>
      </c>
      <c r="K121" t="n">
        <v>64</v>
      </c>
      <c r="L121" t="n">
        <v>64</v>
      </c>
      <c r="M121" t="n">
        <v>64</v>
      </c>
      <c r="N121" t="n">
        <v>64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</row>
    <row r="123">
      <c r="A123" t="inlineStr">
        <is>
          <t>PLTP SALAK #5</t>
        </is>
      </c>
      <c r="B123" t="n">
        <v>69.58821</v>
      </c>
      <c r="C123" t="n">
        <v>64</v>
      </c>
      <c r="D123" t="n">
        <v>64</v>
      </c>
      <c r="E123" t="n">
        <v>64</v>
      </c>
      <c r="F123" t="n">
        <v>64</v>
      </c>
      <c r="G123" t="n">
        <v>64</v>
      </c>
      <c r="H123" t="n">
        <v>64</v>
      </c>
      <c r="I123" t="n">
        <v>64</v>
      </c>
      <c r="J123" t="n">
        <v>64</v>
      </c>
      <c r="K123" t="n">
        <v>64</v>
      </c>
      <c r="L123" t="n">
        <v>64</v>
      </c>
      <c r="M123" t="n">
        <v>64</v>
      </c>
      <c r="N123" t="n">
        <v>64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</row>
    <row r="125">
      <c r="A125" t="inlineStr">
        <is>
          <t>PLTP SALAK #6</t>
        </is>
      </c>
      <c r="B125" t="n">
        <v>69.5633</v>
      </c>
      <c r="C125" t="n">
        <v>62</v>
      </c>
      <c r="D125" t="n">
        <v>62</v>
      </c>
      <c r="E125" t="n">
        <v>62</v>
      </c>
      <c r="F125" t="n">
        <v>62</v>
      </c>
      <c r="G125" t="n">
        <v>62</v>
      </c>
      <c r="H125" t="n">
        <v>62</v>
      </c>
      <c r="I125" t="n">
        <v>62</v>
      </c>
      <c r="J125" t="n">
        <v>62</v>
      </c>
      <c r="K125" t="n">
        <v>62</v>
      </c>
      <c r="L125" t="n">
        <v>62</v>
      </c>
      <c r="M125" t="n">
        <v>62</v>
      </c>
      <c r="N125" t="n">
        <v>62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</row>
    <row r="127">
      <c r="A127" t="inlineStr">
        <is>
          <t>PLTU KDL</t>
        </is>
      </c>
      <c r="B127" t="inlineStr"/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</row>
    <row r="129">
      <c r="A129" t="inlineStr">
        <is>
          <t>PLTU LBE #1</t>
        </is>
      </c>
      <c r="B129" t="n">
        <v>625</v>
      </c>
      <c r="C129" t="n">
        <v>551</v>
      </c>
      <c r="D129" t="n">
        <v>533</v>
      </c>
      <c r="E129" t="n">
        <v>503</v>
      </c>
      <c r="F129" t="n">
        <v>498</v>
      </c>
      <c r="G129" t="n">
        <v>500</v>
      </c>
      <c r="H129" t="n">
        <v>498</v>
      </c>
      <c r="I129" t="n">
        <v>497</v>
      </c>
      <c r="J129" t="n">
        <v>501</v>
      </c>
      <c r="K129" t="n">
        <v>500</v>
      </c>
      <c r="L129" t="n">
        <v>540</v>
      </c>
      <c r="M129" t="n">
        <v>582</v>
      </c>
      <c r="N129" t="n">
        <v>599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</row>
    <row r="131">
      <c r="A131" t="inlineStr">
        <is>
          <t>PLTU JAWA 7 #1</t>
        </is>
      </c>
      <c r="B131" t="n">
        <v>991</v>
      </c>
      <c r="C131" t="n">
        <v>661</v>
      </c>
      <c r="D131" t="n">
        <v>662</v>
      </c>
      <c r="E131" t="n">
        <v>662</v>
      </c>
      <c r="F131" t="n">
        <v>657</v>
      </c>
      <c r="G131" t="n">
        <v>660</v>
      </c>
      <c r="H131" t="n">
        <v>655</v>
      </c>
      <c r="I131" t="n">
        <v>660</v>
      </c>
      <c r="J131" t="n">
        <v>662</v>
      </c>
      <c r="K131" t="n">
        <v>708</v>
      </c>
      <c r="L131" t="n">
        <v>707</v>
      </c>
      <c r="M131" t="n">
        <v>752</v>
      </c>
      <c r="N131" t="n">
        <v>752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</row>
    <row r="133">
      <c r="A133" t="inlineStr">
        <is>
          <t>PLTU JAWA 7 #2</t>
        </is>
      </c>
      <c r="B133" t="n">
        <v>991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</row>
    <row r="135">
      <c r="A135" t="inlineStr">
        <is>
          <t>PLTU JAWA #09</t>
        </is>
      </c>
      <c r="B135" t="n">
        <v>1000</v>
      </c>
      <c r="C135" t="n">
        <v>766</v>
      </c>
      <c r="D135" t="n">
        <v>765</v>
      </c>
      <c r="E135" t="n">
        <v>766</v>
      </c>
      <c r="F135" t="n">
        <v>770</v>
      </c>
      <c r="G135" t="n">
        <v>707</v>
      </c>
      <c r="H135" t="n">
        <v>700</v>
      </c>
      <c r="I135" t="n">
        <v>701</v>
      </c>
      <c r="J135" t="n">
        <v>700</v>
      </c>
      <c r="K135" t="n">
        <v>745</v>
      </c>
      <c r="L135" t="n">
        <v>783</v>
      </c>
      <c r="M135" t="n">
        <v>796</v>
      </c>
      <c r="N135" t="n">
        <v>797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</row>
    <row r="137">
      <c r="A137" t="inlineStr">
        <is>
          <t>PLTU JAWA #10</t>
        </is>
      </c>
      <c r="B137" t="n">
        <v>1000</v>
      </c>
      <c r="C137" t="n">
        <v>765</v>
      </c>
      <c r="D137" t="n">
        <v>764</v>
      </c>
      <c r="E137" t="n">
        <v>766</v>
      </c>
      <c r="F137" t="n">
        <v>765</v>
      </c>
      <c r="G137" t="n">
        <v>701</v>
      </c>
      <c r="H137" t="n">
        <v>699</v>
      </c>
      <c r="I137" t="n">
        <v>699</v>
      </c>
      <c r="J137" t="n">
        <v>700</v>
      </c>
      <c r="K137" t="n">
        <v>744</v>
      </c>
      <c r="L137" t="n">
        <v>797</v>
      </c>
      <c r="M137" t="n">
        <v>793</v>
      </c>
      <c r="N137" t="n">
        <v>793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</row>
    <row r="139">
      <c r="A139" t="inlineStr">
        <is>
          <t>PLTP SALAK BINARY</t>
        </is>
      </c>
      <c r="B139" t="n">
        <v>14.48911</v>
      </c>
      <c r="C139" t="n">
        <v>14</v>
      </c>
      <c r="D139" t="n">
        <v>14</v>
      </c>
      <c r="E139" t="n">
        <v>14</v>
      </c>
      <c r="F139" t="n">
        <v>14</v>
      </c>
      <c r="G139" t="n">
        <v>14</v>
      </c>
      <c r="H139" t="n">
        <v>14</v>
      </c>
      <c r="I139" t="n">
        <v>14</v>
      </c>
      <c r="J139" t="n">
        <v>14</v>
      </c>
      <c r="K139" t="n">
        <v>14</v>
      </c>
      <c r="L139" t="n">
        <v>14</v>
      </c>
      <c r="M139" t="n">
        <v>14</v>
      </c>
      <c r="N139" t="n">
        <v>14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</row>
    <row r="141">
      <c r="A141" t="inlineStr">
        <is>
          <t>RJBR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</row>
    <row r="143">
      <c r="A143" t="inlineStr">
        <is>
          <t>PLTA PLNGN</t>
        </is>
      </c>
      <c r="B143" t="inlineStr"/>
      <c r="C143" t="n">
        <v>2</v>
      </c>
      <c r="D143" t="n">
        <v>2</v>
      </c>
      <c r="E143" t="n">
        <v>2</v>
      </c>
      <c r="F143" t="n">
        <v>2</v>
      </c>
      <c r="G143" t="n">
        <v>2</v>
      </c>
      <c r="H143" t="n">
        <v>2</v>
      </c>
      <c r="I143" t="n">
        <v>2</v>
      </c>
      <c r="J143" t="n">
        <v>2</v>
      </c>
      <c r="K143" t="n">
        <v>2</v>
      </c>
      <c r="L143" t="n">
        <v>2</v>
      </c>
      <c r="M143" t="n">
        <v>2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</row>
    <row r="145">
      <c r="A145" t="inlineStr">
        <is>
          <t>PLTA LMJAN</t>
        </is>
      </c>
      <c r="B145" t="inlineStr"/>
      <c r="C145" t="n">
        <v>5</v>
      </c>
      <c r="D145" t="n">
        <v>5</v>
      </c>
      <c r="E145" t="n">
        <v>5</v>
      </c>
      <c r="F145" t="n">
        <v>5</v>
      </c>
      <c r="G145" t="n">
        <v>5</v>
      </c>
      <c r="H145" t="n">
        <v>5</v>
      </c>
      <c r="I145" t="n">
        <v>5</v>
      </c>
      <c r="J145" t="n">
        <v>5</v>
      </c>
      <c r="K145" t="n">
        <v>5</v>
      </c>
      <c r="L145" t="n">
        <v>5</v>
      </c>
      <c r="M145" t="n">
        <v>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</row>
    <row r="147">
      <c r="A147" t="inlineStr">
        <is>
          <t>PLTA CKLNG</t>
        </is>
      </c>
      <c r="B147" t="inlineStr"/>
      <c r="C147" t="n">
        <v>3</v>
      </c>
      <c r="D147" t="n">
        <v>3</v>
      </c>
      <c r="E147" t="n">
        <v>3</v>
      </c>
      <c r="F147" t="n">
        <v>3</v>
      </c>
      <c r="G147" t="n">
        <v>3</v>
      </c>
      <c r="H147" t="n">
        <v>3</v>
      </c>
      <c r="I147" t="n">
        <v>3</v>
      </c>
      <c r="J147" t="n">
        <v>3</v>
      </c>
      <c r="K147" t="n">
        <v>3</v>
      </c>
      <c r="L147" t="n">
        <v>3</v>
      </c>
      <c r="M147" t="n">
        <v>3</v>
      </c>
      <c r="N147" t="n">
        <v>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</row>
    <row r="149">
      <c r="A149" t="inlineStr">
        <is>
          <t>PLTA BNKOK</t>
        </is>
      </c>
      <c r="B149" t="inlineStr"/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</row>
    <row r="151">
      <c r="A151" t="inlineStr">
        <is>
          <t>PLTA PRKAN</t>
        </is>
      </c>
      <c r="B151" t="inlineStr"/>
      <c r="C151" t="n">
        <v>6</v>
      </c>
      <c r="D151" t="n">
        <v>6</v>
      </c>
      <c r="E151" t="n">
        <v>6</v>
      </c>
      <c r="F151" t="n">
        <v>6</v>
      </c>
      <c r="G151" t="n">
        <v>6</v>
      </c>
      <c r="H151" t="n">
        <v>6</v>
      </c>
      <c r="I151" t="n">
        <v>6</v>
      </c>
      <c r="J151" t="n">
        <v>6</v>
      </c>
      <c r="K151" t="n">
        <v>6</v>
      </c>
      <c r="L151" t="n">
        <v>6</v>
      </c>
      <c r="M151" t="n">
        <v>6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</row>
    <row r="153">
      <c r="A153" t="inlineStr">
        <is>
          <t>PLTA SGLNG #1</t>
        </is>
      </c>
      <c r="B153" t="n">
        <v>174.6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</row>
    <row r="155">
      <c r="A155" t="inlineStr">
        <is>
          <t>PLTA SGLNG #2</t>
        </is>
      </c>
      <c r="B155" t="n">
        <v>174.6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</row>
    <row r="157">
      <c r="A157" t="inlineStr">
        <is>
          <t>PLTA SGLNG #3</t>
        </is>
      </c>
      <c r="B157" t="n">
        <v>174.6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</row>
    <row r="159">
      <c r="A159" t="inlineStr">
        <is>
          <t>PLTA SGLNG #4</t>
        </is>
      </c>
      <c r="B159" t="n">
        <v>174.6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</row>
    <row r="161">
      <c r="A161" t="inlineStr">
        <is>
          <t>PLTP KMJNG #1</t>
        </is>
      </c>
      <c r="B161" t="n">
        <v>30</v>
      </c>
      <c r="C161" t="n">
        <v>30</v>
      </c>
      <c r="D161" t="n">
        <v>30</v>
      </c>
      <c r="E161" t="n">
        <v>30</v>
      </c>
      <c r="F161" t="n">
        <v>30</v>
      </c>
      <c r="G161" t="n">
        <v>30</v>
      </c>
      <c r="H161" t="n">
        <v>30</v>
      </c>
      <c r="I161" t="n">
        <v>30</v>
      </c>
      <c r="J161" t="n">
        <v>30</v>
      </c>
      <c r="K161" t="n">
        <v>30</v>
      </c>
      <c r="L161" t="n">
        <v>30</v>
      </c>
      <c r="M161" t="n">
        <v>30</v>
      </c>
      <c r="N161" t="n">
        <v>30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</row>
    <row r="163">
      <c r="A163" t="inlineStr">
        <is>
          <t>PLTP KMJNG #2</t>
        </is>
      </c>
      <c r="B163" t="n">
        <v>52.3</v>
      </c>
      <c r="C163" t="n">
        <v>52</v>
      </c>
      <c r="D163" t="n">
        <v>52</v>
      </c>
      <c r="E163" t="n">
        <v>52</v>
      </c>
      <c r="F163" t="n">
        <v>52</v>
      </c>
      <c r="G163" t="n">
        <v>52</v>
      </c>
      <c r="H163" t="n">
        <v>52</v>
      </c>
      <c r="I163" t="n">
        <v>53</v>
      </c>
      <c r="J163" t="n">
        <v>52</v>
      </c>
      <c r="K163" t="n">
        <v>52</v>
      </c>
      <c r="L163" t="n">
        <v>52</v>
      </c>
      <c r="M163" t="n">
        <v>52</v>
      </c>
      <c r="N163" t="n">
        <v>52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</row>
    <row r="165">
      <c r="A165" t="inlineStr">
        <is>
          <t>PLTP KMJNG #3</t>
        </is>
      </c>
      <c r="B165" t="n">
        <v>52.3</v>
      </c>
      <c r="C165" t="n">
        <v>53</v>
      </c>
      <c r="D165" t="n">
        <v>53</v>
      </c>
      <c r="E165" t="n">
        <v>53</v>
      </c>
      <c r="F165" t="n">
        <v>53</v>
      </c>
      <c r="G165" t="n">
        <v>53</v>
      </c>
      <c r="H165" t="n">
        <v>53</v>
      </c>
      <c r="I165" t="n">
        <v>53</v>
      </c>
      <c r="J165" t="n">
        <v>53</v>
      </c>
      <c r="K165" t="n">
        <v>53</v>
      </c>
      <c r="L165" t="n">
        <v>53</v>
      </c>
      <c r="M165" t="n">
        <v>53</v>
      </c>
      <c r="N165" t="n">
        <v>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</row>
    <row r="167">
      <c r="A167" t="inlineStr">
        <is>
          <t>PLTP DRJAT #1</t>
        </is>
      </c>
      <c r="B167" t="n">
        <v>52</v>
      </c>
      <c r="C167" t="n">
        <v>47</v>
      </c>
      <c r="D167" t="n">
        <v>46</v>
      </c>
      <c r="E167" t="n">
        <v>46</v>
      </c>
      <c r="F167" t="n">
        <v>46</v>
      </c>
      <c r="G167" t="n">
        <v>46</v>
      </c>
      <c r="H167" t="n">
        <v>46</v>
      </c>
      <c r="I167" t="n">
        <v>46</v>
      </c>
      <c r="J167" t="n">
        <v>46</v>
      </c>
      <c r="K167" t="n">
        <v>46</v>
      </c>
      <c r="L167" t="n">
        <v>46</v>
      </c>
      <c r="M167" t="n">
        <v>45</v>
      </c>
      <c r="N167" t="n">
        <v>45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</row>
    <row r="169">
      <c r="A169" t="inlineStr">
        <is>
          <t>PLTA JATIGEDE #1</t>
        </is>
      </c>
      <c r="B169" t="n">
        <v>55</v>
      </c>
      <c r="C169" t="n">
        <v>42</v>
      </c>
      <c r="D169" t="n">
        <v>42</v>
      </c>
      <c r="E169" t="n">
        <v>42</v>
      </c>
      <c r="F169" t="n">
        <v>42</v>
      </c>
      <c r="G169" t="n">
        <v>42</v>
      </c>
      <c r="H169" t="n">
        <v>42</v>
      </c>
      <c r="I169" t="n">
        <v>42</v>
      </c>
      <c r="J169" t="n">
        <v>42</v>
      </c>
      <c r="K169" t="n">
        <v>42</v>
      </c>
      <c r="L169" t="n">
        <v>42</v>
      </c>
      <c r="M169" t="n">
        <v>42</v>
      </c>
      <c r="N169" t="n">
        <v>42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</row>
    <row r="171">
      <c r="A171" t="inlineStr">
        <is>
          <t>PLTA JATIGEDE #2</t>
        </is>
      </c>
      <c r="B171" t="n">
        <v>55</v>
      </c>
      <c r="C171" t="n">
        <v>42</v>
      </c>
      <c r="D171" t="n">
        <v>42</v>
      </c>
      <c r="E171" t="n">
        <v>42</v>
      </c>
      <c r="F171" t="n">
        <v>42</v>
      </c>
      <c r="G171" t="n">
        <v>42</v>
      </c>
      <c r="H171" t="n">
        <v>42</v>
      </c>
      <c r="I171" t="n">
        <v>42</v>
      </c>
      <c r="J171" t="n">
        <v>42</v>
      </c>
      <c r="K171" t="n">
        <v>42</v>
      </c>
      <c r="L171" t="n">
        <v>42</v>
      </c>
      <c r="M171" t="n">
        <v>42</v>
      </c>
      <c r="N171" t="n">
        <v>42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</row>
    <row r="173">
      <c r="A173" t="inlineStr">
        <is>
          <t>PLTGU MTWAR #1 .0</t>
        </is>
      </c>
      <c r="B173" t="n">
        <v>204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</row>
    <row r="175">
      <c r="A175" t="inlineStr">
        <is>
          <t>PLTGU MTWAR #1 .1</t>
        </is>
      </c>
      <c r="B175" t="n">
        <v>137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</row>
    <row r="177">
      <c r="A177" t="inlineStr">
        <is>
          <t>PLTGU MTWAR #1 .2</t>
        </is>
      </c>
      <c r="B177" t="n">
        <v>137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</row>
    <row r="179">
      <c r="A179" t="inlineStr">
        <is>
          <t>PLTGU MTWAR #1 .3</t>
        </is>
      </c>
      <c r="B179" t="n">
        <v>137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</row>
    <row r="181">
      <c r="A181" t="inlineStr">
        <is>
          <t>PLTGU MTWAR #2 .0</t>
        </is>
      </c>
      <c r="B181" t="n">
        <v>144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</row>
    <row r="183">
      <c r="A183" t="inlineStr">
        <is>
          <t>PLTGU MTWAR #2 .1</t>
        </is>
      </c>
      <c r="B183" t="n">
        <v>137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</row>
    <row r="185">
      <c r="A185" t="inlineStr">
        <is>
          <t>PLTGU MTWAR #2 .2</t>
        </is>
      </c>
      <c r="B185" t="n">
        <v>137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</row>
    <row r="187">
      <c r="A187" t="inlineStr">
        <is>
          <t>PLTA CRATA #1</t>
        </is>
      </c>
      <c r="B187" t="n">
        <v>123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</row>
    <row r="189">
      <c r="A189" t="inlineStr">
        <is>
          <t>PLTA CRATA #2</t>
        </is>
      </c>
      <c r="B189" t="n">
        <v>123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</row>
    <row r="191">
      <c r="A191" t="inlineStr">
        <is>
          <t>PLTA CRATA #3</t>
        </is>
      </c>
      <c r="B191" t="n">
        <v>123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</row>
    <row r="193">
      <c r="A193" t="inlineStr">
        <is>
          <t>PLTA CRATA #4</t>
        </is>
      </c>
      <c r="B193" t="n">
        <v>123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</row>
    <row r="195">
      <c r="A195" t="inlineStr">
        <is>
          <t>PLTA CRATA #5</t>
        </is>
      </c>
      <c r="B195" t="n">
        <v>123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</row>
    <row r="197">
      <c r="A197" t="inlineStr">
        <is>
          <t>PLTA CRATA #6</t>
        </is>
      </c>
      <c r="B197" t="n">
        <v>123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</row>
    <row r="199">
      <c r="A199" t="inlineStr">
        <is>
          <t>PLTA CRATA #7</t>
        </is>
      </c>
      <c r="B199" t="n">
        <v>123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</row>
    <row r="201">
      <c r="A201" t="inlineStr">
        <is>
          <t>PLTA CRATA #8</t>
        </is>
      </c>
      <c r="B201" t="n">
        <v>123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</row>
    <row r="203">
      <c r="A203" t="inlineStr">
        <is>
          <t>PLTGU MRTWR #3 .0</t>
        </is>
      </c>
      <c r="B203" t="n">
        <v>239.55</v>
      </c>
      <c r="C203" t="n">
        <v>49</v>
      </c>
      <c r="D203" t="n">
        <v>49</v>
      </c>
      <c r="E203" t="n">
        <v>49</v>
      </c>
      <c r="F203" t="n">
        <v>49</v>
      </c>
      <c r="G203" t="n">
        <v>48</v>
      </c>
      <c r="H203" t="n">
        <v>49</v>
      </c>
      <c r="I203" t="n">
        <v>50</v>
      </c>
      <c r="J203" t="n">
        <v>49</v>
      </c>
      <c r="K203" t="n">
        <v>49</v>
      </c>
      <c r="L203" t="n">
        <v>49</v>
      </c>
      <c r="M203" t="n">
        <v>49</v>
      </c>
      <c r="N203" t="n">
        <v>49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</row>
    <row r="205">
      <c r="A205" t="inlineStr">
        <is>
          <t>PLTGU MRTWR #3 .1</t>
        </is>
      </c>
      <c r="B205" t="n">
        <v>140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</row>
    <row r="207">
      <c r="A207" t="inlineStr">
        <is>
          <t>PLTGU MRTWR #3 .2</t>
        </is>
      </c>
      <c r="B207" t="n">
        <v>140</v>
      </c>
      <c r="C207" t="n">
        <v>100</v>
      </c>
      <c r="D207" t="n">
        <v>100</v>
      </c>
      <c r="E207" t="n">
        <v>100</v>
      </c>
      <c r="F207" t="n">
        <v>100</v>
      </c>
      <c r="G207" t="n">
        <v>100</v>
      </c>
      <c r="H207" t="n">
        <v>100</v>
      </c>
      <c r="I207" t="n">
        <v>100</v>
      </c>
      <c r="J207" t="n">
        <v>101</v>
      </c>
      <c r="K207" t="n">
        <v>100</v>
      </c>
      <c r="L207" t="n">
        <v>100</v>
      </c>
      <c r="M207" t="n">
        <v>100</v>
      </c>
      <c r="N207" t="n">
        <v>101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</row>
    <row r="209">
      <c r="A209" t="inlineStr">
        <is>
          <t>PLTGU MRTWR #3 .3</t>
        </is>
      </c>
      <c r="B209" t="n">
        <v>140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</row>
    <row r="211">
      <c r="A211" t="inlineStr">
        <is>
          <t>PLTGU MRTWR #4 .0</t>
        </is>
      </c>
      <c r="B211" t="n">
        <v>232.79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</row>
    <row r="213">
      <c r="A213" t="inlineStr">
        <is>
          <t>PLTGU MRTWR #4 .1</t>
        </is>
      </c>
      <c r="B213" t="n">
        <v>140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</row>
    <row r="215">
      <c r="A215" t="inlineStr">
        <is>
          <t>PLTGU MRTWR #4 .2</t>
        </is>
      </c>
      <c r="B215" t="n">
        <v>140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</row>
    <row r="217">
      <c r="A217" t="inlineStr">
        <is>
          <t>PLTGU MRTWR #4 .3</t>
        </is>
      </c>
      <c r="B217" t="n">
        <v>140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</row>
    <row r="219">
      <c r="A219" t="inlineStr">
        <is>
          <t>PLTGU MTWAR #5 .0</t>
        </is>
      </c>
      <c r="B219" t="n">
        <v>71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</row>
    <row r="221">
      <c r="A221" t="inlineStr">
        <is>
          <t>PLTGU MTWAR #5 .1</t>
        </is>
      </c>
      <c r="B221" t="n">
        <v>143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</row>
    <row r="223">
      <c r="A223" t="inlineStr">
        <is>
          <t>PLTU INDRAMAYU #1</t>
        </is>
      </c>
      <c r="B223" t="n">
        <v>290</v>
      </c>
      <c r="C223" t="n">
        <v>182</v>
      </c>
      <c r="D223" t="n">
        <v>183</v>
      </c>
      <c r="E223" t="n">
        <v>182</v>
      </c>
      <c r="F223" t="n">
        <v>184</v>
      </c>
      <c r="G223" t="n">
        <v>182</v>
      </c>
      <c r="H223" t="n">
        <v>182</v>
      </c>
      <c r="I223" t="n">
        <v>183</v>
      </c>
      <c r="J223" t="n">
        <v>184</v>
      </c>
      <c r="K223" t="n">
        <v>183</v>
      </c>
      <c r="L223" t="n">
        <v>194</v>
      </c>
      <c r="M223" t="n">
        <v>194</v>
      </c>
      <c r="N223" t="n">
        <v>196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</row>
    <row r="225">
      <c r="A225" t="inlineStr">
        <is>
          <t>PLTU INDRAMAYU #2</t>
        </is>
      </c>
      <c r="B225" t="n">
        <v>290</v>
      </c>
      <c r="C225" t="n">
        <v>181</v>
      </c>
      <c r="D225" t="n">
        <v>179</v>
      </c>
      <c r="E225" t="n">
        <v>179</v>
      </c>
      <c r="F225" t="n">
        <v>177</v>
      </c>
      <c r="G225" t="n">
        <v>181</v>
      </c>
      <c r="H225" t="n">
        <v>180</v>
      </c>
      <c r="I225" t="n">
        <v>178</v>
      </c>
      <c r="J225" t="n">
        <v>179</v>
      </c>
      <c r="K225" t="n">
        <v>179</v>
      </c>
      <c r="L225" t="n">
        <v>192</v>
      </c>
      <c r="M225" t="n">
        <v>183</v>
      </c>
      <c r="N225" t="n">
        <v>188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</row>
    <row r="227">
      <c r="A227" t="inlineStr">
        <is>
          <t>PLTU INDRAMAYU #3</t>
        </is>
      </c>
      <c r="B227" t="n">
        <v>290</v>
      </c>
      <c r="C227" t="n">
        <v>187</v>
      </c>
      <c r="D227" t="n">
        <v>196</v>
      </c>
      <c r="E227" t="n">
        <v>197</v>
      </c>
      <c r="F227" t="n">
        <v>199</v>
      </c>
      <c r="G227" t="n">
        <v>197</v>
      </c>
      <c r="H227" t="n">
        <v>193</v>
      </c>
      <c r="I227" t="n">
        <v>195</v>
      </c>
      <c r="J227" t="n">
        <v>197</v>
      </c>
      <c r="K227" t="n">
        <v>197</v>
      </c>
      <c r="L227" t="n">
        <v>197</v>
      </c>
      <c r="M227" t="n">
        <v>199</v>
      </c>
      <c r="N227" t="n">
        <v>189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</row>
    <row r="229">
      <c r="A229" t="inlineStr">
        <is>
          <t>PLTA JTLHR #1</t>
        </is>
      </c>
      <c r="B229" t="n">
        <v>30</v>
      </c>
      <c r="C229" t="n">
        <v>23</v>
      </c>
      <c r="D229" t="n">
        <v>23</v>
      </c>
      <c r="E229" t="n">
        <v>23</v>
      </c>
      <c r="F229" t="n">
        <v>23</v>
      </c>
      <c r="G229" t="n">
        <v>23</v>
      </c>
      <c r="H229" t="n">
        <v>23</v>
      </c>
      <c r="I229" t="n">
        <v>23</v>
      </c>
      <c r="J229" t="n">
        <v>23</v>
      </c>
      <c r="K229" t="n">
        <v>23</v>
      </c>
      <c r="L229" t="n">
        <v>23</v>
      </c>
      <c r="M229" t="n">
        <v>23</v>
      </c>
      <c r="N229" t="n">
        <v>23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</row>
    <row r="231">
      <c r="A231" t="inlineStr">
        <is>
          <t>PLTA JTLHR #2</t>
        </is>
      </c>
      <c r="B231" t="n">
        <v>30</v>
      </c>
      <c r="C231" t="n">
        <v>23</v>
      </c>
      <c r="D231" t="n">
        <v>23</v>
      </c>
      <c r="E231" t="n">
        <v>23</v>
      </c>
      <c r="F231" t="n">
        <v>23</v>
      </c>
      <c r="G231" t="n">
        <v>23</v>
      </c>
      <c r="H231" t="n">
        <v>23</v>
      </c>
      <c r="I231" t="n">
        <v>23</v>
      </c>
      <c r="J231" t="n">
        <v>23</v>
      </c>
      <c r="K231" t="n">
        <v>23</v>
      </c>
      <c r="L231" t="n">
        <v>23</v>
      </c>
      <c r="M231" t="n">
        <v>23</v>
      </c>
      <c r="N231" t="n">
        <v>23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</row>
    <row r="233">
      <c r="A233" t="inlineStr">
        <is>
          <t>PLTA JTLHR #3</t>
        </is>
      </c>
      <c r="B233" t="n">
        <v>30</v>
      </c>
      <c r="C233" t="n">
        <v>23</v>
      </c>
      <c r="D233" t="n">
        <v>23</v>
      </c>
      <c r="E233" t="n">
        <v>23</v>
      </c>
      <c r="F233" t="n">
        <v>23</v>
      </c>
      <c r="G233" t="n">
        <v>23</v>
      </c>
      <c r="H233" t="n">
        <v>23</v>
      </c>
      <c r="I233" t="n">
        <v>23</v>
      </c>
      <c r="J233" t="n">
        <v>23</v>
      </c>
      <c r="K233" t="n">
        <v>23</v>
      </c>
      <c r="L233" t="n">
        <v>23</v>
      </c>
      <c r="M233" t="n">
        <v>23</v>
      </c>
      <c r="N233" t="n">
        <v>23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</row>
    <row r="235">
      <c r="A235" t="inlineStr">
        <is>
          <t>PLTA JTLHR #4</t>
        </is>
      </c>
      <c r="B235" t="n">
        <v>30</v>
      </c>
      <c r="C235" t="n">
        <v>27</v>
      </c>
      <c r="D235" t="n">
        <v>27</v>
      </c>
      <c r="E235" t="n">
        <v>27</v>
      </c>
      <c r="F235" t="n">
        <v>27</v>
      </c>
      <c r="G235" t="n">
        <v>27</v>
      </c>
      <c r="H235" t="n">
        <v>27</v>
      </c>
      <c r="I235" t="n">
        <v>27</v>
      </c>
      <c r="J235" t="n">
        <v>27</v>
      </c>
      <c r="K235" t="n">
        <v>27</v>
      </c>
      <c r="L235" t="n">
        <v>27</v>
      </c>
      <c r="M235" t="n">
        <v>27</v>
      </c>
      <c r="N235" t="n">
        <v>27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</row>
    <row r="237">
      <c r="A237" t="inlineStr">
        <is>
          <t>PLTA JTLHR #5</t>
        </is>
      </c>
      <c r="B237" t="n">
        <v>30</v>
      </c>
      <c r="C237" t="n">
        <v>27</v>
      </c>
      <c r="D237" t="n">
        <v>27</v>
      </c>
      <c r="E237" t="n">
        <v>27</v>
      </c>
      <c r="F237" t="n">
        <v>27</v>
      </c>
      <c r="G237" t="n">
        <v>27</v>
      </c>
      <c r="H237" t="n">
        <v>27</v>
      </c>
      <c r="I237" t="n">
        <v>27</v>
      </c>
      <c r="J237" t="n">
        <v>27</v>
      </c>
      <c r="K237" t="n">
        <v>27</v>
      </c>
      <c r="L237" t="n">
        <v>27</v>
      </c>
      <c r="M237" t="n">
        <v>27</v>
      </c>
      <c r="N237" t="n">
        <v>27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</row>
    <row r="239">
      <c r="A239" t="inlineStr">
        <is>
          <t>PLTA JTLHR #6</t>
        </is>
      </c>
      <c r="B239" t="n">
        <v>30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</row>
    <row r="241">
      <c r="A241" t="inlineStr">
        <is>
          <t>PLTP DRJAT #2</t>
        </is>
      </c>
      <c r="B241" t="n">
        <v>91.7287</v>
      </c>
      <c r="C241" t="n">
        <v>88</v>
      </c>
      <c r="D241" t="n">
        <v>88</v>
      </c>
      <c r="E241" t="n">
        <v>88</v>
      </c>
      <c r="F241" t="n">
        <v>88</v>
      </c>
      <c r="G241" t="n">
        <v>88</v>
      </c>
      <c r="H241" t="n">
        <v>88</v>
      </c>
      <c r="I241" t="n">
        <v>88</v>
      </c>
      <c r="J241" t="n">
        <v>88</v>
      </c>
      <c r="K241" t="n">
        <v>88</v>
      </c>
      <c r="L241" t="n">
        <v>88</v>
      </c>
      <c r="M241" t="n">
        <v>88</v>
      </c>
      <c r="N241" t="n">
        <v>88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</row>
    <row r="243">
      <c r="A243" t="inlineStr">
        <is>
          <t>PLTP DRJAT #3</t>
        </is>
      </c>
      <c r="B243" t="n">
        <v>126.78023</v>
      </c>
      <c r="C243" t="n">
        <v>121</v>
      </c>
      <c r="D243" t="n">
        <v>121</v>
      </c>
      <c r="E243" t="n">
        <v>122</v>
      </c>
      <c r="F243" t="n">
        <v>121</v>
      </c>
      <c r="G243" t="n">
        <v>122</v>
      </c>
      <c r="H243" t="n">
        <v>122</v>
      </c>
      <c r="I243" t="n">
        <v>122</v>
      </c>
      <c r="J243" t="n">
        <v>121</v>
      </c>
      <c r="K243" t="n">
        <v>121</v>
      </c>
      <c r="L243" t="n">
        <v>122</v>
      </c>
      <c r="M243" t="n">
        <v>122</v>
      </c>
      <c r="N243" t="n">
        <v>121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</row>
    <row r="245">
      <c r="A245" t="inlineStr">
        <is>
          <t>PLTP WYNDU #1</t>
        </is>
      </c>
      <c r="B245" t="n">
        <v>123.36635</v>
      </c>
      <c r="C245" t="n">
        <v>115</v>
      </c>
      <c r="D245" t="n">
        <v>115</v>
      </c>
      <c r="E245" t="n">
        <v>116</v>
      </c>
      <c r="F245" t="n">
        <v>115</v>
      </c>
      <c r="G245" t="n">
        <v>115</v>
      </c>
      <c r="H245" t="n">
        <v>115</v>
      </c>
      <c r="I245" t="n">
        <v>115</v>
      </c>
      <c r="J245" t="n">
        <v>115</v>
      </c>
      <c r="K245" t="n">
        <v>115</v>
      </c>
      <c r="L245" t="n">
        <v>115</v>
      </c>
      <c r="M245" t="n">
        <v>115</v>
      </c>
      <c r="N245" t="n">
        <v>114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</row>
    <row r="247">
      <c r="A247" t="inlineStr">
        <is>
          <t>PLTP WYNDU #2</t>
        </is>
      </c>
      <c r="B247" t="n">
        <v>122.32919</v>
      </c>
      <c r="C247" t="n">
        <v>117</v>
      </c>
      <c r="D247" t="n">
        <v>117</v>
      </c>
      <c r="E247" t="n">
        <v>116</v>
      </c>
      <c r="F247" t="n">
        <v>116</v>
      </c>
      <c r="G247" t="n">
        <v>116</v>
      </c>
      <c r="H247" t="n">
        <v>116</v>
      </c>
      <c r="I247" t="n">
        <v>117</v>
      </c>
      <c r="J247" t="n">
        <v>117</v>
      </c>
      <c r="K247" t="n">
        <v>116</v>
      </c>
      <c r="L247" t="n">
        <v>116</v>
      </c>
      <c r="M247" t="n">
        <v>117</v>
      </c>
      <c r="N247" t="n">
        <v>116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</row>
    <row r="249">
      <c r="A249" t="inlineStr">
        <is>
          <t>PLTGU CIKARANG</t>
        </is>
      </c>
      <c r="B249" t="n">
        <v>150</v>
      </c>
      <c r="C249" t="n">
        <v>28</v>
      </c>
      <c r="D249" t="n">
        <v>30</v>
      </c>
      <c r="E249" t="n">
        <v>31</v>
      </c>
      <c r="F249" t="n">
        <v>33</v>
      </c>
      <c r="G249" t="n">
        <v>35</v>
      </c>
      <c r="H249" t="n">
        <v>34</v>
      </c>
      <c r="I249" t="n">
        <v>33</v>
      </c>
      <c r="J249" t="n">
        <v>35</v>
      </c>
      <c r="K249" t="n">
        <v>45</v>
      </c>
      <c r="L249" t="n">
        <v>65</v>
      </c>
      <c r="M249" t="n">
        <v>40</v>
      </c>
      <c r="N249" t="n">
        <v>34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</row>
    <row r="251">
      <c r="A251" t="inlineStr">
        <is>
          <t>PLTP KMJNG #4</t>
        </is>
      </c>
      <c r="B251" t="n">
        <v>61.2732</v>
      </c>
      <c r="C251" t="n">
        <v>57</v>
      </c>
      <c r="D251" t="n">
        <v>57</v>
      </c>
      <c r="E251" t="n">
        <v>57</v>
      </c>
      <c r="F251" t="n">
        <v>57</v>
      </c>
      <c r="G251" t="n">
        <v>57</v>
      </c>
      <c r="H251" t="n">
        <v>57</v>
      </c>
      <c r="I251" t="n">
        <v>57</v>
      </c>
      <c r="J251" t="n">
        <v>57</v>
      </c>
      <c r="K251" t="n">
        <v>57</v>
      </c>
      <c r="L251" t="n">
        <v>57</v>
      </c>
      <c r="M251" t="n">
        <v>57</v>
      </c>
      <c r="N251" t="n">
        <v>57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</row>
    <row r="253">
      <c r="A253" t="inlineStr">
        <is>
          <t>PLTP KMJNG #5</t>
        </is>
      </c>
      <c r="B253" t="n">
        <v>33</v>
      </c>
      <c r="C253" t="n">
        <v>31</v>
      </c>
      <c r="D253" t="n">
        <v>31</v>
      </c>
      <c r="E253" t="n">
        <v>31</v>
      </c>
      <c r="F253" t="n">
        <v>31</v>
      </c>
      <c r="G253" t="n">
        <v>31</v>
      </c>
      <c r="H253" t="n">
        <v>31</v>
      </c>
      <c r="I253" t="n">
        <v>31</v>
      </c>
      <c r="J253" t="n">
        <v>31</v>
      </c>
      <c r="K253" t="n">
        <v>31</v>
      </c>
      <c r="L253" t="n">
        <v>31</v>
      </c>
      <c r="M253" t="n">
        <v>31</v>
      </c>
      <c r="N253" t="n">
        <v>31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</row>
    <row r="255">
      <c r="A255" t="inlineStr">
        <is>
          <t>PLTU IPP CIREBON #1</t>
        </is>
      </c>
      <c r="B255" t="n">
        <v>660</v>
      </c>
      <c r="C255" t="n">
        <v>450</v>
      </c>
      <c r="D255" t="n">
        <v>450</v>
      </c>
      <c r="E255" t="n">
        <v>451</v>
      </c>
      <c r="F255" t="n">
        <v>451</v>
      </c>
      <c r="G255" t="n">
        <v>451</v>
      </c>
      <c r="H255" t="n">
        <v>451</v>
      </c>
      <c r="I255" t="n">
        <v>449</v>
      </c>
      <c r="J255" t="n">
        <v>451</v>
      </c>
      <c r="K255" t="n">
        <v>451</v>
      </c>
      <c r="L255" t="n">
        <v>500</v>
      </c>
      <c r="M255" t="n">
        <v>496</v>
      </c>
      <c r="N255" t="n">
        <v>497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</row>
    <row r="257">
      <c r="A257" t="inlineStr">
        <is>
          <t>PLTGU BEKASI POWER #1 .0</t>
        </is>
      </c>
      <c r="B257" t="n">
        <v>47</v>
      </c>
      <c r="C257" t="n">
        <v>21</v>
      </c>
      <c r="D257" t="n">
        <v>19</v>
      </c>
      <c r="E257" t="n">
        <v>19</v>
      </c>
      <c r="F257" t="n">
        <v>19</v>
      </c>
      <c r="G257" t="n">
        <v>19</v>
      </c>
      <c r="H257" t="n">
        <v>19</v>
      </c>
      <c r="I257" t="n">
        <v>19</v>
      </c>
      <c r="J257" t="n">
        <v>19</v>
      </c>
      <c r="K257" t="n">
        <v>19</v>
      </c>
      <c r="L257" t="n">
        <v>19</v>
      </c>
      <c r="M257" t="n">
        <v>19</v>
      </c>
      <c r="N257" t="n">
        <v>18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</row>
    <row r="259">
      <c r="A259" t="inlineStr">
        <is>
          <t>PLTGU BEKASI POWER #1 .1</t>
        </is>
      </c>
      <c r="B259" t="n">
        <v>35.5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</row>
    <row r="261">
      <c r="A261" t="inlineStr">
        <is>
          <t>PLTGU BEKASI POWER #1 .2</t>
        </is>
      </c>
      <c r="B261" t="n">
        <v>36.3</v>
      </c>
      <c r="C261" t="n">
        <v>29</v>
      </c>
      <c r="D261" t="n">
        <v>31</v>
      </c>
      <c r="E261" t="n">
        <v>31</v>
      </c>
      <c r="F261" t="n">
        <v>31</v>
      </c>
      <c r="G261" t="n">
        <v>31</v>
      </c>
      <c r="H261" t="n">
        <v>31</v>
      </c>
      <c r="I261" t="n">
        <v>31</v>
      </c>
      <c r="J261" t="n">
        <v>31</v>
      </c>
      <c r="K261" t="n">
        <v>31</v>
      </c>
      <c r="L261" t="n">
        <v>31</v>
      </c>
      <c r="M261" t="n">
        <v>31</v>
      </c>
      <c r="N261" t="n">
        <v>32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</row>
    <row r="263">
      <c r="A263" t="inlineStr">
        <is>
          <t>PLTP PATUHA #1</t>
        </is>
      </c>
      <c r="B263" t="n">
        <v>59.57282</v>
      </c>
      <c r="C263" t="n">
        <v>57</v>
      </c>
      <c r="D263" t="n">
        <v>58</v>
      </c>
      <c r="E263" t="n">
        <v>58</v>
      </c>
      <c r="F263" t="n">
        <v>58</v>
      </c>
      <c r="G263" t="n">
        <v>58</v>
      </c>
      <c r="H263" t="n">
        <v>58</v>
      </c>
      <c r="I263" t="n">
        <v>58</v>
      </c>
      <c r="J263" t="n">
        <v>58</v>
      </c>
      <c r="K263" t="n">
        <v>58</v>
      </c>
      <c r="L263" t="n">
        <v>58</v>
      </c>
      <c r="M263" t="n">
        <v>58</v>
      </c>
      <c r="N263" t="n">
        <v>58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</row>
    <row r="265">
      <c r="A265" t="inlineStr">
        <is>
          <t>PLTP KARAHA #1</t>
        </is>
      </c>
      <c r="B265" t="n">
        <v>18.5378</v>
      </c>
      <c r="C265" t="n">
        <v>17</v>
      </c>
      <c r="D265" t="n">
        <v>17</v>
      </c>
      <c r="E265" t="n">
        <v>17</v>
      </c>
      <c r="F265" t="n">
        <v>17</v>
      </c>
      <c r="G265" t="n">
        <v>17</v>
      </c>
      <c r="H265" t="n">
        <v>17</v>
      </c>
      <c r="I265" t="n">
        <v>17</v>
      </c>
      <c r="J265" t="n">
        <v>17</v>
      </c>
      <c r="K265" t="n">
        <v>17</v>
      </c>
      <c r="L265" t="n">
        <v>17</v>
      </c>
      <c r="M265" t="n">
        <v>17</v>
      </c>
      <c r="N265" t="n">
        <v>17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</row>
    <row r="267">
      <c r="A267" t="inlineStr">
        <is>
          <t>PLTA RAJAMANDALA #1</t>
        </is>
      </c>
      <c r="B267" t="n">
        <v>46.6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</row>
    <row r="269">
      <c r="A269" t="inlineStr">
        <is>
          <t>PLTGU JAWA 1 CILAMAYA #1</t>
        </is>
      </c>
      <c r="B269" t="n">
        <v>880</v>
      </c>
      <c r="C269" t="n">
        <v>576</v>
      </c>
      <c r="D269" t="n">
        <v>586</v>
      </c>
      <c r="E269" t="n">
        <v>589</v>
      </c>
      <c r="F269" t="n">
        <v>507</v>
      </c>
      <c r="G269" t="n">
        <v>487</v>
      </c>
      <c r="H269" t="n">
        <v>539</v>
      </c>
      <c r="I269" t="n">
        <v>551</v>
      </c>
      <c r="J269" t="n">
        <v>535</v>
      </c>
      <c r="K269" t="n">
        <v>599</v>
      </c>
      <c r="L269" t="n">
        <v>524</v>
      </c>
      <c r="M269" t="n">
        <v>547</v>
      </c>
      <c r="N269" t="n">
        <v>538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</row>
    <row r="271">
      <c r="A271" t="inlineStr">
        <is>
          <t>PLTGU JAWA 1 CILAMAYA #2</t>
        </is>
      </c>
      <c r="B271" t="n">
        <v>880</v>
      </c>
      <c r="C271" t="n">
        <v>605</v>
      </c>
      <c r="D271" t="n">
        <v>577</v>
      </c>
      <c r="E271" t="n">
        <v>589</v>
      </c>
      <c r="F271" t="n">
        <v>525</v>
      </c>
      <c r="G271" t="n">
        <v>505</v>
      </c>
      <c r="H271" t="n">
        <v>506</v>
      </c>
      <c r="I271" t="n">
        <v>480</v>
      </c>
      <c r="J271" t="n">
        <v>564</v>
      </c>
      <c r="K271" t="n">
        <v>579</v>
      </c>
      <c r="L271" t="n">
        <v>538</v>
      </c>
      <c r="M271" t="n">
        <v>548</v>
      </c>
      <c r="N271" t="n">
        <v>495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</row>
    <row r="273">
      <c r="A273" t="inlineStr">
        <is>
          <t>PLTU CEPR #1</t>
        </is>
      </c>
      <c r="B273" t="n">
        <v>924</v>
      </c>
      <c r="C273" t="n">
        <v>715</v>
      </c>
      <c r="D273" t="n">
        <v>713</v>
      </c>
      <c r="E273" t="n">
        <v>713</v>
      </c>
      <c r="F273" t="n">
        <v>705</v>
      </c>
      <c r="G273" t="n">
        <v>705</v>
      </c>
      <c r="H273" t="n">
        <v>676</v>
      </c>
      <c r="I273" t="n">
        <v>675</v>
      </c>
      <c r="J273" t="n">
        <v>673</v>
      </c>
      <c r="K273" t="n">
        <v>752</v>
      </c>
      <c r="L273" t="n">
        <v>809</v>
      </c>
      <c r="M273" t="n">
        <v>910</v>
      </c>
      <c r="N273" t="n">
        <v>908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</row>
    <row r="275">
      <c r="A275" t="inlineStr">
        <is>
          <t>PLTS CRATA #1</t>
        </is>
      </c>
      <c r="B275" t="n">
        <v>145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</row>
    <row r="277">
      <c r="A277" t="inlineStr">
        <is>
          <t>PLTS CRATA #1</t>
        </is>
      </c>
      <c r="B277" t="n">
        <v>1e-05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</row>
    <row r="279">
      <c r="A279" t="inlineStr">
        <is>
          <t>PLTA ENS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</row>
    <row r="281">
      <c r="A281" t="inlineStr">
        <is>
          <t>RJTD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</row>
    <row r="283">
      <c r="A283" t="inlineStr">
        <is>
          <t>PLTA JELOK</t>
        </is>
      </c>
      <c r="B283" t="inlineStr"/>
      <c r="C283" t="n">
        <v>3.50011</v>
      </c>
      <c r="D283" t="n">
        <v>3.5004</v>
      </c>
      <c r="E283" t="n">
        <v>3.49662</v>
      </c>
      <c r="F283" t="n">
        <v>3.49346</v>
      </c>
      <c r="G283" t="n">
        <v>3.50561</v>
      </c>
      <c r="H283" t="n">
        <v>3.49962</v>
      </c>
      <c r="I283" t="n">
        <v>3.5018</v>
      </c>
      <c r="J283" t="n">
        <v>3.50346</v>
      </c>
      <c r="K283" t="n">
        <v>3.50469</v>
      </c>
      <c r="L283" t="n">
        <v>3.49931</v>
      </c>
      <c r="M283" t="n">
        <v>3.49646</v>
      </c>
      <c r="N283" t="n">
        <v>3.49891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</row>
    <row r="285">
      <c r="A285" t="inlineStr">
        <is>
          <t>PLTA TIMO</t>
        </is>
      </c>
      <c r="B285" t="inlineStr"/>
      <c r="C285" t="n">
        <v>2.67492</v>
      </c>
      <c r="D285" t="n">
        <v>2.67502</v>
      </c>
      <c r="E285" t="n">
        <v>2.67202</v>
      </c>
      <c r="F285" t="n">
        <v>2.6748</v>
      </c>
      <c r="G285" t="n">
        <v>2.67287</v>
      </c>
      <c r="H285" t="n">
        <v>2.67037</v>
      </c>
      <c r="I285" t="n">
        <v>2.6718</v>
      </c>
      <c r="J285" t="n">
        <v>2.67215</v>
      </c>
      <c r="K285" t="n">
        <v>2.67315</v>
      </c>
      <c r="L285" t="n">
        <v>2.67416</v>
      </c>
      <c r="M285" t="n">
        <v>2.6719</v>
      </c>
      <c r="N285" t="n">
        <v>2.67102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</row>
    <row r="287">
      <c r="A287" t="inlineStr">
        <is>
          <t>PLTA KTNGR</t>
        </is>
      </c>
      <c r="B287" t="inlineStr"/>
      <c r="C287" t="n">
        <v>0.13371</v>
      </c>
      <c r="D287" t="n">
        <v>0.16207</v>
      </c>
      <c r="E287" t="n">
        <v>0.18188</v>
      </c>
      <c r="F287" t="n">
        <v>0.18386</v>
      </c>
      <c r="G287" t="n">
        <v>0.24961</v>
      </c>
      <c r="H287" t="n">
        <v>0.27388</v>
      </c>
      <c r="I287" t="n">
        <v>0.28033</v>
      </c>
      <c r="J287" t="n">
        <v>0.29331</v>
      </c>
      <c r="K287" t="n">
        <v>0.28455</v>
      </c>
      <c r="L287" t="n">
        <v>0.28431</v>
      </c>
      <c r="M287" t="n">
        <v>0.25174</v>
      </c>
      <c r="N287" t="n">
        <v>0.21812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</row>
    <row r="289">
      <c r="A289" t="inlineStr">
        <is>
          <t>PLTA GRUNG</t>
        </is>
      </c>
      <c r="B289" t="inlineStr"/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</row>
    <row r="291">
      <c r="A291" t="inlineStr">
        <is>
          <t>PLTA MRICA #1</t>
        </is>
      </c>
      <c r="B291" t="n">
        <v>59.8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</row>
    <row r="293">
      <c r="A293" t="inlineStr">
        <is>
          <t>PLTA MRICA #2</t>
        </is>
      </c>
      <c r="B293" t="n">
        <v>59.8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</row>
    <row r="295">
      <c r="A295" t="inlineStr">
        <is>
          <t>PLTA MRICA #3</t>
        </is>
      </c>
      <c r="B295" t="n">
        <v>59.8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</row>
    <row r="297">
      <c r="A297" t="inlineStr">
        <is>
          <t>PLTA WDLIN</t>
        </is>
      </c>
      <c r="B297" t="inlineStr"/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</row>
    <row r="299">
      <c r="A299" t="inlineStr">
        <is>
          <t>PLTA KOMBO</t>
        </is>
      </c>
      <c r="B299" t="inlineStr"/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</row>
    <row r="301">
      <c r="A301" t="inlineStr">
        <is>
          <t>PLTU TBROK #3</t>
        </is>
      </c>
      <c r="B301" t="n">
        <v>110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</row>
    <row r="303">
      <c r="A303" t="inlineStr">
        <is>
          <t>PLTGU TBROK #1 .0</t>
        </is>
      </c>
      <c r="B303" t="n">
        <v>126</v>
      </c>
      <c r="C303" t="n">
        <v>30.00874</v>
      </c>
      <c r="D303" t="n">
        <v>29.42444</v>
      </c>
      <c r="E303" t="n">
        <v>29.81681</v>
      </c>
      <c r="F303" t="n">
        <v>30.06437</v>
      </c>
      <c r="G303" t="n">
        <v>29.69829</v>
      </c>
      <c r="H303" t="n">
        <v>29.40321</v>
      </c>
      <c r="I303" t="n">
        <v>30.03617</v>
      </c>
      <c r="J303" t="n">
        <v>29.92709</v>
      </c>
      <c r="K303" t="n">
        <v>29.66627</v>
      </c>
      <c r="L303" t="n">
        <v>29.68864</v>
      </c>
      <c r="M303" t="n">
        <v>29.31729</v>
      </c>
      <c r="N303" t="n">
        <v>29.0416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</row>
    <row r="305">
      <c r="A305" t="inlineStr">
        <is>
          <t>PLTGU TBROK #1 .1</t>
        </is>
      </c>
      <c r="B305" t="n">
        <v>93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</row>
    <row r="307">
      <c r="A307" t="inlineStr">
        <is>
          <t>PLTGU TBROK #1 .2</t>
        </is>
      </c>
      <c r="B307" t="n">
        <v>93</v>
      </c>
      <c r="C307" t="n">
        <v>89.85722</v>
      </c>
      <c r="D307" t="n">
        <v>89.85832000000001</v>
      </c>
      <c r="E307" t="n">
        <v>89.75787</v>
      </c>
      <c r="F307" t="n">
        <v>89.56264</v>
      </c>
      <c r="G307" t="n">
        <v>89.61765</v>
      </c>
      <c r="H307" t="n">
        <v>89.76607</v>
      </c>
      <c r="I307" t="n">
        <v>89.68575</v>
      </c>
      <c r="J307" t="n">
        <v>89.66618</v>
      </c>
      <c r="K307" t="n">
        <v>89.77458</v>
      </c>
      <c r="L307" t="n">
        <v>89.55602</v>
      </c>
      <c r="M307" t="n">
        <v>88.6152</v>
      </c>
      <c r="N307" t="n">
        <v>88.94421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</row>
    <row r="309">
      <c r="A309" t="inlineStr">
        <is>
          <t>PLTGU TBROK #1 .3</t>
        </is>
      </c>
      <c r="B309" t="n">
        <v>93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</row>
    <row r="311">
      <c r="A311" t="inlineStr">
        <is>
          <t>PLTGU TBROK #2 .0</t>
        </is>
      </c>
      <c r="B311" t="n">
        <v>126</v>
      </c>
      <c r="C311" t="n">
        <v>29.51879</v>
      </c>
      <c r="D311" t="n">
        <v>29.22726</v>
      </c>
      <c r="E311" t="n">
        <v>29.50314</v>
      </c>
      <c r="F311" t="n">
        <v>29.44311</v>
      </c>
      <c r="G311" t="n">
        <v>29.355</v>
      </c>
      <c r="H311" t="n">
        <v>29.29005</v>
      </c>
      <c r="I311" t="n">
        <v>29.23647</v>
      </c>
      <c r="J311" t="n">
        <v>29.15468</v>
      </c>
      <c r="K311" t="n">
        <v>29.25095</v>
      </c>
      <c r="L311" t="n">
        <v>29.39917</v>
      </c>
      <c r="M311" t="n">
        <v>29.18423</v>
      </c>
      <c r="N311" t="n">
        <v>28.47847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</row>
    <row r="313">
      <c r="A313" t="inlineStr">
        <is>
          <t>PLTGU TBROK #2 .1</t>
        </is>
      </c>
      <c r="B313" t="n">
        <v>93</v>
      </c>
      <c r="C313" t="n">
        <v>92.39735</v>
      </c>
      <c r="D313" t="n">
        <v>92.40863</v>
      </c>
      <c r="E313" t="n">
        <v>92.938</v>
      </c>
      <c r="F313" t="n">
        <v>92.38619</v>
      </c>
      <c r="G313" t="n">
        <v>92.54067000000001</v>
      </c>
      <c r="H313" t="n">
        <v>92.72181999999999</v>
      </c>
      <c r="I313" t="n">
        <v>92.51143</v>
      </c>
      <c r="J313" t="n">
        <v>92.67894</v>
      </c>
      <c r="K313" t="n">
        <v>91.92757</v>
      </c>
      <c r="L313" t="n">
        <v>92.21307</v>
      </c>
      <c r="M313" t="n">
        <v>92.41221</v>
      </c>
      <c r="N313" t="n">
        <v>92.68948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</row>
    <row r="315">
      <c r="A315" t="inlineStr">
        <is>
          <t>PLTGU TBROK #2 .2</t>
        </is>
      </c>
      <c r="B315" t="n">
        <v>93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</row>
    <row r="317">
      <c r="A317" t="inlineStr">
        <is>
          <t>PLTGU TBROK #2 .3</t>
        </is>
      </c>
      <c r="B317" t="n">
        <v>93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</row>
    <row r="319">
      <c r="A319" t="inlineStr">
        <is>
          <t>PLTGU TBROK B-3</t>
        </is>
      </c>
      <c r="B319" t="n">
        <v>773.39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</row>
    <row r="321">
      <c r="A321" t="inlineStr">
        <is>
          <t>PLTU ADIPALA #1</t>
        </is>
      </c>
      <c r="B321" t="n">
        <v>615</v>
      </c>
      <c r="C321" t="n">
        <v>458.23044</v>
      </c>
      <c r="D321" t="n">
        <v>458.28857</v>
      </c>
      <c r="E321" t="n">
        <v>459.52872</v>
      </c>
      <c r="F321" t="n">
        <v>459.21515</v>
      </c>
      <c r="G321" t="n">
        <v>458.16153</v>
      </c>
      <c r="H321" t="n">
        <v>457.63904</v>
      </c>
      <c r="I321" t="n">
        <v>457.80612</v>
      </c>
      <c r="J321" t="n">
        <v>458.13791</v>
      </c>
      <c r="K321" t="n">
        <v>458.33676</v>
      </c>
      <c r="L321" t="n">
        <v>458.34155</v>
      </c>
      <c r="M321" t="n">
        <v>458.34164</v>
      </c>
      <c r="N321" t="n">
        <v>458.08081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</row>
    <row r="323">
      <c r="A323" t="inlineStr">
        <is>
          <t>PLTU REMBANG #20</t>
        </is>
      </c>
      <c r="B323" t="n">
        <v>280</v>
      </c>
      <c r="C323" t="n">
        <v>240.34709</v>
      </c>
      <c r="D323" t="n">
        <v>239.55202</v>
      </c>
      <c r="E323" t="n">
        <v>240.37738</v>
      </c>
      <c r="F323" t="n">
        <v>240.23276</v>
      </c>
      <c r="G323" t="n">
        <v>240.35275</v>
      </c>
      <c r="H323" t="n">
        <v>240.55005</v>
      </c>
      <c r="I323" t="n">
        <v>240.7218</v>
      </c>
      <c r="J323" t="n">
        <v>240.77379</v>
      </c>
      <c r="K323" t="n">
        <v>241.00205</v>
      </c>
      <c r="L323" t="n">
        <v>240.9884</v>
      </c>
      <c r="M323" t="n">
        <v>240.56776</v>
      </c>
      <c r="N323" t="n">
        <v>240.51727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</row>
    <row r="325">
      <c r="A325" t="inlineStr">
        <is>
          <t>PLTU REMBANG #10</t>
        </is>
      </c>
      <c r="B325" t="n">
        <v>280</v>
      </c>
      <c r="C325" t="n">
        <v>240.64128</v>
      </c>
      <c r="D325" t="n">
        <v>240.48358</v>
      </c>
      <c r="E325" t="n">
        <v>240.3447</v>
      </c>
      <c r="F325" t="n">
        <v>240.24333</v>
      </c>
      <c r="G325" t="n">
        <v>240.54662</v>
      </c>
      <c r="H325" t="n">
        <v>239.69673</v>
      </c>
      <c r="I325" t="n">
        <v>239.69417</v>
      </c>
      <c r="J325" t="n">
        <v>239.75533</v>
      </c>
      <c r="K325" t="n">
        <v>240.08629</v>
      </c>
      <c r="L325" t="n">
        <v>240.62453</v>
      </c>
      <c r="M325" t="n">
        <v>240.35053</v>
      </c>
      <c r="N325" t="n">
        <v>239.70384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</row>
    <row r="327">
      <c r="A327" t="inlineStr">
        <is>
          <t>PLTP DIENG #1</t>
        </is>
      </c>
      <c r="B327" t="n">
        <v>54.56099</v>
      </c>
      <c r="C327" t="n">
        <v>32.08543</v>
      </c>
      <c r="D327" t="n">
        <v>32.25919</v>
      </c>
      <c r="E327" t="n">
        <v>31.75706</v>
      </c>
      <c r="F327" t="n">
        <v>32.26627</v>
      </c>
      <c r="G327" t="n">
        <v>32.13763</v>
      </c>
      <c r="H327" t="n">
        <v>32.08992</v>
      </c>
      <c r="I327" t="n">
        <v>32.26454</v>
      </c>
      <c r="J327" t="n">
        <v>32.10565</v>
      </c>
      <c r="K327" t="n">
        <v>32.22826</v>
      </c>
      <c r="L327" t="n">
        <v>32.10874</v>
      </c>
      <c r="M327" t="n">
        <v>31.79111</v>
      </c>
      <c r="N327" t="n">
        <v>32.03236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</row>
    <row r="329">
      <c r="A329" t="inlineStr">
        <is>
          <t>PLTU CLCAP #1</t>
        </is>
      </c>
      <c r="B329" t="n">
        <v>281</v>
      </c>
      <c r="C329" t="n">
        <v>182.89819</v>
      </c>
      <c r="D329" t="n">
        <v>182.4303</v>
      </c>
      <c r="E329" t="n">
        <v>182.57245</v>
      </c>
      <c r="F329" t="n">
        <v>183.20544</v>
      </c>
      <c r="G329" t="n">
        <v>182.9207</v>
      </c>
      <c r="H329" t="n">
        <v>182.85115</v>
      </c>
      <c r="I329" t="n">
        <v>181.85678</v>
      </c>
      <c r="J329" t="n">
        <v>181.75916</v>
      </c>
      <c r="K329" t="n">
        <v>189.12878</v>
      </c>
      <c r="L329" t="n">
        <v>203.72615</v>
      </c>
      <c r="M329" t="n">
        <v>233.11746</v>
      </c>
      <c r="N329" t="n">
        <v>277.23257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</row>
    <row r="331">
      <c r="A331" t="inlineStr">
        <is>
          <t>PLTU CLCAP #2</t>
        </is>
      </c>
      <c r="B331" t="n">
        <v>281</v>
      </c>
      <c r="C331" t="n">
        <v>181.36304</v>
      </c>
      <c r="D331" t="n">
        <v>181.89519</v>
      </c>
      <c r="E331" t="n">
        <v>181.04173</v>
      </c>
      <c r="F331" t="n">
        <v>180.11713</v>
      </c>
      <c r="G331" t="n">
        <v>180.95711</v>
      </c>
      <c r="H331" t="n">
        <v>181.6116</v>
      </c>
      <c r="I331" t="n">
        <v>182.38664</v>
      </c>
      <c r="J331" t="n">
        <v>182.33196</v>
      </c>
      <c r="K331" t="n">
        <v>196.05524</v>
      </c>
      <c r="L331" t="n">
        <v>230.70473</v>
      </c>
      <c r="M331" t="n">
        <v>265.06119</v>
      </c>
      <c r="N331" t="n">
        <v>271.76172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</row>
    <row r="333">
      <c r="A333" t="inlineStr">
        <is>
          <t>PLTU CLCAP #3</t>
        </is>
      </c>
      <c r="B333" t="n">
        <v>614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</row>
    <row r="335">
      <c r="A335" t="inlineStr">
        <is>
          <t>PLTU CLCAP #4</t>
        </is>
      </c>
      <c r="B335" t="n">
        <v>945</v>
      </c>
      <c r="C335" t="n">
        <v>499.45105</v>
      </c>
      <c r="D335" t="n">
        <v>496.6394</v>
      </c>
      <c r="E335" t="n">
        <v>501.87262</v>
      </c>
      <c r="F335" t="n">
        <v>495.72928</v>
      </c>
      <c r="G335" t="n">
        <v>495.46912</v>
      </c>
      <c r="H335" t="n">
        <v>503.89456</v>
      </c>
      <c r="I335" t="n">
        <v>501.17322</v>
      </c>
      <c r="J335" t="n">
        <v>499.69559</v>
      </c>
      <c r="K335" t="n">
        <v>500.54688</v>
      </c>
      <c r="L335" t="n">
        <v>498.45361</v>
      </c>
      <c r="M335" t="n">
        <v>501.29956</v>
      </c>
      <c r="N335" t="n">
        <v>500.45923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</row>
    <row r="337">
      <c r="A337" t="inlineStr">
        <is>
          <t>PLTU BATANG #1</t>
        </is>
      </c>
      <c r="B337" t="n">
        <v>950</v>
      </c>
      <c r="C337" t="n">
        <v>874.86285</v>
      </c>
      <c r="D337" t="n">
        <v>846.05823</v>
      </c>
      <c r="E337" t="n">
        <v>843.07709</v>
      </c>
      <c r="F337" t="n">
        <v>844.84253</v>
      </c>
      <c r="G337" t="n">
        <v>842.15192</v>
      </c>
      <c r="H337" t="n">
        <v>843.2626299999999</v>
      </c>
      <c r="I337" t="n">
        <v>846.00842</v>
      </c>
      <c r="J337" t="n">
        <v>844.89136</v>
      </c>
      <c r="K337" t="n">
        <v>890.77863</v>
      </c>
      <c r="L337" t="n">
        <v>924.80768</v>
      </c>
      <c r="M337" t="n">
        <v>917.67157</v>
      </c>
      <c r="N337" t="n">
        <v>916.5423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</row>
    <row r="339">
      <c r="A339" t="inlineStr">
        <is>
          <t>PLTU BATANG #2</t>
        </is>
      </c>
      <c r="B339" t="n">
        <v>950</v>
      </c>
      <c r="C339" t="n">
        <v>872.76788</v>
      </c>
      <c r="D339" t="n">
        <v>839.30054</v>
      </c>
      <c r="E339" t="n">
        <v>838.2226000000001</v>
      </c>
      <c r="F339" t="n">
        <v>829.2166099999999</v>
      </c>
      <c r="G339" t="n">
        <v>839.44128</v>
      </c>
      <c r="H339" t="n">
        <v>838.3380100000001</v>
      </c>
      <c r="I339" t="n">
        <v>839.66919</v>
      </c>
      <c r="J339" t="n">
        <v>839.28229</v>
      </c>
      <c r="K339" t="n">
        <v>888.63513</v>
      </c>
      <c r="L339" t="n">
        <v>913.70227</v>
      </c>
      <c r="M339" t="n">
        <v>913.05866</v>
      </c>
      <c r="N339" t="n">
        <v>908.73517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</row>
    <row r="341">
      <c r="A341" t="inlineStr">
        <is>
          <t>PLTU TJATIBJP #5</t>
        </is>
      </c>
      <c r="B341" t="n">
        <v>1000</v>
      </c>
      <c r="C341" t="n">
        <v>935.23328</v>
      </c>
      <c r="D341" t="n">
        <v>936.8213500000001</v>
      </c>
      <c r="E341" t="n">
        <v>977.51904</v>
      </c>
      <c r="F341" t="n">
        <v>977.94281</v>
      </c>
      <c r="G341" t="n">
        <v>973.89307</v>
      </c>
      <c r="H341" t="n">
        <v>936.58655</v>
      </c>
      <c r="I341" t="n">
        <v>925.22186</v>
      </c>
      <c r="J341" t="n">
        <v>934.0122699999999</v>
      </c>
      <c r="K341" t="n">
        <v>933.53632</v>
      </c>
      <c r="L341" t="n">
        <v>934.28162</v>
      </c>
      <c r="M341" t="n">
        <v>976.27881</v>
      </c>
      <c r="N341" t="n">
        <v>904.33991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</row>
    <row r="343">
      <c r="A343" t="inlineStr">
        <is>
          <t>PLTU TJATIBJP #6</t>
        </is>
      </c>
      <c r="B343" t="n">
        <v>1000</v>
      </c>
      <c r="C343" t="n">
        <v>933.36609</v>
      </c>
      <c r="D343" t="n">
        <v>936.84937</v>
      </c>
      <c r="E343" t="n">
        <v>977.45789</v>
      </c>
      <c r="F343" t="n">
        <v>977.55981</v>
      </c>
      <c r="G343" t="n">
        <v>976.16052</v>
      </c>
      <c r="H343" t="n">
        <v>933.64941</v>
      </c>
      <c r="I343" t="n">
        <v>931.8457</v>
      </c>
      <c r="J343" t="n">
        <v>931.86707</v>
      </c>
      <c r="K343" t="n">
        <v>926.13141</v>
      </c>
      <c r="L343" t="n">
        <v>934.78326</v>
      </c>
      <c r="M343" t="n">
        <v>973.60992</v>
      </c>
      <c r="N343" t="n">
        <v>897.78803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</row>
    <row r="345">
      <c r="A345" t="inlineStr">
        <is>
          <t>PLTU TJATI #1</t>
        </is>
      </c>
      <c r="B345" t="n">
        <v>660.8</v>
      </c>
      <c r="C345" t="n">
        <v>504.59769</v>
      </c>
      <c r="D345" t="n">
        <v>504.83286</v>
      </c>
      <c r="E345" t="n">
        <v>506.996</v>
      </c>
      <c r="F345" t="n">
        <v>503.60025</v>
      </c>
      <c r="G345" t="n">
        <v>501.21988</v>
      </c>
      <c r="H345" t="n">
        <v>506.56586</v>
      </c>
      <c r="I345" t="n">
        <v>505.78622</v>
      </c>
      <c r="J345" t="n">
        <v>526.02026</v>
      </c>
      <c r="K345" t="n">
        <v>589.74005</v>
      </c>
      <c r="L345" t="n">
        <v>618.09723</v>
      </c>
      <c r="M345" t="n">
        <v>606.21326</v>
      </c>
      <c r="N345" t="n">
        <v>601.53113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</row>
    <row r="347">
      <c r="A347" t="inlineStr">
        <is>
          <t>PLTU TJATI #2</t>
        </is>
      </c>
      <c r="B347" t="n">
        <v>660.8</v>
      </c>
      <c r="C347" t="n">
        <v>505.07724</v>
      </c>
      <c r="D347" t="n">
        <v>509.48267</v>
      </c>
      <c r="E347" t="n">
        <v>506.75119</v>
      </c>
      <c r="F347" t="n">
        <v>517.28882</v>
      </c>
      <c r="G347" t="n">
        <v>519.29364</v>
      </c>
      <c r="H347" t="n">
        <v>509.78333</v>
      </c>
      <c r="I347" t="n">
        <v>509.25736</v>
      </c>
      <c r="J347" t="n">
        <v>528.50916</v>
      </c>
      <c r="K347" t="n">
        <v>577.92871</v>
      </c>
      <c r="L347" t="n">
        <v>617.30896</v>
      </c>
      <c r="M347" t="n">
        <v>612.92072</v>
      </c>
      <c r="N347" t="n">
        <v>607.39258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</row>
    <row r="349">
      <c r="A349" t="inlineStr">
        <is>
          <t>PLTU TJATI #3</t>
        </is>
      </c>
      <c r="B349" t="n">
        <v>661.1</v>
      </c>
      <c r="C349" t="n">
        <v>507.82065</v>
      </c>
      <c r="D349" t="n">
        <v>500.15189</v>
      </c>
      <c r="E349" t="n">
        <v>496.67343</v>
      </c>
      <c r="F349" t="n">
        <v>496.56198</v>
      </c>
      <c r="G349" t="n">
        <v>496.85059</v>
      </c>
      <c r="H349" t="n">
        <v>493.62061</v>
      </c>
      <c r="I349" t="n">
        <v>496.25299</v>
      </c>
      <c r="J349" t="n">
        <v>497.02487</v>
      </c>
      <c r="K349" t="n">
        <v>522.7028800000001</v>
      </c>
      <c r="L349" t="n">
        <v>539.85077</v>
      </c>
      <c r="M349" t="n">
        <v>585.84686</v>
      </c>
      <c r="N349" t="n">
        <v>592.23718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</row>
    <row r="351">
      <c r="A351" t="inlineStr">
        <is>
          <t>PLTU TJATI #4</t>
        </is>
      </c>
      <c r="B351" t="n">
        <v>661.1</v>
      </c>
      <c r="C351" t="n">
        <v>499.70856</v>
      </c>
      <c r="D351" t="n">
        <v>495.73563</v>
      </c>
      <c r="E351" t="n">
        <v>492.00333</v>
      </c>
      <c r="F351" t="n">
        <v>492.59445</v>
      </c>
      <c r="G351" t="n">
        <v>489.62585</v>
      </c>
      <c r="H351" t="n">
        <v>488.54794</v>
      </c>
      <c r="I351" t="n">
        <v>480.28894</v>
      </c>
      <c r="J351" t="n">
        <v>492.9563</v>
      </c>
      <c r="K351" t="n">
        <v>518.7467</v>
      </c>
      <c r="L351" t="n">
        <v>539.87793</v>
      </c>
      <c r="M351" t="n">
        <v>582.48999</v>
      </c>
      <c r="N351" t="n">
        <v>584.92035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</row>
    <row r="353">
      <c r="A353" t="inlineStr">
        <is>
          <t>RJTB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</row>
    <row r="355">
      <c r="A355" t="inlineStr">
        <is>
          <t>PLTGU GRATI #1 .0</t>
        </is>
      </c>
      <c r="B355" t="n">
        <v>40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</row>
    <row r="357">
      <c r="A357" t="inlineStr">
        <is>
          <t>PLTGU GRATI #1 .1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</row>
    <row r="359">
      <c r="A359" t="inlineStr">
        <is>
          <t>PLTGU GRATI #1 .2</t>
        </is>
      </c>
      <c r="B359" t="n">
        <v>100.25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</row>
    <row r="361">
      <c r="A361" t="inlineStr">
        <is>
          <t>PLTGU GRATI #1 .3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</row>
    <row r="363">
      <c r="A363" t="inlineStr">
        <is>
          <t>PLTGU GRATI #2 .0</t>
        </is>
      </c>
      <c r="B363" t="n">
        <v>164.86</v>
      </c>
      <c r="C363" t="n">
        <v>53</v>
      </c>
      <c r="D363" t="n">
        <v>53</v>
      </c>
      <c r="E363" t="n">
        <v>53</v>
      </c>
      <c r="F363" t="n">
        <v>53</v>
      </c>
      <c r="G363" t="n">
        <v>52</v>
      </c>
      <c r="H363" t="n">
        <v>51</v>
      </c>
      <c r="I363" t="n">
        <v>53</v>
      </c>
      <c r="J363" t="n">
        <v>52</v>
      </c>
      <c r="K363" t="n">
        <v>52</v>
      </c>
      <c r="L363" t="n">
        <v>53</v>
      </c>
      <c r="M363" t="n">
        <v>53</v>
      </c>
      <c r="N363" t="n">
        <v>53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</row>
    <row r="365">
      <c r="A365" t="inlineStr">
        <is>
          <t>PLTGU GRATI #2 .1</t>
        </is>
      </c>
      <c r="B365" t="n">
        <v>100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</row>
    <row r="367">
      <c r="A367" t="inlineStr">
        <is>
          <t>PLTGU GRATI #2 .2</t>
        </is>
      </c>
      <c r="B367" t="n">
        <v>100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</row>
    <row r="369">
      <c r="A369" t="inlineStr">
        <is>
          <t>PLTGU GRATI #2 .3</t>
        </is>
      </c>
      <c r="B369" t="n">
        <v>100</v>
      </c>
      <c r="C369" t="n">
        <v>103</v>
      </c>
      <c r="D369" t="n">
        <v>103</v>
      </c>
      <c r="E369" t="n">
        <v>103</v>
      </c>
      <c r="F369" t="n">
        <v>103</v>
      </c>
      <c r="G369" t="n">
        <v>103</v>
      </c>
      <c r="H369" t="n">
        <v>96</v>
      </c>
      <c r="I369" t="n">
        <v>105</v>
      </c>
      <c r="J369" t="n">
        <v>103</v>
      </c>
      <c r="K369" t="n">
        <v>104</v>
      </c>
      <c r="L369" t="n">
        <v>103</v>
      </c>
      <c r="M369" t="n">
        <v>104</v>
      </c>
      <c r="N369" t="n">
        <v>105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</row>
    <row r="371">
      <c r="A371" t="inlineStr">
        <is>
          <t>PLTGU GRATI #3 .0</t>
        </is>
      </c>
      <c r="B371" t="n">
        <v>165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</row>
    <row r="373">
      <c r="A373" t="inlineStr">
        <is>
          <t>PLTGU GRATI #3 .1</t>
        </is>
      </c>
      <c r="B373" t="n">
        <v>145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</row>
    <row r="375">
      <c r="A375" t="inlineStr">
        <is>
          <t>PLTGU GRATI #3 .2</t>
        </is>
      </c>
      <c r="B375" t="n">
        <v>145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</row>
    <row r="377">
      <c r="A377" t="inlineStr">
        <is>
          <t>PLTA STAMI #1</t>
        </is>
      </c>
      <c r="B377" t="n">
        <v>34.33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</row>
    <row r="379">
      <c r="A379" t="inlineStr">
        <is>
          <t>PLTA STAMI #2</t>
        </is>
      </c>
      <c r="B379" t="n">
        <v>34.33</v>
      </c>
      <c r="C379" t="n">
        <v>29</v>
      </c>
      <c r="D379" t="n">
        <v>29</v>
      </c>
      <c r="E379" t="n">
        <v>29</v>
      </c>
      <c r="F379" t="n">
        <v>29</v>
      </c>
      <c r="G379" t="n">
        <v>29</v>
      </c>
      <c r="H379" t="n">
        <v>28</v>
      </c>
      <c r="I379" t="n">
        <v>28</v>
      </c>
      <c r="J379" t="n">
        <v>29</v>
      </c>
      <c r="K379" t="n">
        <v>29</v>
      </c>
      <c r="L379" t="n">
        <v>29</v>
      </c>
      <c r="M379" t="n">
        <v>29</v>
      </c>
      <c r="N379" t="n">
        <v>28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</row>
    <row r="381">
      <c r="A381" t="inlineStr">
        <is>
          <t>PLTA STAMI #3</t>
        </is>
      </c>
      <c r="B381" t="n">
        <v>34.33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</row>
    <row r="383">
      <c r="A383" t="inlineStr">
        <is>
          <t>PLTA WLNGI #1</t>
        </is>
      </c>
      <c r="B383" t="n">
        <v>26.81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</row>
    <row r="385">
      <c r="A385" t="inlineStr">
        <is>
          <t>PLTA WLNGI #2</t>
        </is>
      </c>
      <c r="B385" t="n">
        <v>26.81</v>
      </c>
      <c r="C385" t="n">
        <v>10</v>
      </c>
      <c r="D385" t="n">
        <v>10</v>
      </c>
      <c r="E385" t="n">
        <v>10</v>
      </c>
      <c r="F385" t="n">
        <v>10</v>
      </c>
      <c r="G385" t="n">
        <v>10</v>
      </c>
      <c r="H385" t="n">
        <v>10</v>
      </c>
      <c r="I385" t="n">
        <v>10</v>
      </c>
      <c r="J385" t="n">
        <v>10</v>
      </c>
      <c r="K385" t="n">
        <v>10</v>
      </c>
      <c r="L385" t="n">
        <v>10</v>
      </c>
      <c r="M385" t="n">
        <v>10</v>
      </c>
      <c r="N385" t="n">
        <v>10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</row>
    <row r="387">
      <c r="A387" t="inlineStr">
        <is>
          <t>PLTA MDLAN</t>
        </is>
      </c>
      <c r="B387" t="inlineStr"/>
      <c r="C387" t="n">
        <v>8</v>
      </c>
      <c r="D387" t="n">
        <v>8</v>
      </c>
      <c r="E387" t="n">
        <v>8</v>
      </c>
      <c r="F387" t="n">
        <v>8</v>
      </c>
      <c r="G387" t="n">
        <v>8</v>
      </c>
      <c r="H387" t="n">
        <v>8</v>
      </c>
      <c r="I387" t="n">
        <v>8</v>
      </c>
      <c r="J387" t="n">
        <v>8</v>
      </c>
      <c r="K387" t="n">
        <v>8</v>
      </c>
      <c r="L387" t="n">
        <v>8</v>
      </c>
      <c r="M387" t="n">
        <v>8</v>
      </c>
      <c r="N387" t="n">
        <v>8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</row>
    <row r="389">
      <c r="A389" t="inlineStr">
        <is>
          <t>PLTA SIMAN</t>
        </is>
      </c>
      <c r="B389" t="inlineStr"/>
      <c r="C389" t="n">
        <v>6</v>
      </c>
      <c r="D389" t="n">
        <v>6</v>
      </c>
      <c r="E389" t="n">
        <v>6</v>
      </c>
      <c r="F389" t="n">
        <v>6</v>
      </c>
      <c r="G389" t="n">
        <v>6</v>
      </c>
      <c r="H389" t="n">
        <v>6</v>
      </c>
      <c r="I389" t="n">
        <v>6</v>
      </c>
      <c r="J389" t="n">
        <v>6</v>
      </c>
      <c r="K389" t="n">
        <v>6</v>
      </c>
      <c r="L389" t="n">
        <v>6</v>
      </c>
      <c r="M389" t="n">
        <v>6</v>
      </c>
      <c r="N389" t="n">
        <v>6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</row>
    <row r="391">
      <c r="A391" t="inlineStr">
        <is>
          <t>PLTA SLRJO</t>
        </is>
      </c>
      <c r="B391" t="n">
        <v>4.71</v>
      </c>
      <c r="C391" t="n">
        <v>2</v>
      </c>
      <c r="D391" t="n">
        <v>2</v>
      </c>
      <c r="E391" t="n">
        <v>2</v>
      </c>
      <c r="F391" t="n">
        <v>2</v>
      </c>
      <c r="G391" t="n">
        <v>2</v>
      </c>
      <c r="H391" t="n">
        <v>2</v>
      </c>
      <c r="I391" t="n">
        <v>2</v>
      </c>
      <c r="J391" t="n">
        <v>2</v>
      </c>
      <c r="K391" t="n">
        <v>2</v>
      </c>
      <c r="L391" t="n">
        <v>2</v>
      </c>
      <c r="M391" t="n">
        <v>2</v>
      </c>
      <c r="N391" t="n">
        <v>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</row>
    <row r="393">
      <c r="A393" t="inlineStr">
        <is>
          <t>PLTA SGRUH #1</t>
        </is>
      </c>
      <c r="B393" t="n">
        <v>14.23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</row>
    <row r="395">
      <c r="A395" t="inlineStr">
        <is>
          <t>PLTA SGRUH #2</t>
        </is>
      </c>
      <c r="B395" t="n">
        <v>14.23</v>
      </c>
      <c r="C395" t="n">
        <v>8</v>
      </c>
      <c r="D395" t="n">
        <v>8</v>
      </c>
      <c r="E395" t="n">
        <v>8</v>
      </c>
      <c r="F395" t="n">
        <v>8</v>
      </c>
      <c r="G395" t="n">
        <v>8</v>
      </c>
      <c r="H395" t="n">
        <v>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</row>
    <row r="397">
      <c r="A397" t="inlineStr">
        <is>
          <t>PLTA TLNGN #1</t>
        </is>
      </c>
      <c r="B397" t="n">
        <v>17.86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</row>
    <row r="399">
      <c r="A399" t="inlineStr">
        <is>
          <t>PLTA TLNGN #2</t>
        </is>
      </c>
      <c r="B399" t="n">
        <v>17.86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</row>
    <row r="401">
      <c r="A401" t="inlineStr">
        <is>
          <t>PLTU GRSIK #1</t>
        </is>
      </c>
      <c r="B401" t="n">
        <v>80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</row>
    <row r="403">
      <c r="A403" t="inlineStr">
        <is>
          <t>PLTU GRSIK #2</t>
        </is>
      </c>
      <c r="B403" t="n">
        <v>80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</row>
    <row r="405">
      <c r="A405" t="inlineStr">
        <is>
          <t>PLTU GRSIK #3</t>
        </is>
      </c>
      <c r="B405" t="n">
        <v>166.5</v>
      </c>
      <c r="C405" t="n">
        <v>91</v>
      </c>
      <c r="D405" t="n">
        <v>91</v>
      </c>
      <c r="E405" t="n">
        <v>91</v>
      </c>
      <c r="F405" t="n">
        <v>91</v>
      </c>
      <c r="G405" t="n">
        <v>91</v>
      </c>
      <c r="H405" t="n">
        <v>91</v>
      </c>
      <c r="I405" t="n">
        <v>91</v>
      </c>
      <c r="J405" t="n">
        <v>91</v>
      </c>
      <c r="K405" t="n">
        <v>91</v>
      </c>
      <c r="L405" t="n">
        <v>91</v>
      </c>
      <c r="M405" t="n">
        <v>91</v>
      </c>
      <c r="N405" t="n">
        <v>91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</row>
    <row r="407">
      <c r="A407" t="inlineStr">
        <is>
          <t>PLTU GRSIK #4</t>
        </is>
      </c>
      <c r="B407" t="n">
        <v>166.5</v>
      </c>
      <c r="C407" t="n">
        <v>89</v>
      </c>
      <c r="D407" t="n">
        <v>90</v>
      </c>
      <c r="E407" t="n">
        <v>90</v>
      </c>
      <c r="F407" t="n">
        <v>90</v>
      </c>
      <c r="G407" t="n">
        <v>90</v>
      </c>
      <c r="H407" t="n">
        <v>89</v>
      </c>
      <c r="I407" t="n">
        <v>89</v>
      </c>
      <c r="J407" t="n">
        <v>90</v>
      </c>
      <c r="K407" t="n">
        <v>90</v>
      </c>
      <c r="L407" t="n">
        <v>90</v>
      </c>
      <c r="M407" t="n">
        <v>91</v>
      </c>
      <c r="N407" t="n">
        <v>90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</row>
    <row r="409">
      <c r="A409" t="inlineStr">
        <is>
          <t>PLTU PITON #1</t>
        </is>
      </c>
      <c r="B409" t="n">
        <v>370</v>
      </c>
      <c r="C409" t="n">
        <v>256</v>
      </c>
      <c r="D409" t="n">
        <v>257</v>
      </c>
      <c r="E409" t="n">
        <v>258</v>
      </c>
      <c r="F409" t="n">
        <v>256</v>
      </c>
      <c r="G409" t="n">
        <v>255</v>
      </c>
      <c r="H409" t="n">
        <v>259</v>
      </c>
      <c r="I409" t="n">
        <v>256</v>
      </c>
      <c r="J409" t="n">
        <v>254</v>
      </c>
      <c r="K409" t="n">
        <v>255</v>
      </c>
      <c r="L409" t="n">
        <v>255</v>
      </c>
      <c r="M409" t="n">
        <v>301</v>
      </c>
      <c r="N409" t="n">
        <v>301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</row>
    <row r="411">
      <c r="A411" t="inlineStr">
        <is>
          <t>PLTU PITON #2</t>
        </is>
      </c>
      <c r="B411" t="n">
        <v>370</v>
      </c>
      <c r="C411" t="n">
        <v>259</v>
      </c>
      <c r="D411" t="n">
        <v>255</v>
      </c>
      <c r="E411" t="n">
        <v>255</v>
      </c>
      <c r="F411" t="n">
        <v>253</v>
      </c>
      <c r="G411" t="n">
        <v>258</v>
      </c>
      <c r="H411" t="n">
        <v>254</v>
      </c>
      <c r="I411" t="n">
        <v>255</v>
      </c>
      <c r="J411" t="n">
        <v>250</v>
      </c>
      <c r="K411" t="n">
        <v>256</v>
      </c>
      <c r="L411" t="n">
        <v>265</v>
      </c>
      <c r="M411" t="n">
        <v>279</v>
      </c>
      <c r="N411" t="n">
        <v>307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</row>
    <row r="413">
      <c r="A413" t="inlineStr">
        <is>
          <t>PLTG GRSIK #1</t>
        </is>
      </c>
      <c r="B413" t="n">
        <v>15.5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</row>
    <row r="415">
      <c r="A415" t="inlineStr">
        <is>
          <t>PLTG GRSIK #2</t>
        </is>
      </c>
      <c r="B415" t="n">
        <v>15.5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</row>
    <row r="417">
      <c r="A417" t="inlineStr">
        <is>
          <t>PLTGU GRBRU #1 .0</t>
        </is>
      </c>
      <c r="B417" t="n">
        <v>175</v>
      </c>
      <c r="C417" t="n">
        <v>65</v>
      </c>
      <c r="D417" t="n">
        <v>65</v>
      </c>
      <c r="E417" t="n">
        <v>65</v>
      </c>
      <c r="F417" t="n">
        <v>64</v>
      </c>
      <c r="G417" t="n">
        <v>64</v>
      </c>
      <c r="H417" t="n">
        <v>65</v>
      </c>
      <c r="I417" t="n">
        <v>64</v>
      </c>
      <c r="J417" t="n">
        <v>64</v>
      </c>
      <c r="K417" t="n">
        <v>64</v>
      </c>
      <c r="L417" t="n">
        <v>65</v>
      </c>
      <c r="M417" t="n">
        <v>65</v>
      </c>
      <c r="N417" t="n">
        <v>65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</row>
    <row r="419">
      <c r="A419" t="inlineStr">
        <is>
          <t>PLTGU GRBRU #1 .1</t>
        </is>
      </c>
      <c r="B419" t="n">
        <v>100</v>
      </c>
      <c r="C419" t="n">
        <v>50</v>
      </c>
      <c r="D419" t="n">
        <v>50</v>
      </c>
      <c r="E419" t="n">
        <v>50</v>
      </c>
      <c r="F419" t="n">
        <v>51</v>
      </c>
      <c r="G419" t="n">
        <v>50</v>
      </c>
      <c r="H419" t="n">
        <v>50</v>
      </c>
      <c r="I419" t="n">
        <v>50</v>
      </c>
      <c r="J419" t="n">
        <v>50</v>
      </c>
      <c r="K419" t="n">
        <v>51</v>
      </c>
      <c r="L419" t="n">
        <v>50</v>
      </c>
      <c r="M419" t="n">
        <v>50</v>
      </c>
      <c r="N419" t="n">
        <v>52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</row>
    <row r="421">
      <c r="A421" t="inlineStr">
        <is>
          <t>PLTGU GRBRU #1 .2</t>
        </is>
      </c>
      <c r="B421" t="n">
        <v>100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</row>
    <row r="423">
      <c r="A423" t="inlineStr">
        <is>
          <t>PLTGU GRBRU #1 .3</t>
        </is>
      </c>
      <c r="B423" t="n">
        <v>100</v>
      </c>
      <c r="C423" t="n">
        <v>52</v>
      </c>
      <c r="D423" t="n">
        <v>52</v>
      </c>
      <c r="E423" t="n">
        <v>52</v>
      </c>
      <c r="F423" t="n">
        <v>52</v>
      </c>
      <c r="G423" t="n">
        <v>52</v>
      </c>
      <c r="H423" t="n">
        <v>52</v>
      </c>
      <c r="I423" t="n">
        <v>52</v>
      </c>
      <c r="J423" t="n">
        <v>52</v>
      </c>
      <c r="K423" t="n">
        <v>52</v>
      </c>
      <c r="L423" t="n">
        <v>52</v>
      </c>
      <c r="M423" t="n">
        <v>52</v>
      </c>
      <c r="N423" t="n">
        <v>53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</row>
    <row r="425">
      <c r="A425" t="inlineStr">
        <is>
          <t>PLTGU GRBRU #2 .0</t>
        </is>
      </c>
      <c r="B425" t="n">
        <v>165</v>
      </c>
      <c r="C425" t="n">
        <v>38</v>
      </c>
      <c r="D425" t="n">
        <v>38</v>
      </c>
      <c r="E425" t="n">
        <v>38</v>
      </c>
      <c r="F425" t="n">
        <v>38</v>
      </c>
      <c r="G425" t="n">
        <v>37</v>
      </c>
      <c r="H425" t="n">
        <v>38</v>
      </c>
      <c r="I425" t="n">
        <v>37</v>
      </c>
      <c r="J425" t="n">
        <v>38</v>
      </c>
      <c r="K425" t="n">
        <v>37</v>
      </c>
      <c r="L425" t="n">
        <v>37</v>
      </c>
      <c r="M425" t="n">
        <v>37</v>
      </c>
      <c r="N425" t="n">
        <v>37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</row>
    <row r="427">
      <c r="A427" t="inlineStr">
        <is>
          <t>PLTGU GRBRU #2 .1</t>
        </is>
      </c>
      <c r="B427" t="n">
        <v>100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</row>
    <row r="429">
      <c r="A429" t="inlineStr">
        <is>
          <t>PLTGU GRBRU #2 .2</t>
        </is>
      </c>
      <c r="B429" t="n">
        <v>100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</row>
    <row r="431">
      <c r="A431" t="inlineStr">
        <is>
          <t>PLTGU GRBRU #2 .3</t>
        </is>
      </c>
      <c r="B431" t="n">
        <v>100</v>
      </c>
      <c r="C431" t="n">
        <v>74</v>
      </c>
      <c r="D431" t="n">
        <v>74</v>
      </c>
      <c r="E431" t="n">
        <v>74</v>
      </c>
      <c r="F431" t="n">
        <v>74</v>
      </c>
      <c r="G431" t="n">
        <v>74</v>
      </c>
      <c r="H431" t="n">
        <v>74</v>
      </c>
      <c r="I431" t="n">
        <v>74</v>
      </c>
      <c r="J431" t="n">
        <v>74</v>
      </c>
      <c r="K431" t="n">
        <v>74</v>
      </c>
      <c r="L431" t="n">
        <v>74</v>
      </c>
      <c r="M431" t="n">
        <v>74</v>
      </c>
      <c r="N431" t="n">
        <v>75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</row>
    <row r="433">
      <c r="A433" t="inlineStr">
        <is>
          <t>PLTGU GRBRU #3 .0</t>
        </is>
      </c>
      <c r="B433" t="n">
        <v>170</v>
      </c>
      <c r="C433" t="n">
        <v>37</v>
      </c>
      <c r="D433" t="n">
        <v>37</v>
      </c>
      <c r="E433" t="n">
        <v>37</v>
      </c>
      <c r="F433" t="n">
        <v>37</v>
      </c>
      <c r="G433" t="n">
        <v>37</v>
      </c>
      <c r="H433" t="n">
        <v>37</v>
      </c>
      <c r="I433" t="n">
        <v>37</v>
      </c>
      <c r="J433" t="n">
        <v>37</v>
      </c>
      <c r="K433" t="n">
        <v>37</v>
      </c>
      <c r="L433" t="n">
        <v>37</v>
      </c>
      <c r="M433" t="n">
        <v>37</v>
      </c>
      <c r="N433" t="n">
        <v>37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</row>
    <row r="435">
      <c r="A435" t="inlineStr">
        <is>
          <t>PLTGU GRBRU #3 .1</t>
        </is>
      </c>
      <c r="B435" t="n">
        <v>100</v>
      </c>
      <c r="C435" t="n">
        <v>71</v>
      </c>
      <c r="D435" t="n">
        <v>71</v>
      </c>
      <c r="E435" t="n">
        <v>71</v>
      </c>
      <c r="F435" t="n">
        <v>71</v>
      </c>
      <c r="G435" t="n">
        <v>71</v>
      </c>
      <c r="H435" t="n">
        <v>71</v>
      </c>
      <c r="I435" t="n">
        <v>71</v>
      </c>
      <c r="J435" t="n">
        <v>71</v>
      </c>
      <c r="K435" t="n">
        <v>71</v>
      </c>
      <c r="L435" t="n">
        <v>71</v>
      </c>
      <c r="M435" t="n">
        <v>71</v>
      </c>
      <c r="N435" t="n">
        <v>72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</row>
    <row r="437">
      <c r="A437" t="inlineStr">
        <is>
          <t>PLTGU GRBRU #3 .2</t>
        </is>
      </c>
      <c r="B437" t="n">
        <v>100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</row>
    <row r="439">
      <c r="A439" t="inlineStr">
        <is>
          <t>PLTGU GRBRU #3 .3</t>
        </is>
      </c>
      <c r="B439" t="n">
        <v>100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</row>
    <row r="441">
      <c r="A441" t="inlineStr">
        <is>
          <t>PLTA LDOYO</t>
        </is>
      </c>
      <c r="B441" t="inlineStr"/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</row>
    <row r="443">
      <c r="A443" t="inlineStr">
        <is>
          <t>PLTA WNRJO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</row>
    <row r="445">
      <c r="A445" t="inlineStr">
        <is>
          <t>PLTA GOLANG</t>
        </is>
      </c>
      <c r="B445" t="inlineStr"/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</row>
    <row r="447">
      <c r="A447" t="inlineStr">
        <is>
          <t>PLTA GIRINGAN</t>
        </is>
      </c>
      <c r="B447" t="inlineStr"/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</row>
    <row r="449">
      <c r="A449" t="inlineStr">
        <is>
          <t>PLTA NGEBEL #1</t>
        </is>
      </c>
      <c r="B449" t="n">
        <v>2.16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</row>
    <row r="451">
      <c r="A451" t="inlineStr">
        <is>
          <t>PLTU TJ AWAR2 #1</t>
        </is>
      </c>
      <c r="B451" t="n">
        <v>323</v>
      </c>
      <c r="C451" t="n">
        <v>249</v>
      </c>
      <c r="D451" t="n">
        <v>249</v>
      </c>
      <c r="E451" t="n">
        <v>249</v>
      </c>
      <c r="F451" t="n">
        <v>248</v>
      </c>
      <c r="G451" t="n">
        <v>250</v>
      </c>
      <c r="H451" t="n">
        <v>248</v>
      </c>
      <c r="I451" t="n">
        <v>249</v>
      </c>
      <c r="J451" t="n">
        <v>249</v>
      </c>
      <c r="K451" t="n">
        <v>276</v>
      </c>
      <c r="L451" t="n">
        <v>295</v>
      </c>
      <c r="M451" t="n">
        <v>293</v>
      </c>
      <c r="N451" t="n">
        <v>294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</row>
    <row r="453">
      <c r="A453" t="inlineStr">
        <is>
          <t>PLTU TJ AWAR2 #2</t>
        </is>
      </c>
      <c r="B453" t="n">
        <v>323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</row>
    <row r="455">
      <c r="A455" t="inlineStr">
        <is>
          <t>PLTU PAITON #9</t>
        </is>
      </c>
      <c r="B455" t="n">
        <v>615</v>
      </c>
      <c r="C455" t="n">
        <v>398</v>
      </c>
      <c r="D455" t="n">
        <v>380</v>
      </c>
      <c r="E455" t="n">
        <v>359</v>
      </c>
      <c r="F455" t="n">
        <v>354</v>
      </c>
      <c r="G455" t="n">
        <v>348</v>
      </c>
      <c r="H455" t="n">
        <v>356</v>
      </c>
      <c r="I455" t="n">
        <v>355</v>
      </c>
      <c r="J455" t="n">
        <v>352</v>
      </c>
      <c r="K455" t="n">
        <v>399</v>
      </c>
      <c r="L455" t="n">
        <v>436</v>
      </c>
      <c r="M455" t="n">
        <v>498</v>
      </c>
      <c r="N455" t="n">
        <v>494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</row>
    <row r="457">
      <c r="A457" t="inlineStr">
        <is>
          <t>PLTU PACITAN #1</t>
        </is>
      </c>
      <c r="B457" t="n">
        <v>280</v>
      </c>
      <c r="C457" t="n">
        <v>212</v>
      </c>
      <c r="D457" t="n">
        <v>201</v>
      </c>
      <c r="E457" t="n">
        <v>201</v>
      </c>
      <c r="F457" t="n">
        <v>201</v>
      </c>
      <c r="G457" t="n">
        <v>199</v>
      </c>
      <c r="H457" t="n">
        <v>202</v>
      </c>
      <c r="I457" t="n">
        <v>200</v>
      </c>
      <c r="J457" t="n">
        <v>197</v>
      </c>
      <c r="K457" t="n">
        <v>197</v>
      </c>
      <c r="L457" t="n">
        <v>198</v>
      </c>
      <c r="M457" t="n">
        <v>201</v>
      </c>
      <c r="N457" t="n">
        <v>199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</row>
    <row r="459">
      <c r="A459" t="inlineStr">
        <is>
          <t>PLTU PACITAN #2</t>
        </is>
      </c>
      <c r="B459" t="n">
        <v>280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</row>
    <row r="461">
      <c r="A461" t="inlineStr">
        <is>
          <t>PLTU PACITAN #3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</row>
    <row r="463">
      <c r="A463" t="inlineStr">
        <is>
          <t>PLTA APGDG #1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</row>
    <row r="465">
      <c r="A465" t="inlineStr">
        <is>
          <t>PLTA APGDG #2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</row>
    <row r="467">
      <c r="A467" t="inlineStr">
        <is>
          <t>PLTU PEC #7</t>
        </is>
      </c>
      <c r="B467" t="n">
        <v>610</v>
      </c>
      <c r="C467" t="n">
        <v>529</v>
      </c>
      <c r="D467" t="n">
        <v>508</v>
      </c>
      <c r="E467" t="n">
        <v>459</v>
      </c>
      <c r="F467" t="n">
        <v>392</v>
      </c>
      <c r="G467" t="n">
        <v>340</v>
      </c>
      <c r="H467" t="n">
        <v>349</v>
      </c>
      <c r="I467" t="n">
        <v>347</v>
      </c>
      <c r="J467" t="n">
        <v>351</v>
      </c>
      <c r="K467" t="n">
        <v>404</v>
      </c>
      <c r="L467" t="n">
        <v>451</v>
      </c>
      <c r="M467" t="n">
        <v>488</v>
      </c>
      <c r="N467" t="n">
        <v>496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</row>
    <row r="469">
      <c r="A469" t="inlineStr">
        <is>
          <t>PLTU PEC #8</t>
        </is>
      </c>
      <c r="B469" t="n">
        <v>610</v>
      </c>
      <c r="C469" t="n">
        <v>530</v>
      </c>
      <c r="D469" t="n">
        <v>501</v>
      </c>
      <c r="E469" t="n">
        <v>467</v>
      </c>
      <c r="F469" t="n">
        <v>397</v>
      </c>
      <c r="G469" t="n">
        <v>349</v>
      </c>
      <c r="H469" t="n">
        <v>352</v>
      </c>
      <c r="I469" t="n">
        <v>355</v>
      </c>
      <c r="J469" t="n">
        <v>354</v>
      </c>
      <c r="K469" t="n">
        <v>403</v>
      </c>
      <c r="L469" t="n">
        <v>450</v>
      </c>
      <c r="M469" t="n">
        <v>490</v>
      </c>
      <c r="N469" t="n">
        <v>489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</row>
    <row r="471">
      <c r="A471" t="inlineStr">
        <is>
          <t>PLTU PEC #3</t>
        </is>
      </c>
      <c r="B471" t="n">
        <v>811</v>
      </c>
      <c r="C471" t="n">
        <v>10</v>
      </c>
      <c r="D471" t="n">
        <v>10</v>
      </c>
      <c r="E471" t="n">
        <v>11</v>
      </c>
      <c r="F471" t="n">
        <v>11</v>
      </c>
      <c r="G471" t="n">
        <v>11</v>
      </c>
      <c r="H471" t="n">
        <v>11</v>
      </c>
      <c r="I471" t="n">
        <v>11</v>
      </c>
      <c r="J471" t="n">
        <v>11</v>
      </c>
      <c r="K471" t="n">
        <v>11</v>
      </c>
      <c r="L471" t="n">
        <v>11</v>
      </c>
      <c r="M471" t="n">
        <v>11</v>
      </c>
      <c r="N471" t="n">
        <v>11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</row>
    <row r="473">
      <c r="A473" t="inlineStr">
        <is>
          <t>PLTU Jawa Power #5</t>
        </is>
      </c>
      <c r="B473" t="n">
        <v>610</v>
      </c>
      <c r="C473" t="n">
        <v>401</v>
      </c>
      <c r="D473" t="n">
        <v>351</v>
      </c>
      <c r="E473" t="n">
        <v>350</v>
      </c>
      <c r="F473" t="n">
        <v>350</v>
      </c>
      <c r="G473" t="n">
        <v>351</v>
      </c>
      <c r="H473" t="n">
        <v>351</v>
      </c>
      <c r="I473" t="n">
        <v>350</v>
      </c>
      <c r="J473" t="n">
        <v>350</v>
      </c>
      <c r="K473" t="n">
        <v>395</v>
      </c>
      <c r="L473" t="n">
        <v>442</v>
      </c>
      <c r="M473" t="n">
        <v>489</v>
      </c>
      <c r="N473" t="n">
        <v>484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</row>
    <row r="475">
      <c r="A475" t="inlineStr">
        <is>
          <t>PLTU Jawa Power #6</t>
        </is>
      </c>
      <c r="B475" t="n">
        <v>610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</row>
    <row r="477">
      <c r="A477" t="inlineStr">
        <is>
          <t>PLTP IJEN #1</t>
        </is>
      </c>
      <c r="B477" t="n">
        <v>35.86615</v>
      </c>
      <c r="C477" t="n">
        <v>34</v>
      </c>
      <c r="D477" t="n">
        <v>34</v>
      </c>
      <c r="E477" t="n">
        <v>34</v>
      </c>
      <c r="F477" t="n">
        <v>34</v>
      </c>
      <c r="G477" t="n">
        <v>34</v>
      </c>
      <c r="H477" t="n">
        <v>34</v>
      </c>
      <c r="I477" t="n">
        <v>34</v>
      </c>
      <c r="J477" t="n">
        <v>34</v>
      </c>
      <c r="K477" t="n">
        <v>34</v>
      </c>
      <c r="L477" t="n">
        <v>34</v>
      </c>
      <c r="M477" t="n">
        <v>33</v>
      </c>
      <c r="N477" t="n">
        <v>34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</row>
    <row r="479">
      <c r="A479" t="inlineStr">
        <is>
          <t>RJTB SRB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</row>
    <row r="481">
      <c r="A481" t="inlineStr">
        <is>
          <t>PLTG BALI PSRAN #1</t>
        </is>
      </c>
      <c r="B481" t="n">
        <v>17.65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</row>
    <row r="483">
      <c r="A483" t="inlineStr">
        <is>
          <t>PLTG BALI PSRAN #2</t>
        </is>
      </c>
      <c r="B483" t="n">
        <v>18.3</v>
      </c>
      <c r="C483" t="n">
        <v>6.12</v>
      </c>
      <c r="D483" t="n">
        <v>6.45</v>
      </c>
      <c r="E483" t="n">
        <v>6.48</v>
      </c>
      <c r="F483" t="n">
        <v>5.96</v>
      </c>
      <c r="G483" t="n">
        <v>6.09</v>
      </c>
      <c r="H483" t="n">
        <v>5.73</v>
      </c>
      <c r="I483" t="n">
        <v>5.79</v>
      </c>
      <c r="J483" t="n">
        <v>6.24</v>
      </c>
      <c r="K483" t="n">
        <v>6.24</v>
      </c>
      <c r="L483" t="n">
        <v>5.95</v>
      </c>
      <c r="M483" t="n">
        <v>0</v>
      </c>
      <c r="N483" t="n">
        <v>0</v>
      </c>
      <c r="O483" t="n">
        <v>0</v>
      </c>
      <c r="P483" t="n">
        <v>3.7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</row>
    <row r="485">
      <c r="A485" t="inlineStr">
        <is>
          <t>PLTG BALI PSRAN #3</t>
        </is>
      </c>
      <c r="B485" t="n">
        <v>39.5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</row>
    <row r="487">
      <c r="A487" t="inlineStr">
        <is>
          <t>PLTG BALI PSRAN #4</t>
        </is>
      </c>
      <c r="B487" t="n">
        <v>36.15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</row>
    <row r="489">
      <c r="A489" t="inlineStr">
        <is>
          <t>PLTG BALI PSRAN #5</t>
        </is>
      </c>
      <c r="B489" t="n">
        <v>102.23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</row>
    <row r="491">
      <c r="A491" t="inlineStr">
        <is>
          <t>PLTG BALI PSRAN #6</t>
        </is>
      </c>
      <c r="B491" t="n">
        <v>102.23</v>
      </c>
      <c r="C491" t="n">
        <v>98.54000000000001</v>
      </c>
      <c r="D491" t="n">
        <v>99.36</v>
      </c>
      <c r="E491" t="n">
        <v>98.97</v>
      </c>
      <c r="F491" t="n">
        <v>99.23</v>
      </c>
      <c r="G491" t="n">
        <v>99.41</v>
      </c>
      <c r="H491" t="n">
        <v>99.31999999999999</v>
      </c>
      <c r="I491" t="n">
        <v>99.36</v>
      </c>
      <c r="J491" t="n">
        <v>99.27</v>
      </c>
      <c r="K491" t="n">
        <v>99.31999999999999</v>
      </c>
      <c r="L491" t="n">
        <v>99.33</v>
      </c>
      <c r="M491" t="n">
        <v>60.4</v>
      </c>
      <c r="N491" t="n">
        <v>99.7</v>
      </c>
      <c r="O491" t="n">
        <v>99.40000000000001</v>
      </c>
      <c r="P491" t="n">
        <v>99.2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</row>
    <row r="493">
      <c r="A493" t="inlineStr">
        <is>
          <t>PLTG GILIMANUK #1</t>
        </is>
      </c>
      <c r="B493" t="n">
        <v>130.44</v>
      </c>
      <c r="C493" t="n">
        <v>86.23</v>
      </c>
      <c r="D493" t="n">
        <v>86.14</v>
      </c>
      <c r="E493" t="n">
        <v>86.06999999999999</v>
      </c>
      <c r="F493" t="n">
        <v>86.05</v>
      </c>
      <c r="G493" t="n">
        <v>86.09999999999999</v>
      </c>
      <c r="H493" t="n">
        <v>86.06999999999999</v>
      </c>
      <c r="I493" t="n">
        <v>85.84</v>
      </c>
      <c r="J493" t="n">
        <v>86.40000000000001</v>
      </c>
      <c r="K493" t="n">
        <v>85.93000000000001</v>
      </c>
      <c r="L493" t="n">
        <v>85.7</v>
      </c>
      <c r="M493" t="n">
        <v>85.48</v>
      </c>
      <c r="N493" t="n">
        <v>85.48</v>
      </c>
      <c r="O493" t="n">
        <v>86.01000000000001</v>
      </c>
      <c r="P493" t="n">
        <v>85.98999999999999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</row>
    <row r="495">
      <c r="A495" t="inlineStr">
        <is>
          <t>PLTG PEMARON #1</t>
        </is>
      </c>
      <c r="B495" t="n">
        <v>40</v>
      </c>
      <c r="C495" t="n">
        <v>31.2</v>
      </c>
      <c r="D495" t="n">
        <v>30.4</v>
      </c>
      <c r="E495" t="n">
        <v>15.7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</row>
    <row r="497">
      <c r="A497" t="inlineStr">
        <is>
          <t>PLTG PEMARON #2</t>
        </is>
      </c>
      <c r="B497" t="n">
        <v>40</v>
      </c>
      <c r="C497" t="n">
        <v>30.67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</row>
    <row r="499">
      <c r="A499" t="inlineStr">
        <is>
          <t>PLTD BOT PESANGGARAN #1</t>
        </is>
      </c>
      <c r="B499" t="n">
        <v>16.67</v>
      </c>
      <c r="C499" t="n">
        <v>11.34</v>
      </c>
      <c r="D499" t="n">
        <v>11.07</v>
      </c>
      <c r="E499" t="n">
        <v>11.07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</row>
    <row r="501">
      <c r="A501" t="inlineStr">
        <is>
          <t>PLTD BOT PESANGGARAN #2</t>
        </is>
      </c>
      <c r="B501" t="n">
        <v>16.67</v>
      </c>
      <c r="C501" t="n">
        <v>10.77</v>
      </c>
      <c r="D501" t="n">
        <v>11</v>
      </c>
      <c r="E501" t="n">
        <v>11.47</v>
      </c>
      <c r="F501" t="n">
        <v>3.36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</row>
    <row r="503">
      <c r="A503" t="inlineStr">
        <is>
          <t>PLTD BOT PESANGGARAN #3</t>
        </is>
      </c>
      <c r="B503" t="n">
        <v>16.67</v>
      </c>
      <c r="C503" t="n">
        <v>10.85</v>
      </c>
      <c r="D503" t="n">
        <v>10.88</v>
      </c>
      <c r="E503" t="n">
        <v>11.38</v>
      </c>
      <c r="F503" t="n">
        <v>6.3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</row>
    <row r="505">
      <c r="A505" t="inlineStr">
        <is>
          <t>PLTDG PESANGGARAN B1 #1</t>
        </is>
      </c>
      <c r="B505" t="n">
        <v>15.2</v>
      </c>
      <c r="C505" t="n">
        <v>14.16</v>
      </c>
      <c r="D505" t="n">
        <v>13.92</v>
      </c>
      <c r="E505" t="n">
        <v>13.37</v>
      </c>
      <c r="F505" t="n">
        <v>13.86</v>
      </c>
      <c r="G505" t="n">
        <v>13.89</v>
      </c>
      <c r="H505" t="n">
        <v>13.73</v>
      </c>
      <c r="I505" t="n">
        <v>13.51</v>
      </c>
      <c r="J505" t="n">
        <v>14</v>
      </c>
      <c r="K505" t="n">
        <v>13.99</v>
      </c>
      <c r="L505" t="n">
        <v>13.53</v>
      </c>
      <c r="M505" t="n">
        <v>14.76</v>
      </c>
      <c r="N505" t="n">
        <v>14.03</v>
      </c>
      <c r="O505" t="n">
        <v>13.63</v>
      </c>
      <c r="P505" t="n">
        <v>13.54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</row>
    <row r="507">
      <c r="A507" t="inlineStr">
        <is>
          <t>PLTDG PESANGGARAN B1 #2</t>
        </is>
      </c>
      <c r="B507" t="n">
        <v>15.2</v>
      </c>
      <c r="C507" t="n">
        <v>13.5</v>
      </c>
      <c r="D507" t="n">
        <v>14.43</v>
      </c>
      <c r="E507" t="n">
        <v>14.01</v>
      </c>
      <c r="F507" t="n">
        <v>15.1</v>
      </c>
      <c r="G507" t="n">
        <v>13.39</v>
      </c>
      <c r="H507" t="n">
        <v>14.07</v>
      </c>
      <c r="I507" t="n">
        <v>14.39</v>
      </c>
      <c r="J507" t="n">
        <v>14.68</v>
      </c>
      <c r="K507" t="n">
        <v>14.08</v>
      </c>
      <c r="L507" t="n">
        <v>14.1</v>
      </c>
      <c r="M507" t="n">
        <v>13.9</v>
      </c>
      <c r="N507" t="n">
        <v>14.47</v>
      </c>
      <c r="O507" t="n">
        <v>15.14</v>
      </c>
      <c r="P507" t="n">
        <v>14.96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</row>
    <row r="509">
      <c r="A509" t="inlineStr">
        <is>
          <t>PLTDG PESANGGARAN B1 #3</t>
        </is>
      </c>
      <c r="B509" t="n">
        <v>15.2</v>
      </c>
      <c r="C509" t="n">
        <v>13.56</v>
      </c>
      <c r="D509" t="n">
        <v>14.2</v>
      </c>
      <c r="E509" t="n">
        <v>13.78</v>
      </c>
      <c r="F509" t="n">
        <v>13.73</v>
      </c>
      <c r="G509" t="n">
        <v>14.24</v>
      </c>
      <c r="H509" t="n">
        <v>12.83</v>
      </c>
      <c r="I509" t="n">
        <v>14.36</v>
      </c>
      <c r="J509" t="n">
        <v>14.12</v>
      </c>
      <c r="K509" t="n">
        <v>14.13</v>
      </c>
      <c r="L509" t="n">
        <v>14.18</v>
      </c>
      <c r="M509" t="n">
        <v>14.8</v>
      </c>
      <c r="N509" t="n">
        <v>13.58</v>
      </c>
      <c r="O509" t="n">
        <v>13.75</v>
      </c>
      <c r="P509" t="n">
        <v>14.14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</row>
    <row r="511">
      <c r="A511" t="inlineStr">
        <is>
          <t>PLTDG PESANGGARAN B2 #4</t>
        </is>
      </c>
      <c r="B511" t="n">
        <v>15.2</v>
      </c>
      <c r="C511" t="n">
        <v>13.58</v>
      </c>
      <c r="D511" t="n">
        <v>13.54</v>
      </c>
      <c r="E511" t="n">
        <v>13.76</v>
      </c>
      <c r="F511" t="n">
        <v>14.35</v>
      </c>
      <c r="G511" t="n">
        <v>13.98</v>
      </c>
      <c r="H511" t="n">
        <v>12.78</v>
      </c>
      <c r="I511" t="n">
        <v>13.4</v>
      </c>
      <c r="J511" t="n">
        <v>13.76</v>
      </c>
      <c r="K511" t="n">
        <v>13.99</v>
      </c>
      <c r="L511" t="n">
        <v>13.28</v>
      </c>
      <c r="M511" t="n">
        <v>14.22</v>
      </c>
      <c r="N511" t="n">
        <v>10.72</v>
      </c>
      <c r="O511" t="n">
        <v>14.06</v>
      </c>
      <c r="P511" t="n">
        <v>13.2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</row>
    <row r="513">
      <c r="A513" t="inlineStr">
        <is>
          <t>PLTDG PESANGGARAN B2 #5</t>
        </is>
      </c>
      <c r="B513" t="n">
        <v>15.2</v>
      </c>
      <c r="C513" t="n">
        <v>13.46</v>
      </c>
      <c r="D513" t="n">
        <v>15.19</v>
      </c>
      <c r="E513" t="n">
        <v>13.56</v>
      </c>
      <c r="F513" t="n">
        <v>13.81</v>
      </c>
      <c r="G513" t="n">
        <v>14.62</v>
      </c>
      <c r="H513" t="n">
        <v>14.33</v>
      </c>
      <c r="I513" t="n">
        <v>13.15</v>
      </c>
      <c r="J513" t="n">
        <v>13.17</v>
      </c>
      <c r="K513" t="n">
        <v>13.86</v>
      </c>
      <c r="L513" t="n">
        <v>14.43</v>
      </c>
      <c r="M513" t="n">
        <v>13.65</v>
      </c>
      <c r="N513" t="n">
        <v>13.54</v>
      </c>
      <c r="O513" t="n">
        <v>12.74</v>
      </c>
      <c r="P513" t="n">
        <v>13.88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</row>
    <row r="515">
      <c r="A515" t="inlineStr">
        <is>
          <t>PLTDG PESANGGARAN B2 #6</t>
        </is>
      </c>
      <c r="B515" t="n">
        <v>15.2</v>
      </c>
      <c r="C515" t="n">
        <v>14.51</v>
      </c>
      <c r="D515" t="n">
        <v>13.12</v>
      </c>
      <c r="E515" t="n">
        <v>13.65</v>
      </c>
      <c r="F515" t="n">
        <v>13.55</v>
      </c>
      <c r="G515" t="n">
        <v>14.54</v>
      </c>
      <c r="H515" t="n">
        <v>14.88</v>
      </c>
      <c r="I515" t="n">
        <v>13.68</v>
      </c>
      <c r="J515" t="n">
        <v>14.2</v>
      </c>
      <c r="K515" t="n">
        <v>14.26</v>
      </c>
      <c r="L515" t="n">
        <v>15.5</v>
      </c>
      <c r="M515" t="n">
        <v>14.36</v>
      </c>
      <c r="N515" t="n">
        <v>13.44</v>
      </c>
      <c r="O515" t="n">
        <v>14.43</v>
      </c>
      <c r="P515" t="n">
        <v>13.35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</row>
    <row r="517">
      <c r="A517" t="inlineStr">
        <is>
          <t>PLTDG PESANGGARAN B3 #7</t>
        </is>
      </c>
      <c r="B517" t="n">
        <v>15.2</v>
      </c>
      <c r="C517" t="n">
        <v>11.83</v>
      </c>
      <c r="D517" t="n">
        <v>13.03</v>
      </c>
      <c r="E517" t="n">
        <v>13.55</v>
      </c>
      <c r="F517" t="n">
        <v>13.08</v>
      </c>
      <c r="G517" t="n">
        <v>12.9</v>
      </c>
      <c r="H517" t="n">
        <v>13.64</v>
      </c>
      <c r="I517" t="n">
        <v>13.49</v>
      </c>
      <c r="J517" t="n">
        <v>13.82</v>
      </c>
      <c r="K517" t="n">
        <v>13.56</v>
      </c>
      <c r="L517" t="n">
        <v>13.64</v>
      </c>
      <c r="M517" t="n">
        <v>13.17</v>
      </c>
      <c r="N517" t="n">
        <v>7.56</v>
      </c>
      <c r="O517" t="n">
        <v>13.76</v>
      </c>
      <c r="P517" t="n">
        <v>14.03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</row>
    <row r="519">
      <c r="A519" t="inlineStr">
        <is>
          <t>PLTDG PESANGGARAN B3 #8</t>
        </is>
      </c>
      <c r="B519" t="n">
        <v>15.2</v>
      </c>
      <c r="C519" t="n">
        <v>14.55</v>
      </c>
      <c r="D519" t="n">
        <v>14.79</v>
      </c>
      <c r="E519" t="n">
        <v>13.96</v>
      </c>
      <c r="F519" t="n">
        <v>14.64</v>
      </c>
      <c r="G519" t="n">
        <v>14.03</v>
      </c>
      <c r="H519" t="n">
        <v>13.8</v>
      </c>
      <c r="I519" t="n">
        <v>14.5</v>
      </c>
      <c r="J519" t="n">
        <v>14.02</v>
      </c>
      <c r="K519" t="n">
        <v>14.1</v>
      </c>
      <c r="L519" t="n">
        <v>14.44</v>
      </c>
      <c r="M519" t="n">
        <v>13.23</v>
      </c>
      <c r="N519" t="n">
        <v>13.06</v>
      </c>
      <c r="O519" t="n">
        <v>14.47</v>
      </c>
      <c r="P519" t="n">
        <v>13.76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</row>
    <row r="521">
      <c r="A521" t="inlineStr">
        <is>
          <t>PLTDG PESANGGARAN B3 #9</t>
        </is>
      </c>
      <c r="B521" t="n">
        <v>15.2</v>
      </c>
      <c r="C521" t="n">
        <v>13.53</v>
      </c>
      <c r="D521" t="n">
        <v>13.03</v>
      </c>
      <c r="E521" t="n">
        <v>12.45</v>
      </c>
      <c r="F521" t="n">
        <v>13.21</v>
      </c>
      <c r="G521" t="n">
        <v>12.91</v>
      </c>
      <c r="H521" t="n">
        <v>13.5</v>
      </c>
      <c r="I521" t="n">
        <v>13.05</v>
      </c>
      <c r="J521" t="n">
        <v>12.8</v>
      </c>
      <c r="K521" t="n">
        <v>12.6</v>
      </c>
      <c r="L521" t="n">
        <v>11.99</v>
      </c>
      <c r="M521" t="n">
        <v>12.54</v>
      </c>
      <c r="N521" t="n">
        <v>13.72</v>
      </c>
      <c r="O521" t="n">
        <v>13.24</v>
      </c>
      <c r="P521" t="n">
        <v>13.79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</row>
    <row r="523">
      <c r="A523" t="inlineStr">
        <is>
          <t>PLTDG PESANGGARAN B4 #10</t>
        </is>
      </c>
      <c r="B523" t="n">
        <v>15.2</v>
      </c>
      <c r="C523" t="n">
        <v>14.29</v>
      </c>
      <c r="D523" t="n">
        <v>12.33</v>
      </c>
      <c r="E523" t="n">
        <v>13.21</v>
      </c>
      <c r="F523" t="n">
        <v>13.29</v>
      </c>
      <c r="G523" t="n">
        <v>12.05</v>
      </c>
      <c r="H523" t="n">
        <v>13.29</v>
      </c>
      <c r="I523" t="n">
        <v>13.08</v>
      </c>
      <c r="J523" t="n">
        <v>12.95</v>
      </c>
      <c r="K523" t="n">
        <v>13.16</v>
      </c>
      <c r="L523" t="n">
        <v>13.18</v>
      </c>
      <c r="M523" t="n">
        <v>13.53</v>
      </c>
      <c r="N523" t="n">
        <v>13.03</v>
      </c>
      <c r="O523" t="n">
        <v>13.31</v>
      </c>
      <c r="P523" t="n">
        <v>12.88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</row>
    <row r="525">
      <c r="A525" t="inlineStr">
        <is>
          <t>PLTDG PESANGGARAN B4 #11</t>
        </is>
      </c>
      <c r="B525" t="n">
        <v>15.2</v>
      </c>
      <c r="C525" t="n">
        <v>15.14</v>
      </c>
      <c r="D525" t="n">
        <v>14.98</v>
      </c>
      <c r="E525" t="n">
        <v>14.86</v>
      </c>
      <c r="F525" t="n">
        <v>15.26</v>
      </c>
      <c r="G525" t="n">
        <v>14.61</v>
      </c>
      <c r="H525" t="n">
        <v>13.31</v>
      </c>
      <c r="I525" t="n">
        <v>14.45</v>
      </c>
      <c r="J525" t="n">
        <v>14.21</v>
      </c>
      <c r="K525" t="n">
        <v>14.58</v>
      </c>
      <c r="L525" t="n">
        <v>14.4</v>
      </c>
      <c r="M525" t="n">
        <v>14.92</v>
      </c>
      <c r="N525" t="n">
        <v>14.51</v>
      </c>
      <c r="O525" t="n">
        <v>13.76</v>
      </c>
      <c r="P525" t="n">
        <v>13.73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</row>
    <row r="527">
      <c r="A527" t="inlineStr">
        <is>
          <t>PLTDG PESANGGARAN B4 #12</t>
        </is>
      </c>
      <c r="B527" t="n">
        <v>15.2</v>
      </c>
      <c r="C527" t="n">
        <v>14</v>
      </c>
      <c r="D527" t="n">
        <v>14.09</v>
      </c>
      <c r="E527" t="n">
        <v>14.28</v>
      </c>
      <c r="F527" t="n">
        <v>14.43</v>
      </c>
      <c r="G527" t="n">
        <v>14.24</v>
      </c>
      <c r="H527" t="n">
        <v>13.23</v>
      </c>
      <c r="I527" t="n">
        <v>13.48</v>
      </c>
      <c r="J527" t="n">
        <v>13.54</v>
      </c>
      <c r="K527" t="n">
        <v>13.26</v>
      </c>
      <c r="L527" t="n">
        <v>13.4</v>
      </c>
      <c r="M527" t="n">
        <v>13.46</v>
      </c>
      <c r="N527" t="n">
        <v>13.73</v>
      </c>
      <c r="O527" t="n">
        <v>14.03</v>
      </c>
      <c r="P527" t="n">
        <v>14.1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</row>
    <row r="529">
      <c r="A529" t="inlineStr">
        <is>
          <t>PLTU CELUKAN BAWANG #1</t>
        </is>
      </c>
      <c r="B529" t="n">
        <v>125</v>
      </c>
      <c r="C529" t="n">
        <v>125.99</v>
      </c>
      <c r="D529" t="n">
        <v>124.27</v>
      </c>
      <c r="E529" t="n">
        <v>124.68</v>
      </c>
      <c r="F529" t="n">
        <v>97.88</v>
      </c>
      <c r="G529" t="n">
        <v>62.92</v>
      </c>
      <c r="H529" t="n">
        <v>62.71</v>
      </c>
      <c r="I529" t="n">
        <v>62.86</v>
      </c>
      <c r="J529" t="n">
        <v>62.68</v>
      </c>
      <c r="K529" t="n">
        <v>62.93</v>
      </c>
      <c r="L529" t="n">
        <v>63.58</v>
      </c>
      <c r="M529" t="n">
        <v>70.06999999999999</v>
      </c>
      <c r="N529" t="n">
        <v>70.09999999999999</v>
      </c>
      <c r="O529" t="n">
        <v>69.11</v>
      </c>
      <c r="P529" t="n">
        <v>69.77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</row>
    <row r="531">
      <c r="A531" t="inlineStr">
        <is>
          <t>PLTU CELUKAN BAWANG #2</t>
        </is>
      </c>
      <c r="B531" t="n">
        <v>125</v>
      </c>
      <c r="C531" t="n">
        <v>123.21</v>
      </c>
      <c r="D531" t="n">
        <v>124.7</v>
      </c>
      <c r="E531" t="n">
        <v>124.49</v>
      </c>
      <c r="F531" t="n">
        <v>95.01000000000001</v>
      </c>
      <c r="G531" t="n">
        <v>61.78</v>
      </c>
      <c r="H531" t="n">
        <v>61.89</v>
      </c>
      <c r="I531" t="n">
        <v>62.75</v>
      </c>
      <c r="J531" t="n">
        <v>61.42</v>
      </c>
      <c r="K531" t="n">
        <v>61.88</v>
      </c>
      <c r="L531" t="n">
        <v>63.04</v>
      </c>
      <c r="M531" t="n">
        <v>68.43000000000001</v>
      </c>
      <c r="N531" t="n">
        <v>69.2</v>
      </c>
      <c r="O531" t="n">
        <v>68.95</v>
      </c>
      <c r="P531" t="n">
        <v>69.29000000000001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</row>
    <row r="533">
      <c r="A533" t="inlineStr">
        <is>
          <t>PLTU CELUKAN BAWANG #3</t>
        </is>
      </c>
      <c r="B533" t="n">
        <v>130</v>
      </c>
      <c r="C533" t="n">
        <v>131.42</v>
      </c>
      <c r="D533" t="n">
        <v>130.06</v>
      </c>
      <c r="E533" t="n">
        <v>129.54</v>
      </c>
      <c r="F533" t="n">
        <v>100.72</v>
      </c>
      <c r="G533" t="n">
        <v>63.83</v>
      </c>
      <c r="H533" t="n">
        <v>66.09</v>
      </c>
      <c r="I533" t="n">
        <v>65.48</v>
      </c>
      <c r="J533" t="n">
        <v>66.23</v>
      </c>
      <c r="K533" t="n">
        <v>66.48</v>
      </c>
      <c r="L533" t="n">
        <v>65.59999999999999</v>
      </c>
      <c r="M533" t="n">
        <v>69.44</v>
      </c>
      <c r="N533" t="n">
        <v>71.09999999999999</v>
      </c>
      <c r="O533" t="n">
        <v>69.48</v>
      </c>
      <c r="P533" t="n">
        <v>70.41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</row>
    <row r="535">
      <c r="A535" t="inlineStr">
        <is>
          <t>PLTD SEWA PEMARON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</row>
    <row r="537">
      <c r="A537" t="inlineStr">
        <is>
          <t>PLTD SEWA PEMARON TAHAP 2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</row>
    <row r="539">
      <c r="A539" t="inlineStr">
        <is>
          <t>PLTS BALI TIMUR</t>
        </is>
      </c>
      <c r="B539" t="n">
        <v>22.2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0.36</v>
      </c>
      <c r="P539" t="n">
        <v>3.04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</row>
    <row r="541">
      <c r="A541" t="inlineStr">
        <is>
          <t>PLTD SEWA KUBU STAGE-1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</row>
    <row r="543">
      <c r="A543" t="inlineStr">
        <is>
          <t>PLTD SEWA KUBU STAGE-2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</row>
    <row r="545">
      <c r="A545" t="inlineStr">
        <is>
          <t>Total</t>
        </is>
      </c>
      <c r="B545" t="inlineStr"/>
      <c r="C545" t="n">
        <v>25605.9916</v>
      </c>
      <c r="D545" t="n">
        <v>25423.01693</v>
      </c>
      <c r="E545" t="n">
        <v>25379.85157</v>
      </c>
      <c r="F545" t="n">
        <v>24909.24505</v>
      </c>
      <c r="G545" t="n">
        <v>24569.35191</v>
      </c>
      <c r="H545" t="n">
        <v>24461.51241</v>
      </c>
      <c r="I545" t="n">
        <v>24469.7777</v>
      </c>
      <c r="J545" t="n">
        <v>24591.52878</v>
      </c>
      <c r="K545" t="n">
        <v>25426.01585</v>
      </c>
      <c r="L545" t="n">
        <v>26025.24211</v>
      </c>
      <c r="M545" t="n">
        <v>26602.92807</v>
      </c>
      <c r="N545" t="n">
        <v>26489.78626</v>
      </c>
      <c r="O545" t="n">
        <v>559.63</v>
      </c>
      <c r="P545" t="n">
        <v>566.76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9"/>
  <sheetViews>
    <sheetView topLeftCell="A3" workbookViewId="0">
      <selection activeCell="C23" sqref="C23"/>
    </sheetView>
  </sheetViews>
  <sheetFormatPr baseColWidth="8" defaultRowHeight="14.4"/>
  <cols>
    <col width="14.88671875" customWidth="1" min="3" max="3"/>
    <col width="19.109375" bestFit="1" customWidth="1" min="4" max="4"/>
  </cols>
  <sheetData>
    <row r="1">
      <c r="A1" s="4" t="inlineStr">
        <is>
          <t>MT</t>
        </is>
      </c>
      <c r="F1" t="inlineStr">
        <is>
          <t>CONS</t>
        </is>
      </c>
      <c r="G1" t="inlineStr">
        <is>
          <t>BBM</t>
        </is>
      </c>
      <c r="H1" t="inlineStr">
        <is>
          <t>BBG</t>
        </is>
      </c>
    </row>
    <row r="2">
      <c r="A2" t="inlineStr">
        <is>
          <t xml:space="preserve">1GT konsumsi nya 31 BBTUD/ -&gt;&gt; 100 MW </t>
        </is>
      </c>
      <c r="F2" t="inlineStr">
        <is>
          <t>125 MW</t>
        </is>
      </c>
      <c r="G2" t="inlineStr">
        <is>
          <t>40 kL</t>
        </is>
      </c>
      <c r="H2" t="inlineStr">
        <is>
          <t>40 BBTUD</t>
        </is>
      </c>
    </row>
    <row r="3">
      <c r="F3" t="inlineStr">
        <is>
          <t>100 MW</t>
        </is>
      </c>
      <c r="G3" t="inlineStr">
        <is>
          <t>32 kL</t>
        </is>
      </c>
      <c r="H3" t="inlineStr">
        <is>
          <t>30 BBTUD</t>
        </is>
      </c>
    </row>
    <row r="4">
      <c r="B4" t="inlineStr">
        <is>
          <t xml:space="preserve">PGN </t>
        </is>
      </c>
      <c r="C4" t="inlineStr">
        <is>
          <t>PEP</t>
        </is>
      </c>
      <c r="D4" t="inlineStr">
        <is>
          <t>18-12-2025</t>
        </is>
      </c>
    </row>
    <row r="5">
      <c r="A5" t="n">
        <v>0.3</v>
      </c>
      <c r="B5" t="n">
        <v>15000</v>
      </c>
      <c r="C5" t="n">
        <v>17000</v>
      </c>
      <c r="D5">
        <f>SUM(B5:C5)</f>
        <v/>
      </c>
      <c r="E5" t="inlineStr">
        <is>
          <t>kondisi tengah hari(0.00 WIB) PGN selalu diplokana 15000 dan pep menyesuaikan 1 GT</t>
        </is>
      </c>
    </row>
    <row r="6">
      <c r="A6" t="n">
        <v>1</v>
      </c>
    </row>
    <row r="7">
      <c r="A7" t="n">
        <v>1.7</v>
      </c>
      <c r="G7" t="inlineStr">
        <is>
          <t>GT</t>
        </is>
      </c>
      <c r="H7" t="inlineStr">
        <is>
          <t>PEP KUOTA</t>
        </is>
      </c>
      <c r="I7" t="inlineStr">
        <is>
          <t>SELISIH TANPA PEP</t>
        </is>
      </c>
    </row>
    <row r="8">
      <c r="A8" t="n">
        <v>2.4</v>
      </c>
      <c r="G8">
        <f>31*4</f>
        <v/>
      </c>
      <c r="H8" t="n">
        <v>17</v>
      </c>
      <c r="I8">
        <f>G8-H8</f>
        <v/>
      </c>
      <c r="J8">
        <f>G8/31</f>
        <v/>
      </c>
      <c r="K8" t="inlineStr">
        <is>
          <t>ini pemakaian 4 GT muaratawar</t>
        </is>
      </c>
    </row>
    <row r="9">
      <c r="A9" t="n">
        <v>3.1</v>
      </c>
      <c r="G9">
        <f>31*3</f>
        <v/>
      </c>
      <c r="H9" t="n">
        <v>17</v>
      </c>
      <c r="I9">
        <f>G9-H9</f>
        <v/>
      </c>
      <c r="K9" t="inlineStr">
        <is>
          <t>ini pemakaian 3 GT muaratawar</t>
        </is>
      </c>
    </row>
    <row r="10">
      <c r="A10" t="n">
        <v>3.8</v>
      </c>
      <c r="G10">
        <f>75+17</f>
        <v/>
      </c>
      <c r="H10">
        <f>G10/3</f>
        <v/>
      </c>
    </row>
    <row r="11">
      <c r="A11" t="n">
        <v>4.5</v>
      </c>
    </row>
    <row r="12">
      <c r="A12" t="n">
        <v>5.2</v>
      </c>
    </row>
    <row r="13">
      <c r="A13" t="n">
        <v>5.9</v>
      </c>
    </row>
    <row r="14">
      <c r="A14" t="n">
        <v>6.6</v>
      </c>
    </row>
    <row r="15">
      <c r="A15" t="inlineStr">
        <is>
          <t>CNG</t>
        </is>
      </c>
      <c r="B15" t="n">
        <v>18</v>
      </c>
    </row>
    <row r="16">
      <c r="A16" t="inlineStr">
        <is>
          <t>NR</t>
        </is>
      </c>
    </row>
    <row r="17">
      <c r="A17" t="inlineStr">
        <is>
          <t>LINE PERTAGAS</t>
        </is>
      </c>
      <c r="E17" t="inlineStr">
        <is>
          <t>50 bbtud</t>
        </is>
      </c>
    </row>
    <row r="18">
      <c r="A18" t="inlineStr">
        <is>
          <t>MT startup menggunakan PGN gak bisa menggunakan PEP</t>
        </is>
      </c>
    </row>
    <row r="20">
      <c r="A20" s="4" t="inlineStr">
        <is>
          <t>CL</t>
        </is>
      </c>
      <c r="B20" t="inlineStr">
        <is>
          <t>compresor</t>
        </is>
      </c>
      <c r="C20" t="inlineStr">
        <is>
          <t>Mw</t>
        </is>
      </c>
      <c r="D20" t="inlineStr">
        <is>
          <t>KEBUTUHAN GAS PGN</t>
        </is>
      </c>
      <c r="F20" t="inlineStr">
        <is>
          <t>MW/COMP</t>
        </is>
      </c>
      <c r="G20" t="inlineStr">
        <is>
          <t>catatan</t>
        </is>
      </c>
    </row>
    <row r="21">
      <c r="A21" t="inlineStr">
        <is>
          <t>PGN</t>
        </is>
      </c>
      <c r="B21" t="n">
        <v>1</v>
      </c>
      <c r="C21" t="n">
        <v>14</v>
      </c>
      <c r="D21">
        <f>14*B21</f>
        <v/>
      </c>
      <c r="E21" t="inlineStr">
        <is>
          <t>BBTUD</t>
        </is>
      </c>
      <c r="F21" t="inlineStr">
        <is>
          <t>35-40</t>
        </is>
      </c>
      <c r="G21" t="inlineStr">
        <is>
          <t>untuk 2 compresor pertama wajib menggunakan PGN</t>
        </is>
      </c>
    </row>
    <row r="22">
      <c r="B22" t="n">
        <v>2</v>
      </c>
      <c r="C22" t="n">
        <v>60</v>
      </c>
      <c r="D22">
        <f>14*B22</f>
        <v/>
      </c>
      <c r="F22" t="n">
        <v>72</v>
      </c>
      <c r="G22" t="inlineStr">
        <is>
          <t>1 bbtud 3 mw st 5 MW</t>
        </is>
      </c>
    </row>
    <row r="23">
      <c r="B23" t="n">
        <v>3</v>
      </c>
      <c r="C23" t="n">
        <v>120</v>
      </c>
      <c r="D23">
        <f>14*B23</f>
        <v/>
      </c>
      <c r="F23">
        <f>F22+58</f>
        <v/>
      </c>
      <c r="G23" t="inlineStr">
        <is>
          <t>phe sama dengan comp.</t>
        </is>
      </c>
    </row>
    <row r="24">
      <c r="B24" t="n">
        <v>4</v>
      </c>
      <c r="C24" t="n">
        <v>180</v>
      </c>
      <c r="D24">
        <f>14*B24</f>
        <v/>
      </c>
      <c r="F24">
        <f>F23+55</f>
        <v/>
      </c>
      <c r="G24" t="inlineStr">
        <is>
          <t>pipa phe max sampai 40 bbtud</t>
        </is>
      </c>
    </row>
    <row r="25">
      <c r="A25" t="inlineStr">
        <is>
          <t>PHE</t>
        </is>
      </c>
      <c r="B25" t="inlineStr">
        <is>
          <t>SESUAI NOMINASI DARI PHE OHSES</t>
        </is>
      </c>
      <c r="G25" t="inlineStr">
        <is>
          <t>tekanan max 40 bar 580 psi</t>
        </is>
      </c>
    </row>
    <row r="27">
      <c r="A27" s="4" t="inlineStr">
        <is>
          <t>PRIOK</t>
        </is>
      </c>
    </row>
    <row r="28">
      <c r="A28" t="inlineStr">
        <is>
          <t>PGN</t>
        </is>
      </c>
      <c r="B28" t="inlineStr">
        <is>
          <t>FLOW MIN</t>
        </is>
      </c>
      <c r="C28" t="n">
        <v>10</v>
      </c>
      <c r="F28" t="inlineStr">
        <is>
          <t>blok1/2</t>
        </is>
      </c>
      <c r="G28" t="n">
        <v>80</v>
      </c>
      <c r="H28" t="n">
        <v>125</v>
      </c>
    </row>
    <row r="29">
      <c r="B29" t="inlineStr">
        <is>
          <t>FLOW MAX</t>
        </is>
      </c>
      <c r="C29" t="n">
        <v>100</v>
      </c>
      <c r="F29" t="inlineStr">
        <is>
          <t>blok3</t>
        </is>
      </c>
      <c r="G29" t="n">
        <v>150</v>
      </c>
      <c r="H29" t="n">
        <v>235</v>
      </c>
    </row>
    <row r="30">
      <c r="C30" t="inlineStr">
        <is>
          <t>MAX NR</t>
        </is>
      </c>
    </row>
    <row r="31">
      <c r="A31" t="inlineStr">
        <is>
          <t>LINE 350 PRIOK</t>
        </is>
      </c>
      <c r="C31" t="inlineStr">
        <is>
          <t>256 MMSCF</t>
        </is>
      </c>
    </row>
    <row r="33">
      <c r="A33" s="4" t="inlineStr">
        <is>
          <t>MKRANG</t>
        </is>
      </c>
      <c r="C33" t="inlineStr">
        <is>
          <t>MAX(MMSCFD)</t>
        </is>
      </c>
      <c r="D33" t="inlineStr">
        <is>
          <t>KOEFISION KE MMSCFD KE BBTUD</t>
        </is>
      </c>
      <c r="E33" t="inlineStr">
        <is>
          <t>BBTUD</t>
        </is>
      </c>
    </row>
    <row r="34">
      <c r="A34" t="inlineStr">
        <is>
          <t>LINE 350 MK</t>
        </is>
      </c>
      <c r="B34" t="inlineStr">
        <is>
          <t>B1</t>
        </is>
      </c>
      <c r="C34" t="inlineStr">
        <is>
          <t>85-90</t>
        </is>
      </c>
      <c r="D34" t="n">
        <v>1.03</v>
      </c>
      <c r="E34">
        <f>D34*LEFT(C34,2)</f>
        <v/>
      </c>
    </row>
    <row r="35">
      <c r="A35" t="inlineStr">
        <is>
          <t>LINE 620</t>
        </is>
      </c>
      <c r="B35" t="inlineStr">
        <is>
          <t>B2</t>
        </is>
      </c>
      <c r="C35" t="n">
        <v>55</v>
      </c>
      <c r="D35" t="n">
        <v>1.03</v>
      </c>
      <c r="E35">
        <f>D35*LEFT(C35,2)</f>
        <v/>
      </c>
    </row>
    <row r="36">
      <c r="A36" t="inlineStr">
        <is>
          <t>LINE PIKER</t>
        </is>
      </c>
      <c r="B36" t="inlineStr">
        <is>
          <t>B3</t>
        </is>
      </c>
      <c r="C36" t="n">
        <v>85</v>
      </c>
      <c r="D36" t="n">
        <v>1.03</v>
      </c>
      <c r="E36">
        <f>D36*LEFT(C36,2)</f>
        <v/>
      </c>
    </row>
    <row r="39">
      <c r="A39" t="inlineStr">
        <is>
          <t>TOTAL MAX NR MK MT PR = 500 MMSCFD</t>
        </is>
      </c>
    </row>
    <row r="40">
      <c r="A40" t="inlineStr">
        <is>
          <t>KENAPA 500 KARENA NR MENYEDIAKAN 3 TRAIN(JALUR) 1 JALURNYA 250 MMSCF</t>
        </is>
      </c>
    </row>
    <row r="42">
      <c r="A42" t="inlineStr">
        <is>
          <t>PRIOK BLOK-4</t>
        </is>
      </c>
    </row>
    <row r="43">
      <c r="A43" t="inlineStr">
        <is>
          <t>min</t>
        </is>
      </c>
      <c r="B43" t="n">
        <v>530</v>
      </c>
    </row>
    <row r="45">
      <c r="A45" t="inlineStr">
        <is>
          <t>GRATi</t>
        </is>
      </c>
    </row>
    <row r="46">
      <c r="A46" t="inlineStr">
        <is>
          <t>3 combine</t>
        </is>
      </c>
      <c r="B46" t="n">
        <v>300</v>
      </c>
      <c r="C46" t="n">
        <v>100</v>
      </c>
      <c r="D46" t="n">
        <v>50</v>
      </c>
    </row>
    <row r="48">
      <c r="A48" t="inlineStr">
        <is>
          <t>tbrok</t>
        </is>
      </c>
    </row>
    <row r="49">
      <c r="A49" t="inlineStr">
        <is>
          <t>CNG</t>
        </is>
      </c>
      <c r="B49" t="n">
        <v>16</v>
      </c>
    </row>
    <row r="50">
      <c r="A50" t="inlineStr">
        <is>
          <t>gresik</t>
        </is>
      </c>
    </row>
    <row r="51">
      <c r="A51" t="inlineStr">
        <is>
          <t>CNG</t>
        </is>
      </c>
      <c r="B51" t="n">
        <v>24</v>
      </c>
    </row>
    <row r="54">
      <c r="A54" t="inlineStr">
        <is>
          <t>jakban</t>
        </is>
      </c>
      <c r="B54" t="inlineStr">
        <is>
          <t>kembangan, cilegon</t>
        </is>
      </c>
    </row>
    <row r="55">
      <c r="A55" t="inlineStr">
        <is>
          <t>jabar</t>
        </is>
      </c>
      <c r="B55" t="inlineStr">
        <is>
          <t>cirata</t>
        </is>
      </c>
    </row>
    <row r="56">
      <c r="A56" t="inlineStr">
        <is>
          <t>jateng</t>
        </is>
      </c>
      <c r="B56" t="inlineStr">
        <is>
          <t>pemalang</t>
        </is>
      </c>
    </row>
    <row r="57">
      <c r="A57" t="inlineStr">
        <is>
          <t>jatim</t>
        </is>
      </c>
      <c r="B57" t="inlineStr">
        <is>
          <t>grati ngimbang</t>
        </is>
      </c>
    </row>
    <row r="60">
      <c r="A60" t="inlineStr">
        <is>
          <t>SS PRATU-SALAK-CIBNG #1&amp;2-DEPOK #1,2</t>
        </is>
      </c>
    </row>
    <row r="61">
      <c r="A61" t="inlineStr">
        <is>
          <t>SS MKRNG-DKSBI 1-MKRNG 1,2-CWANG 2,3</t>
        </is>
      </c>
    </row>
    <row r="62">
      <c r="A62" t="inlineStr">
        <is>
          <t>SS BKASI IBT 1,3 - CIBNG 3-NTMBN 1-2</t>
        </is>
      </c>
    </row>
    <row r="69">
      <c r="I69" t="n">
        <v>760</v>
      </c>
      <c r="K69" t="inlineStr">
        <is>
          <t>rencana perbaikan 24 jam</t>
        </is>
      </c>
      <c r="L69" t="inlineStr">
        <is>
          <t>kebocoran fuel gas suplay dengan pak adha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B130"/>
  <sheetViews>
    <sheetView workbookViewId="0">
      <selection activeCell="B33" sqref="B33"/>
    </sheetView>
  </sheetViews>
  <sheetFormatPr baseColWidth="8" defaultRowHeight="14.4"/>
  <sheetData>
    <row r="2">
      <c r="B2">
        <f>"1. OUTAGE (TOTAL ="&amp;SUM(A4:A30)&amp;") MW"</f>
        <v/>
      </c>
    </row>
    <row r="4">
      <c r="B4" t="inlineStr">
        <is>
          <t>PLTU JAWA 9&amp;10 #1 :</t>
        </is>
      </c>
    </row>
    <row r="5">
      <c r="A5" t="n">
        <v>1000</v>
      </c>
      <c r="B5" t="inlineStr">
        <is>
          <t>FO2 - Boiler ash cleaning, estimasi perbaikan s.d tgl 02-01-2026</t>
        </is>
      </c>
    </row>
    <row r="7">
      <c r="B7" t="inlineStr">
        <is>
          <t>PLTU JAWA POWER #6 :</t>
        </is>
      </c>
    </row>
    <row r="8">
      <c r="A8" t="n">
        <v>610</v>
      </c>
      <c r="B8" t="inlineStr">
        <is>
          <t>FO1 - Gangguan Kebocoran Boiler, estimasi perbaikan s.d 03-01-2026</t>
        </is>
      </c>
    </row>
    <row r="10">
      <c r="B10" t="inlineStr">
        <is>
          <t>PLTU PEC #8</t>
        </is>
      </c>
    </row>
    <row r="11">
      <c r="A11" t="n">
        <v>610</v>
      </c>
      <c r="B11" t="inlineStr">
        <is>
          <t>FO1 - Gangguan Kebocoran Boiler, estimasi perbaikan s.d 04-01-2026</t>
        </is>
      </c>
    </row>
    <row r="13">
      <c r="B13" t="inlineStr">
        <is>
          <t>PLTU TJATI #3  :</t>
        </is>
      </c>
    </row>
    <row r="14">
      <c r="A14" t="n">
        <v>661.1</v>
      </c>
      <c r="B14" t="inlineStr">
        <is>
          <t>PO - Overhaul Class A, s.d tgl 08-01-2026</t>
        </is>
      </c>
    </row>
    <row r="16">
      <c r="B16" t="inlineStr">
        <is>
          <t>PLTU RMBNG #2  :</t>
        </is>
      </c>
    </row>
    <row r="17">
      <c r="A17" t="n">
        <v>280</v>
      </c>
      <c r="B17" t="inlineStr">
        <is>
          <t>PO - SI+ : Simple Inspection, s.d tgl 11-01-2026</t>
        </is>
      </c>
    </row>
    <row r="19">
      <c r="B19" t="inlineStr">
        <is>
          <t>PLTU CLCAP #1 :</t>
        </is>
      </c>
    </row>
    <row r="20">
      <c r="A20" t="n">
        <v>281</v>
      </c>
      <c r="B20" t="inlineStr">
        <is>
          <t>PO - Overhaul Grade B, s.d tgl 31-12-2025</t>
        </is>
      </c>
    </row>
    <row r="22">
      <c r="B22" t="inlineStr">
        <is>
          <t>PLTU CLCAP #3 :</t>
        </is>
      </c>
    </row>
    <row r="23">
      <c r="A23" t="n">
        <v>614</v>
      </c>
      <c r="B23" t="inlineStr">
        <is>
          <t>PO - Overhoul grade A, s.d tgl 08-02-2026</t>
        </is>
      </c>
    </row>
    <row r="25">
      <c r="B25" t="inlineStr">
        <is>
          <t>PLTU PITON #9 :</t>
        </is>
      </c>
    </row>
    <row r="26">
      <c r="A26" t="n">
        <v>615</v>
      </c>
      <c r="B26" t="inlineStr">
        <is>
          <t>PO - Mean Inspection s.d 31-01-2026</t>
        </is>
      </c>
    </row>
    <row r="28">
      <c r="B28" t="inlineStr">
        <is>
          <t>PLTU PEC #7 :</t>
        </is>
      </c>
    </row>
    <row r="29">
      <c r="A29" t="n">
        <v>610</v>
      </c>
      <c r="B29" t="inlineStr">
        <is>
          <t>PO - Planned Outage s.d 01-02-2026</t>
        </is>
      </c>
    </row>
    <row r="31">
      <c r="B31" t="inlineStr">
        <is>
          <t>2. DERATING (TOTAL = 4.037 MW)</t>
        </is>
      </c>
    </row>
    <row r="33">
      <c r="B33" t="inlineStr">
        <is>
          <t>PLTU SRLYA #1 :</t>
        </is>
      </c>
    </row>
    <row r="34">
      <c r="A34">
        <f>371.5-150</f>
        <v/>
      </c>
      <c r="B34" t="inlineStr">
        <is>
          <t>FD1 - Beban mampu maks 150 MW (Derating 221 MW). Perbaikan BC 13.</t>
        </is>
      </c>
    </row>
    <row r="36">
      <c r="B36" t="inlineStr">
        <is>
          <t>PLTU SRLYA #2 :</t>
        </is>
      </c>
    </row>
    <row r="37">
      <c r="A37">
        <f>371.5-130</f>
        <v/>
      </c>
      <c r="B37" t="inlineStr">
        <is>
          <t>FD1 - Beban mampu maks 130 MW (Derating 241 MW). Perbaikan BC 13.</t>
        </is>
      </c>
    </row>
    <row r="39">
      <c r="B39" t="inlineStr">
        <is>
          <t>PLTU SRLYA #3 :</t>
        </is>
      </c>
    </row>
    <row r="40">
      <c r="A40">
        <f>371.5-206</f>
        <v/>
      </c>
      <c r="B40" t="inlineStr">
        <is>
          <t>FD1 - Beban mampu maks 149 MW (Derating 206 MW). Perbaikan BC 13.</t>
        </is>
      </c>
    </row>
    <row r="42">
      <c r="B42" t="inlineStr">
        <is>
          <t>PLTU SRLYA #4 :</t>
        </is>
      </c>
    </row>
    <row r="43">
      <c r="A43">
        <f>371.5-281</f>
        <v/>
      </c>
      <c r="B43" t="inlineStr">
        <is>
          <t>FD1 - Beban mampu maks 133 MW (Derating 281 MW). Perbaikan BC 13.</t>
        </is>
      </c>
    </row>
    <row r="45">
      <c r="B45" t="inlineStr">
        <is>
          <t>PLTU SRLYA #5 :</t>
        </is>
      </c>
    </row>
    <row r="46">
      <c r="A46">
        <f>575.2-300</f>
        <v/>
      </c>
      <c r="B46" t="inlineStr">
        <is>
          <t>FD1 - Beban mampu maks 300 MW (Derating 275 MW). Gangguan STRE 02.</t>
        </is>
      </c>
    </row>
    <row r="48">
      <c r="B48" t="inlineStr">
        <is>
          <t>PLTU SRLYA #6 :</t>
        </is>
      </c>
    </row>
    <row r="49">
      <c r="A49">
        <f>575.2-300</f>
        <v/>
      </c>
      <c r="B49" t="inlineStr">
        <is>
          <t>FD1 - Beban mampu maks 300 MW (Derating 275 MW). Gangguan STRE 02.</t>
        </is>
      </c>
    </row>
    <row r="51">
      <c r="B51" t="inlineStr">
        <is>
          <t>PLTU SRLYA #7 :</t>
        </is>
      </c>
    </row>
    <row r="52">
      <c r="A52">
        <f>575.2-300</f>
        <v/>
      </c>
      <c r="B52" t="inlineStr">
        <is>
          <t>FD1 - Beban mampu maks 300 MW (Derating 275 MW). Gangguan STRE 02.</t>
        </is>
      </c>
    </row>
    <row r="54">
      <c r="B54" t="inlineStr">
        <is>
          <t>PLTU SRLYA #8 :</t>
        </is>
      </c>
    </row>
    <row r="55">
      <c r="A55">
        <f>540-425</f>
        <v/>
      </c>
      <c r="B55" t="inlineStr">
        <is>
          <t>FD1 - Beban mampu maks 425 MW (Derating 169 MW). Keterbatasan MRC.</t>
        </is>
      </c>
    </row>
    <row r="57">
      <c r="B57" t="inlineStr">
        <is>
          <t>PLTU JAWA 7 #1</t>
        </is>
      </c>
    </row>
    <row r="58">
      <c r="A58">
        <f>991-955</f>
        <v/>
      </c>
      <c r="B58" t="inlineStr">
        <is>
          <t>FD1 - Beban mampu maks 955 MW (Derating 33 MW). Coal FLow Maksimum.</t>
        </is>
      </c>
    </row>
    <row r="60">
      <c r="B60" t="inlineStr">
        <is>
          <t>PLTU JAWA 7 #2</t>
        </is>
      </c>
    </row>
    <row r="61">
      <c r="A61">
        <f>991-958</f>
        <v/>
      </c>
      <c r="B61" t="inlineStr">
        <is>
          <t>FD1 - Beban mampu maks 958 MW (Derating 36 MW). Coal FLow Maksimum.</t>
        </is>
      </c>
    </row>
    <row r="63">
      <c r="B63" t="inlineStr">
        <is>
          <t>PLTU PRATU #1 :</t>
        </is>
      </c>
    </row>
    <row r="64">
      <c r="A64">
        <f>323-180</f>
        <v/>
      </c>
      <c r="B64" t="inlineStr">
        <is>
          <t>FD1 - Beban mampu maks 180 MW (Derating 143 MW). Gangguan Keterbatasan MRC.</t>
        </is>
      </c>
    </row>
    <row r="66">
      <c r="B66" t="inlineStr">
        <is>
          <t>PLTU PRATU #2 :</t>
        </is>
      </c>
    </row>
    <row r="67">
      <c r="A67">
        <f>323-180</f>
        <v/>
      </c>
      <c r="B67" t="inlineStr">
        <is>
          <t>FD1 - Beban mampu maks 180 MW (Derating 143 MW). Gangguan Keterbatasan MRC.</t>
        </is>
      </c>
    </row>
    <row r="69">
      <c r="B69" t="inlineStr">
        <is>
          <t>PLTU PRATU #3 :</t>
        </is>
      </c>
    </row>
    <row r="70">
      <c r="A70">
        <f>323-180</f>
        <v/>
      </c>
      <c r="B70" t="inlineStr">
        <is>
          <t>FD1 - Beban mampu maks 180 MW (Derating 143 MW). Gangguan Keterbatasan MRC.</t>
        </is>
      </c>
    </row>
    <row r="72">
      <c r="B72" t="inlineStr">
        <is>
          <t>PLTU LABUAN #1 :</t>
        </is>
      </c>
    </row>
    <row r="73">
      <c r="A73" t="n">
        <v>80</v>
      </c>
      <c r="B73" t="inlineStr">
        <is>
          <t>FD1 - Beban mampu maks 240 MW (Derating 80 MW). Gangguan Keterbatasan MRC.</t>
        </is>
      </c>
    </row>
    <row r="75">
      <c r="B75" t="inlineStr">
        <is>
          <t>PLTU LABUAN #2 :</t>
        </is>
      </c>
    </row>
    <row r="76">
      <c r="A76" t="n">
        <v>80</v>
      </c>
      <c r="B76" t="inlineStr">
        <is>
          <t>FD1 - Beban mampu maks 240 MW (Derating 80 MW). Gangguan Keterbatasan MRC.</t>
        </is>
      </c>
    </row>
    <row r="78">
      <c r="B78" t="inlineStr">
        <is>
          <t>PLTU LNTAR #1 :</t>
        </is>
      </c>
    </row>
    <row r="79">
      <c r="A79">
        <f>280-240</f>
        <v/>
      </c>
      <c r="B79" t="inlineStr">
        <is>
          <t>FD1 - Beban mampu maks 200 MW (Derating 240 MW). Gangguan Temperature Bearing ID Fan 1A.</t>
        </is>
      </c>
    </row>
    <row r="81">
      <c r="B81" t="inlineStr">
        <is>
          <t>PLTU LNTAR #2 :</t>
        </is>
      </c>
    </row>
    <row r="82">
      <c r="A82" t="n">
        <v>60</v>
      </c>
      <c r="B82" t="inlineStr">
        <is>
          <t>FD1 - Beban mampu maks 200 MW (Derating 220 MW). Gangguan BC 4B.</t>
        </is>
      </c>
    </row>
    <row r="84">
      <c r="B84" t="inlineStr">
        <is>
          <t>PLTU LNTAR #3 :</t>
        </is>
      </c>
    </row>
    <row r="85">
      <c r="A85" t="n">
        <v>40</v>
      </c>
      <c r="B85" t="inlineStr">
        <is>
          <t>FD1 - Beban mampu maks 200 MW (Derating 240 MW). Gangguan BC 4B.</t>
        </is>
      </c>
    </row>
    <row r="87">
      <c r="B87" t="inlineStr">
        <is>
          <t>PLTU LNTAR #4 :</t>
        </is>
      </c>
    </row>
    <row r="88">
      <c r="A88" t="n">
        <v>155</v>
      </c>
      <c r="B88" t="inlineStr">
        <is>
          <t>FD1 - Beban mampu maks 168 MW (Derating 155 MW). Gangguan Check Valve BFPT 4A.</t>
        </is>
      </c>
    </row>
    <row r="90">
      <c r="B90" t="inlineStr">
        <is>
          <t>PLTU IDMYU #1 :</t>
        </is>
      </c>
    </row>
    <row r="91">
      <c r="A91" t="n">
        <v>80</v>
      </c>
      <c r="B91" t="inlineStr">
        <is>
          <t>FD1 - Beban mampu maks 190 MW (Derating 80 MW). Sesuai surat No.1156/150/PLNNP020002/2025 Tanggal 15 Desember 2025 Perihal Penyampaian Informasi TML CF 72% (107 MW Nett) Unit 1,2,3 PLTU Indramayu dan Potensi Derating.</t>
        </is>
      </c>
    </row>
    <row r="93">
      <c r="B93" t="inlineStr">
        <is>
          <t>PLTU IDMYU #2 :</t>
        </is>
      </c>
    </row>
    <row r="94">
      <c r="A94" t="n">
        <v>80</v>
      </c>
      <c r="B94" t="inlineStr">
        <is>
          <t>FD1 - Beban mampu maks 190 MW (Derating 80 MW). Sesuai surat No.1156/150/PLNNP020002/2025 Tanggal 15 Desember 2025 Perihal Penyampaian Informasi TML CF 72% (210 MW Nett) Unit 1,2,3 PLTU Indramayu dan Potensi Derating.</t>
        </is>
      </c>
    </row>
    <row r="96">
      <c r="B96" t="inlineStr">
        <is>
          <t>PLTU IDMYU #3 :</t>
        </is>
      </c>
    </row>
    <row r="97">
      <c r="A97" t="n">
        <v>80</v>
      </c>
      <c r="B97" t="inlineStr">
        <is>
          <t>FD1 - Beban mampu maks 190 MW (Derating 80 MW). Sesuai surat No.1156/150/PLNNP020002/2025 Tanggal 15 Desember 2025 Perihal Penyampaian Informasi TML CF 72% (210 MW Nett) Unit 1,2,3 PLTU Indramayu dan Potensi Derating.</t>
        </is>
      </c>
    </row>
    <row r="99">
      <c r="B99" t="inlineStr">
        <is>
          <t>PLTU IPP CEP :</t>
        </is>
      </c>
    </row>
    <row r="100">
      <c r="A100" t="n">
        <v>160</v>
      </c>
      <c r="B100" t="inlineStr">
        <is>
          <t>FD3 - Beban mampu maks 500 MW (Derating 160 MW). Pembatasan beban terkait pekerjaan IBT MDRCN</t>
        </is>
      </c>
    </row>
    <row r="102">
      <c r="B102" t="inlineStr">
        <is>
          <t>PLTU TJATI #2</t>
        </is>
      </c>
    </row>
    <row r="103">
      <c r="A103" t="n">
        <v>160</v>
      </c>
      <c r="B103" t="inlineStr">
        <is>
          <t>FD1 - Beban mampu maks 500 MW (Derating 160 MW). Perbaikan Mill BCE.</t>
        </is>
      </c>
    </row>
    <row r="105">
      <c r="B105" t="inlineStr">
        <is>
          <t>PLTU ADIPALA #1 :</t>
        </is>
      </c>
    </row>
    <row r="106">
      <c r="A106" t="n">
        <v>200</v>
      </c>
      <c r="B106" t="inlineStr">
        <is>
          <t>FD1 - Beban mampu maks 415 MW (Derating 200 MW). Keterbatasan Batubara MRC.</t>
        </is>
      </c>
    </row>
    <row r="108">
      <c r="B108" t="inlineStr">
        <is>
          <t>PLTU CLCAP #2 :</t>
        </is>
      </c>
    </row>
    <row r="109">
      <c r="A109" t="n">
        <v>20</v>
      </c>
      <c r="B109" t="inlineStr">
        <is>
          <t>FD1 - Beban mampu maks 261 MW (Derating 20 MW). Coal flow max.</t>
        </is>
      </c>
    </row>
    <row r="111">
      <c r="B111" t="inlineStr">
        <is>
          <t>PLTU CLCAP #4 :</t>
        </is>
      </c>
    </row>
    <row r="112">
      <c r="A112">
        <f>945-750</f>
        <v/>
      </c>
      <c r="B112" t="inlineStr">
        <is>
          <t>FD1 - Beban mampu maks 750 MW (Derating 195 MW). Coal flow max.</t>
        </is>
      </c>
    </row>
    <row r="114">
      <c r="B114" t="inlineStr">
        <is>
          <t>PLTU PITON #1 :</t>
        </is>
      </c>
    </row>
    <row r="115">
      <c r="A115" t="n">
        <v>145</v>
      </c>
      <c r="B115" t="inlineStr">
        <is>
          <t>FD1 - Beban mampu maks 230 MW (Derating 145 MW). Keterbatasan batubara MRC.</t>
        </is>
      </c>
    </row>
    <row r="117">
      <c r="B117" t="inlineStr">
        <is>
          <t>PLTU PITON #2 :</t>
        </is>
      </c>
    </row>
    <row r="118">
      <c r="A118" t="n">
        <v>145</v>
      </c>
      <c r="B118" t="inlineStr">
        <is>
          <t>FD1 - Beban mampu maks 230 MW (Derating 145 MW). Keterbatasan batubara MRC.</t>
        </is>
      </c>
    </row>
    <row r="120">
      <c r="B120" t="inlineStr">
        <is>
          <t>PLTU PCTAN #1 :</t>
        </is>
      </c>
    </row>
    <row r="121">
      <c r="A121" t="n">
        <v>80</v>
      </c>
      <c r="B121" t="inlineStr">
        <is>
          <t>FD1 - Beban mampu maks 200 MW (Derating 80 MW). Berdasarkan Surat No 1427/KIT.09.01/PLNNP020004/2025</t>
        </is>
      </c>
    </row>
    <row r="123">
      <c r="B123" t="inlineStr">
        <is>
          <t>PLTU PCTAN #2 :</t>
        </is>
      </c>
    </row>
    <row r="124">
      <c r="A124" t="n">
        <v>80</v>
      </c>
      <c r="B124" t="inlineStr">
        <is>
          <t>FD1 - Beban mampu maks 200 MW (Derating 80 MW). Berdasarkan Surat No 1427/KIT.09.01/PLNNP020004/2025</t>
        </is>
      </c>
    </row>
    <row r="126">
      <c r="B126" t="inlineStr">
        <is>
          <t>3. UNIT RS (TOTAL = 0 MW)</t>
        </is>
      </c>
    </row>
    <row r="127">
      <c r="B127" t="inlineStr">
        <is>
          <t>NIHIL</t>
        </is>
      </c>
    </row>
    <row r="129">
      <c r="B129" t="inlineStr">
        <is>
          <t>4. UNIT TES :</t>
        </is>
      </c>
    </row>
    <row r="130">
      <c r="B130" t="inlineStr">
        <is>
          <t>NIHIL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MOHAMMAD SHOFWAN</dc:creator>
  <dcterms:created xmlns:dcterms="http://purl.org/dc/terms/" xmlns:xsi="http://www.w3.org/2001/XMLSchema-instance" xsi:type="dcterms:W3CDTF">2025-11-19T13:10:21Z</dcterms:created>
  <dcterms:modified xmlns:dcterms="http://purl.org/dc/terms/" xmlns:xsi="http://www.w3.org/2001/XMLSchema-instance" xsi:type="dcterms:W3CDTF">2026-09-06T23:34:09Z</dcterms:modified>
  <cp:lastModifiedBy>MOHAMMAD SHOFWAN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2025-11-19T13:23:31Z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0e48f9d7-2701-4b80-bb71-211bde24768a</vt:lpwstr>
  </property>
  <property name="MSIP_Label_defa4170-0d19-0005-0004-bc88714345d2_ActionId" fmtid="{D5CDD505-2E9C-101B-9397-08002B2CF9AE}" pid="7">
    <vt:lpwstr xmlns:vt="http://schemas.openxmlformats.org/officeDocument/2006/docPropsVTypes">f4be44f0-b989-429f-b493-8ca3df7eb52e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</Properties>
</file>