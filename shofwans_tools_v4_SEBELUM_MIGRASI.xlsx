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-my.sharepoint.com/personal/mohammadshofwan_ptpln365_onmicrosoft_com/Documents/Apps/akses_roh_int_real/"/>
    </mc:Choice>
  </mc:AlternateContent>
  <xr:revisionPtr revIDLastSave="174" documentId="11_5F16D7D6174C18E7661D5EF7F51E3C2B21B44634" xr6:coauthVersionLast="47" xr6:coauthVersionMax="47" xr10:uidLastSave="{79648C16-CBA2-4EEF-8797-DB28441F4DAB}"/>
  <bookViews>
    <workbookView xWindow="-108" yWindow="-108" windowWidth="23256" windowHeight="12456" xr2:uid="{00000000-000D-0000-FFFF-FFFF00000000}"/>
  </bookViews>
  <sheets>
    <sheet name="calculator" sheetId="1" r:id="rId1"/>
    <sheet name="monitor" sheetId="2" r:id="rId2"/>
    <sheet name="INT" sheetId="3" r:id="rId3"/>
    <sheet name="ROH" sheetId="4" r:id="rId4"/>
    <sheet name="RT" sheetId="5" r:id="rId5"/>
    <sheet name="catatan" sheetId="6" r:id="rId6"/>
    <sheet name="FODER" sheetId="7" r:id="rId7"/>
    <sheet name="raw" sheetId="10" r:id="rId8"/>
  </sheets>
  <definedNames>
    <definedName name="ExternalData_1" localSheetId="7" hidden="1">'raw'!$A$1:$AY$609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1" l="1"/>
  <c r="Z52" i="1" a="1"/>
  <c r="Y52" i="1" a="1"/>
  <c r="Z51" i="1" a="1"/>
  <c r="Y51" i="1" a="1"/>
  <c r="Z48" i="1" a="1"/>
  <c r="Y48" i="1" a="1"/>
  <c r="Z46" i="1" a="1"/>
  <c r="Y46" i="1" a="1"/>
  <c r="Z44" i="1" a="1"/>
  <c r="Y44" i="1" a="1"/>
  <c r="Z43" i="1" a="1"/>
  <c r="Y43" i="1" a="1"/>
  <c r="Z42" i="1" a="1"/>
  <c r="Y42" i="1" a="1"/>
  <c r="Z39" i="1" a="1"/>
  <c r="Y39" i="1" a="1"/>
  <c r="Z37" i="1" a="1"/>
  <c r="Y37" i="1" a="1"/>
  <c r="Z35" i="1" a="1"/>
  <c r="Y35" i="1" a="1"/>
  <c r="Z34" i="1" a="1"/>
  <c r="Y34" i="1" a="1"/>
  <c r="Z32" i="1" a="1"/>
  <c r="Y32" i="1" a="1"/>
  <c r="Z30" i="1" a="1"/>
  <c r="Y30" i="1" a="1"/>
  <c r="Z28" i="1" a="1"/>
  <c r="Y28" i="1" a="1"/>
  <c r="Z26" i="1" a="1"/>
  <c r="Y26" i="1" a="1"/>
  <c r="Z24" i="1" a="1"/>
  <c r="Y24" i="1" a="1"/>
  <c r="Z22" i="1" a="1"/>
  <c r="Y22" i="1" a="1"/>
  <c r="Z20" i="1" a="1"/>
  <c r="Y20" i="1" a="1"/>
  <c r="Z18" i="1" a="1"/>
  <c r="Y18" i="1" a="1"/>
  <c r="Z16" i="1" a="1"/>
  <c r="Y16" i="1" a="1"/>
  <c r="Z14" i="1" a="1"/>
  <c r="Y14" i="1" a="1"/>
  <c r="Z12" i="1" a="1"/>
  <c r="Y12" i="1" a="1"/>
  <c r="Z11" i="1" a="1"/>
  <c r="Y11" i="1" a="1"/>
  <c r="Z9" i="1" a="1"/>
  <c r="Y9" i="1" a="1"/>
  <c r="Z8" i="1" a="1"/>
  <c r="Y8" i="1" a="1"/>
  <c r="Z7" i="1" a="1"/>
  <c r="Y7" i="1" a="1"/>
  <c r="A136" i="1"/>
  <c r="A112" i="7"/>
  <c r="A79" i="7"/>
  <c r="A70" i="7"/>
  <c r="A67" i="7"/>
  <c r="A64" i="7"/>
  <c r="A61" i="7"/>
  <c r="A58" i="7"/>
  <c r="A55" i="7"/>
  <c r="A52" i="7"/>
  <c r="A49" i="7"/>
  <c r="A46" i="7"/>
  <c r="A43" i="7"/>
  <c r="A40" i="7"/>
  <c r="A37" i="7"/>
  <c r="A34" i="7"/>
  <c r="B2" i="7"/>
  <c r="E36" i="6"/>
  <c r="E35" i="6"/>
  <c r="E34" i="6"/>
  <c r="D24" i="6"/>
  <c r="F23" i="6"/>
  <c r="F24" i="6" s="1"/>
  <c r="D23" i="6"/>
  <c r="D22" i="6"/>
  <c r="D21" i="6"/>
  <c r="G10" i="6"/>
  <c r="H10" i="6" s="1"/>
  <c r="G9" i="6"/>
  <c r="I9" i="6" s="1"/>
  <c r="G8" i="6"/>
  <c r="J8" i="6" s="1"/>
  <c r="D5" i="6"/>
  <c r="A572" i="1"/>
  <c r="A135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AN95" i="1"/>
  <c r="B95" i="1"/>
  <c r="B94" i="1"/>
  <c r="B93" i="1"/>
  <c r="AD92" i="1"/>
  <c r="AE92" i="1" s="1"/>
  <c r="AF92" i="1" s="1"/>
  <c r="B92" i="1"/>
  <c r="AD91" i="1"/>
  <c r="B91" i="1"/>
  <c r="AE90" i="1"/>
  <c r="AD90" i="1"/>
  <c r="B90" i="1"/>
  <c r="B89" i="1"/>
  <c r="B88" i="1"/>
  <c r="B87" i="1"/>
  <c r="B86" i="1"/>
  <c r="B85" i="1"/>
  <c r="B84" i="1"/>
  <c r="B83" i="1"/>
  <c r="B82" i="1"/>
  <c r="AD81" i="1"/>
  <c r="B81" i="1"/>
  <c r="B80" i="1"/>
  <c r="B79" i="1"/>
  <c r="B78" i="1"/>
  <c r="B77" i="1"/>
  <c r="B76" i="1"/>
  <c r="B75" i="1"/>
  <c r="B74" i="1"/>
  <c r="B73" i="1"/>
  <c r="B72" i="1"/>
  <c r="B71" i="1"/>
  <c r="AF62" i="1"/>
  <c r="AF61" i="1"/>
  <c r="AG61" i="1" s="1"/>
  <c r="AC57" i="1"/>
  <c r="AD57" i="1" s="1"/>
  <c r="G54" i="1"/>
  <c r="X52" i="1"/>
  <c r="X51" i="1"/>
  <c r="X48" i="1"/>
  <c r="X46" i="1"/>
  <c r="AD45" i="1"/>
  <c r="X44" i="1"/>
  <c r="X43" i="1"/>
  <c r="X42" i="1"/>
  <c r="X39" i="1"/>
  <c r="X37" i="1"/>
  <c r="X35" i="1"/>
  <c r="X34" i="1"/>
  <c r="X32" i="1"/>
  <c r="X30" i="1"/>
  <c r="X28" i="1"/>
  <c r="X26" i="1"/>
  <c r="X24" i="1"/>
  <c r="X22" i="1"/>
  <c r="X20" i="1"/>
  <c r="X18" i="1"/>
  <c r="X16" i="1"/>
  <c r="X14" i="1"/>
  <c r="X12" i="1"/>
  <c r="X11" i="1"/>
  <c r="AD9" i="1"/>
  <c r="X9" i="1"/>
  <c r="X8" i="1"/>
  <c r="X7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AB2" i="1"/>
  <c r="AE2" i="1" s="1"/>
  <c r="AD1" i="1"/>
  <c r="AB1" i="1"/>
  <c r="AC1" i="1" s="1"/>
  <c r="C126" i="1" l="1"/>
  <c r="AF90" i="1"/>
  <c r="Q1" i="1" a="1"/>
  <c r="J1" i="1" a="1"/>
  <c r="C1" i="1" a="1"/>
  <c r="P70" i="1" a="1"/>
  <c r="T2" i="1"/>
  <c r="H2" i="1"/>
  <c r="P71" i="1"/>
  <c r="D71" i="1"/>
  <c r="L72" i="1"/>
  <c r="T73" i="1"/>
  <c r="H73" i="1"/>
  <c r="P74" i="1"/>
  <c r="D74" i="1"/>
  <c r="L75" i="1"/>
  <c r="T76" i="1"/>
  <c r="H76" i="1"/>
  <c r="K77" i="1"/>
  <c r="N78" i="1"/>
  <c r="L79" i="1"/>
  <c r="J80" i="1"/>
  <c r="H81" i="1"/>
  <c r="K82" i="1"/>
  <c r="I83" i="1"/>
  <c r="G84" i="1"/>
  <c r="J85" i="1"/>
  <c r="H86" i="1"/>
  <c r="F87" i="1"/>
  <c r="D88" i="1"/>
  <c r="G89" i="1"/>
  <c r="E90" i="1"/>
  <c r="C91" i="1"/>
  <c r="F92" i="1"/>
  <c r="D93" i="1"/>
  <c r="V95" i="1"/>
  <c r="T96" i="1"/>
  <c r="C96" i="1"/>
  <c r="U98" i="1"/>
  <c r="S99" i="1"/>
  <c r="V100" i="1"/>
  <c r="T101" i="1"/>
  <c r="R102" i="1"/>
  <c r="P103" i="1"/>
  <c r="S104" i="1"/>
  <c r="Q105" i="1"/>
  <c r="O106" i="1"/>
  <c r="R107" i="1"/>
  <c r="P108" i="1"/>
  <c r="N109" i="1"/>
  <c r="L110" i="1"/>
  <c r="O111" i="1"/>
  <c r="M112" i="1"/>
  <c r="K113" i="1"/>
  <c r="N114" i="1"/>
  <c r="L115" i="1"/>
  <c r="J116" i="1"/>
  <c r="H117" i="1"/>
  <c r="K118" i="1"/>
  <c r="I119" i="1"/>
  <c r="G120" i="1"/>
  <c r="J121" i="1"/>
  <c r="H122" i="1"/>
  <c r="F123" i="1"/>
  <c r="D124" i="1"/>
  <c r="G125" i="1"/>
  <c r="D126" i="1"/>
  <c r="O70" i="1" a="1"/>
  <c r="H70" i="1" a="1"/>
  <c r="S2" i="1"/>
  <c r="G2" i="1"/>
  <c r="O71" i="1"/>
  <c r="C71" i="1"/>
  <c r="K72" i="1"/>
  <c r="S73" i="1"/>
  <c r="G73" i="1"/>
  <c r="O74" i="1"/>
  <c r="C74" i="1"/>
  <c r="K75" i="1"/>
  <c r="S76" i="1"/>
  <c r="G76" i="1"/>
  <c r="J77" i="1"/>
  <c r="H78" i="1"/>
  <c r="K79" i="1"/>
  <c r="I80" i="1"/>
  <c r="G81" i="1"/>
  <c r="J82" i="1"/>
  <c r="H83" i="1"/>
  <c r="F84" i="1"/>
  <c r="D85" i="1"/>
  <c r="G86" i="1"/>
  <c r="E87" i="1"/>
  <c r="C88" i="1"/>
  <c r="F89" i="1"/>
  <c r="D90" i="1"/>
  <c r="V92" i="1"/>
  <c r="T93" i="1"/>
  <c r="C93" i="1"/>
  <c r="U95" i="1"/>
  <c r="S96" i="1"/>
  <c r="V97" i="1"/>
  <c r="T98" i="1"/>
  <c r="R99" i="1"/>
  <c r="P100" i="1"/>
  <c r="S101" i="1"/>
  <c r="Q102" i="1"/>
  <c r="O103" i="1"/>
  <c r="R104" i="1"/>
  <c r="P105" i="1"/>
  <c r="N106" i="1"/>
  <c r="L107" i="1"/>
  <c r="O108" i="1"/>
  <c r="M109" i="1"/>
  <c r="K110" i="1"/>
  <c r="N111" i="1"/>
  <c r="L112" i="1"/>
  <c r="J113" i="1"/>
  <c r="H114" i="1"/>
  <c r="K115" i="1"/>
  <c r="I116" i="1"/>
  <c r="G117" i="1"/>
  <c r="J118" i="1"/>
  <c r="H119" i="1"/>
  <c r="F120" i="1"/>
  <c r="D121" i="1"/>
  <c r="G122" i="1"/>
  <c r="E123" i="1"/>
  <c r="C124" i="1"/>
  <c r="F125" i="1"/>
  <c r="O127" i="1"/>
  <c r="H126" i="1"/>
  <c r="U126" i="1"/>
  <c r="M125" i="1"/>
  <c r="E124" i="1"/>
  <c r="Q124" i="1"/>
  <c r="I123" i="1"/>
  <c r="U123" i="1"/>
  <c r="M122" i="1"/>
  <c r="E121" i="1"/>
  <c r="Q121" i="1"/>
  <c r="I120" i="1"/>
  <c r="U120" i="1"/>
  <c r="M119" i="1"/>
  <c r="E118" i="1"/>
  <c r="Q118" i="1"/>
  <c r="I117" i="1"/>
  <c r="U117" i="1"/>
  <c r="M116" i="1"/>
  <c r="E115" i="1"/>
  <c r="Q115" i="1"/>
  <c r="I114" i="1"/>
  <c r="U114" i="1"/>
  <c r="M113" i="1"/>
  <c r="E112" i="1"/>
  <c r="Q112" i="1"/>
  <c r="I111" i="1"/>
  <c r="U111" i="1"/>
  <c r="M110" i="1"/>
  <c r="E109" i="1"/>
  <c r="Q109" i="1"/>
  <c r="I108" i="1"/>
  <c r="U108" i="1"/>
  <c r="M107" i="1"/>
  <c r="E106" i="1"/>
  <c r="Q106" i="1"/>
  <c r="I105" i="1"/>
  <c r="U105" i="1"/>
  <c r="M104" i="1"/>
  <c r="E103" i="1"/>
  <c r="Q103" i="1"/>
  <c r="I102" i="1"/>
  <c r="U102" i="1"/>
  <c r="M101" i="1"/>
  <c r="E100" i="1"/>
  <c r="Q100" i="1"/>
  <c r="I99" i="1"/>
  <c r="U99" i="1"/>
  <c r="M98" i="1"/>
  <c r="E97" i="1"/>
  <c r="Q97" i="1"/>
  <c r="I96" i="1"/>
  <c r="U96" i="1"/>
  <c r="M95" i="1"/>
  <c r="E94" i="1"/>
  <c r="Q94" i="1"/>
  <c r="I93" i="1"/>
  <c r="U93" i="1"/>
  <c r="M92" i="1"/>
  <c r="E91" i="1"/>
  <c r="Q91" i="1"/>
  <c r="I90" i="1"/>
  <c r="U90" i="1"/>
  <c r="M89" i="1"/>
  <c r="E88" i="1"/>
  <c r="Q88" i="1"/>
  <c r="I87" i="1"/>
  <c r="U87" i="1"/>
  <c r="M86" i="1"/>
  <c r="E85" i="1"/>
  <c r="Q85" i="1"/>
  <c r="I84" i="1"/>
  <c r="U84" i="1"/>
  <c r="M83" i="1"/>
  <c r="E82" i="1"/>
  <c r="Q82" i="1"/>
  <c r="I81" i="1"/>
  <c r="U81" i="1"/>
  <c r="M80" i="1"/>
  <c r="E79" i="1"/>
  <c r="Q79" i="1"/>
  <c r="I78" i="1"/>
  <c r="U78" i="1"/>
  <c r="M77" i="1"/>
  <c r="C127" i="1"/>
  <c r="P127" i="1"/>
  <c r="J126" i="1"/>
  <c r="V126" i="1"/>
  <c r="N125" i="1"/>
  <c r="F124" i="1"/>
  <c r="R124" i="1"/>
  <c r="J123" i="1"/>
  <c r="V123" i="1"/>
  <c r="N122" i="1"/>
  <c r="F121" i="1"/>
  <c r="R121" i="1"/>
  <c r="J120" i="1"/>
  <c r="V120" i="1"/>
  <c r="N119" i="1"/>
  <c r="F118" i="1"/>
  <c r="R118" i="1"/>
  <c r="J117" i="1"/>
  <c r="V117" i="1"/>
  <c r="N116" i="1"/>
  <c r="F115" i="1"/>
  <c r="R115" i="1"/>
  <c r="J114" i="1"/>
  <c r="V114" i="1"/>
  <c r="N113" i="1"/>
  <c r="F112" i="1"/>
  <c r="R112" i="1"/>
  <c r="J111" i="1"/>
  <c r="V111" i="1"/>
  <c r="N110" i="1"/>
  <c r="F109" i="1"/>
  <c r="R109" i="1"/>
  <c r="J108" i="1"/>
  <c r="V108" i="1"/>
  <c r="N107" i="1"/>
  <c r="F106" i="1"/>
  <c r="R106" i="1"/>
  <c r="J105" i="1"/>
  <c r="V105" i="1"/>
  <c r="N104" i="1"/>
  <c r="F103" i="1"/>
  <c r="R103" i="1"/>
  <c r="J102" i="1"/>
  <c r="V102" i="1"/>
  <c r="N101" i="1"/>
  <c r="F100" i="1"/>
  <c r="R100" i="1"/>
  <c r="J99" i="1"/>
  <c r="V99" i="1"/>
  <c r="N98" i="1"/>
  <c r="F97" i="1"/>
  <c r="R97" i="1"/>
  <c r="J96" i="1"/>
  <c r="V96" i="1"/>
  <c r="N95" i="1"/>
  <c r="F94" i="1"/>
  <c r="R94" i="1"/>
  <c r="J93" i="1"/>
  <c r="V93" i="1"/>
  <c r="N92" i="1"/>
  <c r="F91" i="1"/>
  <c r="R91" i="1"/>
  <c r="J90" i="1"/>
  <c r="V90" i="1"/>
  <c r="N89" i="1"/>
  <c r="F88" i="1"/>
  <c r="R88" i="1"/>
  <c r="J87" i="1"/>
  <c r="V87" i="1"/>
  <c r="N86" i="1"/>
  <c r="F85" i="1"/>
  <c r="R85" i="1"/>
  <c r="J84" i="1"/>
  <c r="V84" i="1"/>
  <c r="N83" i="1"/>
  <c r="F82" i="1"/>
  <c r="R82" i="1"/>
  <c r="J81" i="1"/>
  <c r="V81" i="1"/>
  <c r="N80" i="1"/>
  <c r="F79" i="1"/>
  <c r="R79" i="1"/>
  <c r="J78" i="1"/>
  <c r="V78" i="1"/>
  <c r="N77" i="1"/>
  <c r="D127" i="1"/>
  <c r="R127" i="1"/>
  <c r="K126" i="1"/>
  <c r="C125" i="1"/>
  <c r="O125" i="1"/>
  <c r="G124" i="1"/>
  <c r="S124" i="1"/>
  <c r="K123" i="1"/>
  <c r="C122" i="1"/>
  <c r="O122" i="1"/>
  <c r="G121" i="1"/>
  <c r="S121" i="1"/>
  <c r="K120" i="1"/>
  <c r="C119" i="1"/>
  <c r="O119" i="1"/>
  <c r="G118" i="1"/>
  <c r="S118" i="1"/>
  <c r="K117" i="1"/>
  <c r="C116" i="1"/>
  <c r="O116" i="1"/>
  <c r="G115" i="1"/>
  <c r="S115" i="1"/>
  <c r="K114" i="1"/>
  <c r="C113" i="1"/>
  <c r="O113" i="1"/>
  <c r="G112" i="1"/>
  <c r="S112" i="1"/>
  <c r="K111" i="1"/>
  <c r="C110" i="1"/>
  <c r="O110" i="1"/>
  <c r="G109" i="1"/>
  <c r="S109" i="1"/>
  <c r="K108" i="1"/>
  <c r="C107" i="1"/>
  <c r="O107" i="1"/>
  <c r="G106" i="1"/>
  <c r="S106" i="1"/>
  <c r="K105" i="1"/>
  <c r="C104" i="1"/>
  <c r="O104" i="1"/>
  <c r="G103" i="1"/>
  <c r="S103" i="1"/>
  <c r="K102" i="1"/>
  <c r="C101" i="1"/>
  <c r="O101" i="1"/>
  <c r="G100" i="1"/>
  <c r="S100" i="1"/>
  <c r="K99" i="1"/>
  <c r="C98" i="1"/>
  <c r="O98" i="1"/>
  <c r="G97" i="1"/>
  <c r="S97" i="1"/>
  <c r="K96" i="1"/>
  <c r="C95" i="1"/>
  <c r="O95" i="1"/>
  <c r="G94" i="1"/>
  <c r="S94" i="1"/>
  <c r="K93" i="1"/>
  <c r="C92" i="1"/>
  <c r="O92" i="1"/>
  <c r="G91" i="1"/>
  <c r="S91" i="1"/>
  <c r="K90" i="1"/>
  <c r="C89" i="1"/>
  <c r="O89" i="1"/>
  <c r="G88" i="1"/>
  <c r="S88" i="1"/>
  <c r="K87" i="1"/>
  <c r="C86" i="1"/>
  <c r="O86" i="1"/>
  <c r="G85" i="1"/>
  <c r="S85" i="1"/>
  <c r="K84" i="1"/>
  <c r="C83" i="1"/>
  <c r="O83" i="1"/>
  <c r="G82" i="1"/>
  <c r="S82" i="1"/>
  <c r="K81" i="1"/>
  <c r="C80" i="1"/>
  <c r="O80" i="1"/>
  <c r="G79" i="1"/>
  <c r="S79" i="1"/>
  <c r="K78" i="1"/>
  <c r="C77" i="1"/>
  <c r="O77" i="1"/>
  <c r="F127" i="1"/>
  <c r="S127" i="1"/>
  <c r="L126" i="1"/>
  <c r="D125" i="1"/>
  <c r="P125" i="1"/>
  <c r="H124" i="1"/>
  <c r="T124" i="1"/>
  <c r="L123" i="1"/>
  <c r="D122" i="1"/>
  <c r="P122" i="1"/>
  <c r="H121" i="1"/>
  <c r="T121" i="1"/>
  <c r="L120" i="1"/>
  <c r="D119" i="1"/>
  <c r="P119" i="1"/>
  <c r="H118" i="1"/>
  <c r="T118" i="1"/>
  <c r="L117" i="1"/>
  <c r="D116" i="1"/>
  <c r="P116" i="1"/>
  <c r="H115" i="1"/>
  <c r="T115" i="1"/>
  <c r="L114" i="1"/>
  <c r="D113" i="1"/>
  <c r="P113" i="1"/>
  <c r="H112" i="1"/>
  <c r="T112" i="1"/>
  <c r="L111" i="1"/>
  <c r="D110" i="1"/>
  <c r="P110" i="1"/>
  <c r="H109" i="1"/>
  <c r="T109" i="1"/>
  <c r="L108" i="1"/>
  <c r="D107" i="1"/>
  <c r="P107" i="1"/>
  <c r="H106" i="1"/>
  <c r="T106" i="1"/>
  <c r="L105" i="1"/>
  <c r="D104" i="1"/>
  <c r="P104" i="1"/>
  <c r="H103" i="1"/>
  <c r="T103" i="1"/>
  <c r="L102" i="1"/>
  <c r="D101" i="1"/>
  <c r="P101" i="1"/>
  <c r="H100" i="1"/>
  <c r="T100" i="1"/>
  <c r="L99" i="1"/>
  <c r="D98" i="1"/>
  <c r="P98" i="1"/>
  <c r="H97" i="1"/>
  <c r="T97" i="1"/>
  <c r="L96" i="1"/>
  <c r="D95" i="1"/>
  <c r="P95" i="1"/>
  <c r="H94" i="1"/>
  <c r="T94" i="1"/>
  <c r="L93" i="1"/>
  <c r="D92" i="1"/>
  <c r="P92" i="1"/>
  <c r="H91" i="1"/>
  <c r="T91" i="1"/>
  <c r="L90" i="1"/>
  <c r="D89" i="1"/>
  <c r="P89" i="1"/>
  <c r="H88" i="1"/>
  <c r="T88" i="1"/>
  <c r="L87" i="1"/>
  <c r="D86" i="1"/>
  <c r="P86" i="1"/>
  <c r="H85" i="1"/>
  <c r="T85" i="1"/>
  <c r="L84" i="1"/>
  <c r="D83" i="1"/>
  <c r="P83" i="1"/>
  <c r="H82" i="1"/>
  <c r="T82" i="1"/>
  <c r="L81" i="1"/>
  <c r="D80" i="1"/>
  <c r="P80" i="1"/>
  <c r="H79" i="1"/>
  <c r="T79" i="1"/>
  <c r="L78" i="1"/>
  <c r="D77" i="1"/>
  <c r="P77" i="1"/>
  <c r="G127" i="1"/>
  <c r="T127" i="1"/>
  <c r="M126" i="1"/>
  <c r="E125" i="1"/>
  <c r="Q125" i="1"/>
  <c r="I124" i="1"/>
  <c r="U124" i="1"/>
  <c r="M123" i="1"/>
  <c r="E122" i="1"/>
  <c r="Q122" i="1"/>
  <c r="I121" i="1"/>
  <c r="U121" i="1"/>
  <c r="M120" i="1"/>
  <c r="E119" i="1"/>
  <c r="Q119" i="1"/>
  <c r="I118" i="1"/>
  <c r="U118" i="1"/>
  <c r="M117" i="1"/>
  <c r="E116" i="1"/>
  <c r="Q116" i="1"/>
  <c r="I115" i="1"/>
  <c r="U115" i="1"/>
  <c r="M114" i="1"/>
  <c r="E113" i="1"/>
  <c r="Q113" i="1"/>
  <c r="I112" i="1"/>
  <c r="U112" i="1"/>
  <c r="M111" i="1"/>
  <c r="E110" i="1"/>
  <c r="Q110" i="1"/>
  <c r="I109" i="1"/>
  <c r="U109" i="1"/>
  <c r="M108" i="1"/>
  <c r="E107" i="1"/>
  <c r="Q107" i="1"/>
  <c r="I106" i="1"/>
  <c r="U106" i="1"/>
  <c r="M105" i="1"/>
  <c r="E104" i="1"/>
  <c r="Q104" i="1"/>
  <c r="I103" i="1"/>
  <c r="U103" i="1"/>
  <c r="M102" i="1"/>
  <c r="E101" i="1"/>
  <c r="Q101" i="1"/>
  <c r="I100" i="1"/>
  <c r="U100" i="1"/>
  <c r="M99" i="1"/>
  <c r="E98" i="1"/>
  <c r="Q98" i="1"/>
  <c r="I97" i="1"/>
  <c r="U97" i="1"/>
  <c r="M96" i="1"/>
  <c r="E95" i="1"/>
  <c r="Q95" i="1"/>
  <c r="I94" i="1"/>
  <c r="U94" i="1"/>
  <c r="M93" i="1"/>
  <c r="E92" i="1"/>
  <c r="Q92" i="1"/>
  <c r="I91" i="1"/>
  <c r="U91" i="1"/>
  <c r="M90" i="1"/>
  <c r="E89" i="1"/>
  <c r="Q89" i="1"/>
  <c r="I88" i="1"/>
  <c r="U88" i="1"/>
  <c r="M87" i="1"/>
  <c r="E86" i="1"/>
  <c r="Q86" i="1"/>
  <c r="I85" i="1"/>
  <c r="U85" i="1"/>
  <c r="M84" i="1"/>
  <c r="E83" i="1"/>
  <c r="Q83" i="1"/>
  <c r="I82" i="1"/>
  <c r="U82" i="1"/>
  <c r="M81" i="1"/>
  <c r="E80" i="1"/>
  <c r="Q80" i="1"/>
  <c r="I79" i="1"/>
  <c r="U79" i="1"/>
  <c r="M78" i="1"/>
  <c r="E77" i="1"/>
  <c r="Q77" i="1"/>
  <c r="P1" i="1" a="1"/>
  <c r="I1" i="1" a="1"/>
  <c r="V70" i="1" a="1"/>
  <c r="G70" i="1" a="1"/>
  <c r="R2" i="1"/>
  <c r="F2" i="1"/>
  <c r="N71" i="1"/>
  <c r="V72" i="1"/>
  <c r="J72" i="1"/>
  <c r="R73" i="1"/>
  <c r="F73" i="1"/>
  <c r="N74" i="1"/>
  <c r="V75" i="1"/>
  <c r="J75" i="1"/>
  <c r="R76" i="1"/>
  <c r="F76" i="1"/>
  <c r="I77" i="1"/>
  <c r="G78" i="1"/>
  <c r="J79" i="1"/>
  <c r="H80" i="1"/>
  <c r="F81" i="1"/>
  <c r="D82" i="1"/>
  <c r="G83" i="1"/>
  <c r="E84" i="1"/>
  <c r="C85" i="1"/>
  <c r="F86" i="1"/>
  <c r="D87" i="1"/>
  <c r="V89" i="1"/>
  <c r="T90" i="1"/>
  <c r="C90" i="1"/>
  <c r="U92" i="1"/>
  <c r="S93" i="1"/>
  <c r="V94" i="1"/>
  <c r="T95" i="1"/>
  <c r="R96" i="1"/>
  <c r="P97" i="1"/>
  <c r="S98" i="1"/>
  <c r="Q99" i="1"/>
  <c r="O100" i="1"/>
  <c r="R101" i="1"/>
  <c r="P102" i="1"/>
  <c r="N103" i="1"/>
  <c r="L104" i="1"/>
  <c r="O105" i="1"/>
  <c r="M106" i="1"/>
  <c r="K107" i="1"/>
  <c r="N108" i="1"/>
  <c r="L109" i="1"/>
  <c r="J110" i="1"/>
  <c r="H111" i="1"/>
  <c r="K112" i="1"/>
  <c r="I113" i="1"/>
  <c r="G114" i="1"/>
  <c r="J115" i="1"/>
  <c r="H116" i="1"/>
  <c r="F117" i="1"/>
  <c r="D118" i="1"/>
  <c r="G119" i="1"/>
  <c r="E120" i="1"/>
  <c r="C121" i="1"/>
  <c r="F122" i="1"/>
  <c r="D123" i="1"/>
  <c r="V125" i="1"/>
  <c r="T126" i="1"/>
  <c r="V127" i="1"/>
  <c r="U70" i="1" a="1"/>
  <c r="N70" i="1" a="1"/>
  <c r="Q2" i="1"/>
  <c r="E2" i="1"/>
  <c r="M71" i="1"/>
  <c r="U72" i="1"/>
  <c r="I72" i="1"/>
  <c r="Q73" i="1"/>
  <c r="E73" i="1"/>
  <c r="M74" i="1"/>
  <c r="U75" i="1"/>
  <c r="I75" i="1"/>
  <c r="Q76" i="1"/>
  <c r="E76" i="1"/>
  <c r="H77" i="1"/>
  <c r="F78" i="1"/>
  <c r="D79" i="1"/>
  <c r="G80" i="1"/>
  <c r="E81" i="1"/>
  <c r="C82" i="1"/>
  <c r="F83" i="1"/>
  <c r="D84" i="1"/>
  <c r="V86" i="1"/>
  <c r="T87" i="1"/>
  <c r="C87" i="1"/>
  <c r="U89" i="1"/>
  <c r="S90" i="1"/>
  <c r="V91" i="1"/>
  <c r="T92" i="1"/>
  <c r="R93" i="1"/>
  <c r="P94" i="1"/>
  <c r="S95" i="1"/>
  <c r="Q96" i="1"/>
  <c r="O97" i="1"/>
  <c r="R98" i="1"/>
  <c r="P99" i="1"/>
  <c r="N100" i="1"/>
  <c r="L101" i="1"/>
  <c r="O102" i="1"/>
  <c r="M103" i="1"/>
  <c r="K104" i="1"/>
  <c r="N105" i="1"/>
  <c r="L106" i="1"/>
  <c r="J107" i="1"/>
  <c r="H108" i="1"/>
  <c r="K109" i="1"/>
  <c r="I110" i="1"/>
  <c r="G111" i="1"/>
  <c r="J112" i="1"/>
  <c r="H113" i="1"/>
  <c r="F114" i="1"/>
  <c r="D115" i="1"/>
  <c r="G116" i="1"/>
  <c r="E117" i="1"/>
  <c r="C118" i="1"/>
  <c r="F119" i="1"/>
  <c r="D120" i="1"/>
  <c r="V122" i="1"/>
  <c r="T123" i="1"/>
  <c r="C123" i="1"/>
  <c r="U125" i="1"/>
  <c r="S126" i="1"/>
  <c r="U127" i="1"/>
  <c r="V1" i="1" a="1"/>
  <c r="O1" i="1" a="1"/>
  <c r="H1" i="1" a="1"/>
  <c r="M70" i="1" a="1"/>
  <c r="F70" i="1" a="1"/>
  <c r="P2" i="1"/>
  <c r="D2" i="1"/>
  <c r="L71" i="1"/>
  <c r="T72" i="1"/>
  <c r="H72" i="1"/>
  <c r="P73" i="1"/>
  <c r="D73" i="1"/>
  <c r="L74" i="1"/>
  <c r="T75" i="1"/>
  <c r="H75" i="1"/>
  <c r="P76" i="1"/>
  <c r="D76" i="1"/>
  <c r="G77" i="1"/>
  <c r="E78" i="1"/>
  <c r="C79" i="1"/>
  <c r="F80" i="1"/>
  <c r="D81" i="1"/>
  <c r="V83" i="1"/>
  <c r="T84" i="1"/>
  <c r="C84" i="1"/>
  <c r="U86" i="1"/>
  <c r="S87" i="1"/>
  <c r="V88" i="1"/>
  <c r="T89" i="1"/>
  <c r="R90" i="1"/>
  <c r="P91" i="1"/>
  <c r="S92" i="1"/>
  <c r="Q93" i="1"/>
  <c r="O94" i="1"/>
  <c r="R95" i="1"/>
  <c r="P96" i="1"/>
  <c r="N97" i="1"/>
  <c r="L98" i="1"/>
  <c r="O99" i="1"/>
  <c r="M100" i="1"/>
  <c r="K101" i="1"/>
  <c r="N102" i="1"/>
  <c r="L103" i="1"/>
  <c r="J104" i="1"/>
  <c r="H105" i="1"/>
  <c r="K106" i="1"/>
  <c r="I107" i="1"/>
  <c r="G108" i="1"/>
  <c r="J109" i="1"/>
  <c r="H110" i="1"/>
  <c r="F111" i="1"/>
  <c r="D112" i="1"/>
  <c r="G113" i="1"/>
  <c r="E114" i="1"/>
  <c r="C115" i="1"/>
  <c r="F116" i="1"/>
  <c r="D117" i="1"/>
  <c r="V119" i="1"/>
  <c r="T120" i="1"/>
  <c r="C120" i="1"/>
  <c r="U122" i="1"/>
  <c r="S123" i="1"/>
  <c r="V124" i="1"/>
  <c r="T125" i="1"/>
  <c r="R126" i="1"/>
  <c r="N127" i="1"/>
  <c r="AF2" i="1"/>
  <c r="G1" i="1" a="1"/>
  <c r="T70" i="1" a="1"/>
  <c r="O2" i="1"/>
  <c r="C2" i="1"/>
  <c r="K71" i="1"/>
  <c r="S72" i="1"/>
  <c r="G72" i="1"/>
  <c r="O73" i="1"/>
  <c r="C73" i="1"/>
  <c r="K74" i="1"/>
  <c r="S75" i="1"/>
  <c r="G75" i="1"/>
  <c r="O76" i="1"/>
  <c r="C76" i="1"/>
  <c r="F77" i="1"/>
  <c r="D78" i="1"/>
  <c r="V80" i="1"/>
  <c r="T81" i="1"/>
  <c r="C81" i="1"/>
  <c r="U83" i="1"/>
  <c r="S84" i="1"/>
  <c r="V85" i="1"/>
  <c r="T86" i="1"/>
  <c r="R87" i="1"/>
  <c r="P88" i="1"/>
  <c r="S89" i="1"/>
  <c r="Q90" i="1"/>
  <c r="O91" i="1"/>
  <c r="R92" i="1"/>
  <c r="P93" i="1"/>
  <c r="N94" i="1"/>
  <c r="L95" i="1"/>
  <c r="O96" i="1"/>
  <c r="M97" i="1"/>
  <c r="K98" i="1"/>
  <c r="N99" i="1"/>
  <c r="L100" i="1"/>
  <c r="J101" i="1"/>
  <c r="H102" i="1"/>
  <c r="K103" i="1"/>
  <c r="I104" i="1"/>
  <c r="G105" i="1"/>
  <c r="J106" i="1"/>
  <c r="H107" i="1"/>
  <c r="F108" i="1"/>
  <c r="D109" i="1"/>
  <c r="G110" i="1"/>
  <c r="E111" i="1"/>
  <c r="C112" i="1"/>
  <c r="F113" i="1"/>
  <c r="D114" i="1"/>
  <c r="V116" i="1"/>
  <c r="T117" i="1"/>
  <c r="C117" i="1"/>
  <c r="U119" i="1"/>
  <c r="S120" i="1"/>
  <c r="V121" i="1"/>
  <c r="T122" i="1"/>
  <c r="R123" i="1"/>
  <c r="P124" i="1"/>
  <c r="S125" i="1"/>
  <c r="Q126" i="1"/>
  <c r="M127" i="1"/>
  <c r="U1" i="1" a="1"/>
  <c r="N1" i="1" a="1"/>
  <c r="S70" i="1" a="1"/>
  <c r="L70" i="1" a="1"/>
  <c r="E70" i="1" a="1"/>
  <c r="N2" i="1"/>
  <c r="V71" i="1"/>
  <c r="J71" i="1"/>
  <c r="R72" i="1"/>
  <c r="F72" i="1"/>
  <c r="N73" i="1"/>
  <c r="V74" i="1"/>
  <c r="J74" i="1"/>
  <c r="R75" i="1"/>
  <c r="F75" i="1"/>
  <c r="N76" i="1"/>
  <c r="V77" i="1"/>
  <c r="T78" i="1"/>
  <c r="C78" i="1"/>
  <c r="U80" i="1"/>
  <c r="S81" i="1"/>
  <c r="V82" i="1"/>
  <c r="T83" i="1"/>
  <c r="R84" i="1"/>
  <c r="P85" i="1"/>
  <c r="S86" i="1"/>
  <c r="Q87" i="1"/>
  <c r="O88" i="1"/>
  <c r="R89" i="1"/>
  <c r="P90" i="1"/>
  <c r="N91" i="1"/>
  <c r="L92" i="1"/>
  <c r="O93" i="1"/>
  <c r="M94" i="1"/>
  <c r="K95" i="1"/>
  <c r="N96" i="1"/>
  <c r="L97" i="1"/>
  <c r="J98" i="1"/>
  <c r="H99" i="1"/>
  <c r="K100" i="1"/>
  <c r="I101" i="1"/>
  <c r="G102" i="1"/>
  <c r="J103" i="1"/>
  <c r="H104" i="1"/>
  <c r="F105" i="1"/>
  <c r="D106" i="1"/>
  <c r="G107" i="1"/>
  <c r="E108" i="1"/>
  <c r="C109" i="1"/>
  <c r="F110" i="1"/>
  <c r="D111" i="1"/>
  <c r="V113" i="1"/>
  <c r="T114" i="1"/>
  <c r="C114" i="1"/>
  <c r="U116" i="1"/>
  <c r="S117" i="1"/>
  <c r="V118" i="1"/>
  <c r="T119" i="1"/>
  <c r="R120" i="1"/>
  <c r="P121" i="1"/>
  <c r="S122" i="1"/>
  <c r="Q123" i="1"/>
  <c r="O124" i="1"/>
  <c r="R125" i="1"/>
  <c r="P126" i="1"/>
  <c r="L127" i="1"/>
  <c r="M1" i="1" a="1"/>
  <c r="F1" i="1" a="1"/>
  <c r="M2" i="1"/>
  <c r="U71" i="1"/>
  <c r="I71" i="1"/>
  <c r="Q72" i="1"/>
  <c r="E72" i="1"/>
  <c r="M73" i="1"/>
  <c r="U74" i="1"/>
  <c r="I74" i="1"/>
  <c r="Q75" i="1"/>
  <c r="E75" i="1"/>
  <c r="M76" i="1"/>
  <c r="U77" i="1"/>
  <c r="S78" i="1"/>
  <c r="V79" i="1"/>
  <c r="T80" i="1"/>
  <c r="R81" i="1"/>
  <c r="P82" i="1"/>
  <c r="S83" i="1"/>
  <c r="Q84" i="1"/>
  <c r="O85" i="1"/>
  <c r="R86" i="1"/>
  <c r="P87" i="1"/>
  <c r="N88" i="1"/>
  <c r="L89" i="1"/>
  <c r="O90" i="1"/>
  <c r="M91" i="1"/>
  <c r="K92" i="1"/>
  <c r="N93" i="1"/>
  <c r="L94" i="1"/>
  <c r="J95" i="1"/>
  <c r="H96" i="1"/>
  <c r="K97" i="1"/>
  <c r="I98" i="1"/>
  <c r="G99" i="1"/>
  <c r="J100" i="1"/>
  <c r="H101" i="1"/>
  <c r="F102" i="1"/>
  <c r="D103" i="1"/>
  <c r="G104" i="1"/>
  <c r="E105" i="1"/>
  <c r="C106" i="1"/>
  <c r="F107" i="1"/>
  <c r="D108" i="1"/>
  <c r="V110" i="1"/>
  <c r="T111" i="1"/>
  <c r="C111" i="1"/>
  <c r="U113" i="1"/>
  <c r="S114" i="1"/>
  <c r="V115" i="1"/>
  <c r="T116" i="1"/>
  <c r="R117" i="1"/>
  <c r="P118" i="1"/>
  <c r="S119" i="1"/>
  <c r="Q120" i="1"/>
  <c r="O121" i="1"/>
  <c r="R122" i="1"/>
  <c r="P123" i="1"/>
  <c r="N124" i="1"/>
  <c r="L125" i="1"/>
  <c r="O126" i="1"/>
  <c r="K127" i="1"/>
  <c r="T1" i="1" a="1"/>
  <c r="E1" i="1" a="1"/>
  <c r="R70" i="1" a="1"/>
  <c r="K70" i="1" a="1"/>
  <c r="D70" i="1" a="1"/>
  <c r="L2" i="1"/>
  <c r="T71" i="1"/>
  <c r="H71" i="1"/>
  <c r="P72" i="1"/>
  <c r="D72" i="1"/>
  <c r="L73" i="1"/>
  <c r="T74" i="1"/>
  <c r="H74" i="1"/>
  <c r="P75" i="1"/>
  <c r="D75" i="1"/>
  <c r="L76" i="1"/>
  <c r="T77" i="1"/>
  <c r="R78" i="1"/>
  <c r="P79" i="1"/>
  <c r="S80" i="1"/>
  <c r="Q81" i="1"/>
  <c r="O82" i="1"/>
  <c r="R83" i="1"/>
  <c r="P84" i="1"/>
  <c r="N85" i="1"/>
  <c r="L86" i="1"/>
  <c r="O87" i="1"/>
  <c r="M88" i="1"/>
  <c r="K89" i="1"/>
  <c r="N90" i="1"/>
  <c r="L91" i="1"/>
  <c r="J92" i="1"/>
  <c r="H93" i="1"/>
  <c r="K94" i="1"/>
  <c r="I95" i="1"/>
  <c r="G96" i="1"/>
  <c r="J97" i="1"/>
  <c r="H98" i="1"/>
  <c r="F99" i="1"/>
  <c r="D100" i="1"/>
  <c r="G101" i="1"/>
  <c r="E102" i="1"/>
  <c r="C103" i="1"/>
  <c r="F104" i="1"/>
  <c r="D105" i="1"/>
  <c r="V107" i="1"/>
  <c r="T108" i="1"/>
  <c r="C108" i="1"/>
  <c r="U110" i="1"/>
  <c r="S111" i="1"/>
  <c r="V112" i="1"/>
  <c r="T113" i="1"/>
  <c r="R114" i="1"/>
  <c r="P115" i="1"/>
  <c r="S116" i="1"/>
  <c r="Q117" i="1"/>
  <c r="O118" i="1"/>
  <c r="R119" i="1"/>
  <c r="P120" i="1"/>
  <c r="N121" i="1"/>
  <c r="L122" i="1"/>
  <c r="O123" i="1"/>
  <c r="M124" i="1"/>
  <c r="K125" i="1"/>
  <c r="N126" i="1"/>
  <c r="J127" i="1"/>
  <c r="S1" i="1" a="1"/>
  <c r="L1" i="1" a="1"/>
  <c r="C70" i="1" a="1"/>
  <c r="K2" i="1"/>
  <c r="S71" i="1"/>
  <c r="G71" i="1"/>
  <c r="O72" i="1"/>
  <c r="C72" i="1"/>
  <c r="K73" i="1"/>
  <c r="S74" i="1"/>
  <c r="G74" i="1"/>
  <c r="O75" i="1"/>
  <c r="C75" i="1"/>
  <c r="K76" i="1"/>
  <c r="S77" i="1"/>
  <c r="Q78" i="1"/>
  <c r="O79" i="1"/>
  <c r="R80" i="1"/>
  <c r="P81" i="1"/>
  <c r="N82" i="1"/>
  <c r="L83" i="1"/>
  <c r="O84" i="1"/>
  <c r="M85" i="1"/>
  <c r="K86" i="1"/>
  <c r="N87" i="1"/>
  <c r="L88" i="1"/>
  <c r="J89" i="1"/>
  <c r="H90" i="1"/>
  <c r="K91" i="1"/>
  <c r="I92" i="1"/>
  <c r="G93" i="1"/>
  <c r="J94" i="1"/>
  <c r="H95" i="1"/>
  <c r="F96" i="1"/>
  <c r="D97" i="1"/>
  <c r="G98" i="1"/>
  <c r="E99" i="1"/>
  <c r="C100" i="1"/>
  <c r="F101" i="1"/>
  <c r="D102" i="1"/>
  <c r="V104" i="1"/>
  <c r="T105" i="1"/>
  <c r="C105" i="1"/>
  <c r="U107" i="1"/>
  <c r="S108" i="1"/>
  <c r="V109" i="1"/>
  <c r="T110" i="1"/>
  <c r="R111" i="1"/>
  <c r="P112" i="1"/>
  <c r="S113" i="1"/>
  <c r="Q114" i="1"/>
  <c r="O115" i="1"/>
  <c r="R116" i="1"/>
  <c r="P117" i="1"/>
  <c r="N118" i="1"/>
  <c r="L119" i="1"/>
  <c r="O120" i="1"/>
  <c r="M121" i="1"/>
  <c r="K122" i="1"/>
  <c r="N123" i="1"/>
  <c r="L124" i="1"/>
  <c r="J125" i="1"/>
  <c r="G126" i="1"/>
  <c r="I127" i="1"/>
  <c r="I8" i="6"/>
  <c r="K1" i="1" a="1"/>
  <c r="D1" i="1" a="1"/>
  <c r="Q70" i="1" a="1"/>
  <c r="J70" i="1" a="1"/>
  <c r="V2" i="1"/>
  <c r="J2" i="1"/>
  <c r="R71" i="1"/>
  <c r="F71" i="1"/>
  <c r="N72" i="1"/>
  <c r="V73" i="1"/>
  <c r="J73" i="1"/>
  <c r="R74" i="1"/>
  <c r="F74" i="1"/>
  <c r="N75" i="1"/>
  <c r="V76" i="1"/>
  <c r="J76" i="1"/>
  <c r="R77" i="1"/>
  <c r="P78" i="1"/>
  <c r="N79" i="1"/>
  <c r="L80" i="1"/>
  <c r="O81" i="1"/>
  <c r="M82" i="1"/>
  <c r="K83" i="1"/>
  <c r="N84" i="1"/>
  <c r="L85" i="1"/>
  <c r="J86" i="1"/>
  <c r="H87" i="1"/>
  <c r="K88" i="1"/>
  <c r="I89" i="1"/>
  <c r="G90" i="1"/>
  <c r="J91" i="1"/>
  <c r="H92" i="1"/>
  <c r="F93" i="1"/>
  <c r="D94" i="1"/>
  <c r="G95" i="1"/>
  <c r="E96" i="1"/>
  <c r="C97" i="1"/>
  <c r="F98" i="1"/>
  <c r="D99" i="1"/>
  <c r="V101" i="1"/>
  <c r="T102" i="1"/>
  <c r="C102" i="1"/>
  <c r="U104" i="1"/>
  <c r="S105" i="1"/>
  <c r="V106" i="1"/>
  <c r="T107" i="1"/>
  <c r="R108" i="1"/>
  <c r="P109" i="1"/>
  <c r="S110" i="1"/>
  <c r="Q111" i="1"/>
  <c r="O112" i="1"/>
  <c r="R113" i="1"/>
  <c r="P114" i="1"/>
  <c r="N115" i="1"/>
  <c r="L116" i="1"/>
  <c r="O117" i="1"/>
  <c r="M118" i="1"/>
  <c r="K119" i="1"/>
  <c r="N120" i="1"/>
  <c r="L121" i="1"/>
  <c r="J122" i="1"/>
  <c r="H123" i="1"/>
  <c r="K124" i="1"/>
  <c r="I125" i="1"/>
  <c r="F126" i="1"/>
  <c r="H127" i="1"/>
  <c r="R1" i="1" a="1"/>
  <c r="I70" i="1" a="1"/>
  <c r="U2" i="1"/>
  <c r="I2" i="1"/>
  <c r="Q71" i="1"/>
  <c r="E71" i="1"/>
  <c r="M72" i="1"/>
  <c r="U73" i="1"/>
  <c r="I73" i="1"/>
  <c r="Q74" i="1"/>
  <c r="E74" i="1"/>
  <c r="M75" i="1"/>
  <c r="U76" i="1"/>
  <c r="I76" i="1"/>
  <c r="L77" i="1"/>
  <c r="O78" i="1"/>
  <c r="M79" i="1"/>
  <c r="K80" i="1"/>
  <c r="N81" i="1"/>
  <c r="L82" i="1"/>
  <c r="J83" i="1"/>
  <c r="H84" i="1"/>
  <c r="K85" i="1"/>
  <c r="I86" i="1"/>
  <c r="G87" i="1"/>
  <c r="J88" i="1"/>
  <c r="H89" i="1"/>
  <c r="F90" i="1"/>
  <c r="D91" i="1"/>
  <c r="G92" i="1"/>
  <c r="E93" i="1"/>
  <c r="C94" i="1"/>
  <c r="F95" i="1"/>
  <c r="D96" i="1"/>
  <c r="V98" i="1"/>
  <c r="T99" i="1"/>
  <c r="C99" i="1"/>
  <c r="U101" i="1"/>
  <c r="S102" i="1"/>
  <c r="V103" i="1"/>
  <c r="T104" i="1"/>
  <c r="R105" i="1"/>
  <c r="P106" i="1"/>
  <c r="S107" i="1"/>
  <c r="Q108" i="1"/>
  <c r="O109" i="1"/>
  <c r="R110" i="1"/>
  <c r="P111" i="1"/>
  <c r="N112" i="1"/>
  <c r="L113" i="1"/>
  <c r="O114" i="1"/>
  <c r="M115" i="1"/>
  <c r="K116" i="1"/>
  <c r="N117" i="1"/>
  <c r="L118" i="1"/>
  <c r="J119" i="1"/>
  <c r="H120" i="1"/>
  <c r="K121" i="1"/>
  <c r="I122" i="1"/>
  <c r="G123" i="1"/>
  <c r="J124" i="1"/>
  <c r="H125" i="1"/>
  <c r="E126" i="1"/>
  <c r="E127" i="1"/>
  <c r="I126" i="1"/>
  <c r="Q127" i="1"/>
  <c r="AE91" i="1"/>
  <c r="AF91" i="1" s="1"/>
  <c r="N3" i="1" l="1"/>
  <c r="S3" i="1"/>
  <c r="K3" i="1"/>
  <c r="O3" i="1"/>
  <c r="I3" i="1"/>
  <c r="V3" i="1"/>
  <c r="L3" i="1"/>
  <c r="Q3" i="1"/>
  <c r="F3" i="1"/>
  <c r="U68" i="1" a="1"/>
  <c r="U68" i="1" s="1"/>
  <c r="I68" i="1" a="1"/>
  <c r="I68" i="1" s="1"/>
  <c r="T68" i="1" a="1"/>
  <c r="T68" i="1" s="1"/>
  <c r="S68" i="1" a="1"/>
  <c r="S68" i="1" s="1"/>
  <c r="G68" i="1" a="1"/>
  <c r="G68" i="1" s="1"/>
  <c r="O68" i="1" a="1"/>
  <c r="O68" i="1" s="1"/>
  <c r="L68" i="1" a="1"/>
  <c r="L68" i="1" s="1"/>
  <c r="Q68" i="1" a="1"/>
  <c r="Q68" i="1" s="1"/>
  <c r="N68" i="1" a="1"/>
  <c r="N68" i="1" s="1"/>
  <c r="M68" i="1" a="1"/>
  <c r="M68" i="1" s="1"/>
  <c r="K68" i="1" a="1"/>
  <c r="K68" i="1" s="1"/>
  <c r="J68" i="1" a="1"/>
  <c r="J68" i="1" s="1"/>
  <c r="H68" i="1" a="1"/>
  <c r="H68" i="1" s="1"/>
  <c r="D68" i="1" a="1"/>
  <c r="D68" i="1" s="1"/>
  <c r="V68" i="1" a="1"/>
  <c r="V68" i="1" s="1"/>
  <c r="C68" i="1" a="1"/>
  <c r="C68" i="1" s="1"/>
  <c r="R68" i="1" a="1"/>
  <c r="R68" i="1" s="1"/>
  <c r="E68" i="1" a="1"/>
  <c r="E68" i="1" s="1"/>
  <c r="P68" i="1" a="1"/>
  <c r="P68" i="1" s="1"/>
  <c r="F68" i="1" a="1"/>
  <c r="F68" i="1" s="1"/>
  <c r="G3" i="1"/>
  <c r="D3" i="1"/>
  <c r="P3" i="1"/>
  <c r="E3" i="1"/>
  <c r="R3" i="1"/>
  <c r="H3" i="1"/>
  <c r="U3" i="1"/>
  <c r="T3" i="1"/>
  <c r="J3" i="1"/>
  <c r="M3" i="1"/>
  <c r="P4" i="1" l="1"/>
  <c r="T4" i="1"/>
  <c r="H4" i="1"/>
  <c r="J4" i="1"/>
  <c r="M4" i="1"/>
  <c r="S4" i="1"/>
  <c r="F4" i="1"/>
  <c r="D4" i="1"/>
  <c r="N4" i="1"/>
  <c r="O4" i="1"/>
  <c r="R4" i="1"/>
  <c r="K4" i="1"/>
  <c r="U4" i="1"/>
  <c r="Q4" i="1"/>
  <c r="E4" i="1"/>
  <c r="I4" i="1"/>
  <c r="G4" i="1"/>
  <c r="L4" i="1"/>
  <c r="V4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Z52" i="1"/>
  <c r="Y52" i="1"/>
  <c r="Z51" i="1"/>
  <c r="Y51" i="1"/>
  <c r="Z48" i="1"/>
  <c r="Y48" i="1"/>
  <c r="Z46" i="1"/>
  <c r="Y46" i="1"/>
  <c r="Z44" i="1"/>
  <c r="Y44" i="1"/>
  <c r="Z43" i="1"/>
  <c r="Y43" i="1"/>
  <c r="Z42" i="1"/>
  <c r="Y42" i="1"/>
  <c r="Z39" i="1"/>
  <c r="Y39" i="1"/>
  <c r="Z37" i="1"/>
  <c r="Y37" i="1"/>
  <c r="Z35" i="1"/>
  <c r="Y35" i="1"/>
  <c r="Z34" i="1"/>
  <c r="Y34" i="1"/>
  <c r="Z32" i="1"/>
  <c r="Y32" i="1"/>
  <c r="Z30" i="1"/>
  <c r="Y30" i="1"/>
  <c r="Z28" i="1"/>
  <c r="Y28" i="1"/>
  <c r="Z26" i="1"/>
  <c r="Y26" i="1"/>
  <c r="Z24" i="1"/>
  <c r="Y24" i="1"/>
  <c r="Z22" i="1"/>
  <c r="Y22" i="1"/>
  <c r="Z20" i="1"/>
  <c r="Y20" i="1"/>
  <c r="Z18" i="1"/>
  <c r="Y18" i="1"/>
  <c r="Z16" i="1"/>
  <c r="Y16" i="1"/>
  <c r="Z14" i="1"/>
  <c r="Y14" i="1"/>
  <c r="Z12" i="1"/>
  <c r="Y12" i="1"/>
  <c r="Z11" i="1"/>
  <c r="Y11" i="1"/>
  <c r="Z9" i="1"/>
  <c r="Y9" i="1"/>
  <c r="Z8" i="1"/>
  <c r="Y8" i="1"/>
  <c r="Z7" i="1"/>
  <c r="Y7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PLN</author>
  </authors>
  <commentList>
    <comment ref="Y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PLN:
Sumber: sheet ROH baris 176 (PLTU ADIPALA #1), 48 nilai kolom C:AX. Nama di A7 ("PLTU ADPLA #1") berbeda dengan di ROH, jadi kunci pencarian ditulis eksplisit. Formula lama: =AVERAGE(OFFSET('[LS_02092026_beban.xlsx]ROH-009B-Awal'!$J$6:$BE$512,MATCH(A7,$C$132:$C$561,0),0,1,48))/615</t>
        </r>
      </text>
    </comment>
    <comment ref="X18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PLN:
Nama unit di Kit_PU tertulis "PLTU TJ AWAR2 #1/#2", berbeda dari label A18:A19 ("PLTU TAWAR"), sehingga MATCH ke A18/A19 menghasilkan #N/A.</t>
        </r>
      </text>
    </comment>
    <comment ref="Y18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PLN:
Nama unit di daftar ROH (C132:C560) berbeda dari label A18:A19 yang kini memakai penamaan Kit_PU, jadi nama versi ROH ditulis langsung di sini.</t>
        </r>
      </text>
    </comment>
    <comment ref="X2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PLN:
Di Kit_PU unit tertulis "PLTU Jawa Power #5/#6", beda dari label A24:A25 ("PLTU JP"), jadi nama ditulis langsung.</t>
        </r>
      </text>
    </comment>
    <comment ref="Y24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PLN:
Nama versi ROH ("PLTU JP #5/#6") ditulis langsung; label A24:A25 memakai penamaan Kit_PU.</t>
        </r>
      </text>
    </comment>
    <comment ref="X28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PLN:
Formula Y28 di sebelahnya masih menunjuk A12:A13 (TJATIBJP), bukan A28:A29 (JAWA 7) — kemungkinan sisa copy. X28 sudah pakai A28:A29.</t>
        </r>
      </text>
    </comment>
    <comment ref="Y2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PLN:
Sebelumnya formula ini merujuk A12:A13 (TJATIBJP) — sisa copy; diperbaiki ke A28:A29 (JAWA 7 #1/#2).</t>
        </r>
      </text>
    </comment>
    <comment ref="Z28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PLN:
Sebelumnya mewarisi rujukan salah A12:A13 dari Y28; diperbaiki ke A28:A29 (JAWA 7 #1/#2).</t>
        </r>
      </text>
    </comment>
    <comment ref="X30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PLN:
Di Kit_PU tertulis "PLTU PAITON #9", beda dari label A30 ("PLTU PITON #9").</t>
        </r>
      </text>
    </comment>
    <comment ref="Y30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PLN:
Nama versi ROH ("PLTU PITON #9") ditulis langsung; label A30 memakai penamaan Kit_PU.</t>
        </r>
      </text>
    </comment>
    <comment ref="X3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PLN:
Di Kit_PU tertulis "PLTU PACITAN #1/#2", beda dari label A32:A33 ("PLTU PCTAN").</t>
        </r>
      </text>
    </comment>
    <comment ref="Y3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PLN:
Nama versi ROH ("PLTU PCTAN #1/#2") ditulis langsung; label A32:A33 memakai penamaan Kit_PU.</t>
        </r>
      </text>
    </comment>
    <comment ref="A34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PLN:
Unit ini di daftar ROH bernama "PLTU CRBON #2" (C308); di Kit_PU bernama "PLTU CEPR #1" (Cirebon Energi Prasarana), beban rata-rata ~848 MW dari kapasitas 924 MW.</t>
        </r>
      </text>
    </comment>
    <comment ref="X34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PLN:
Kit_PU hanya punya satu unit Cirebon: "PLTU IPP CIREBON #1". Label A34 adalah "PLTU CRBON #2" — perlu dikonfirmasi apakah keduanya unit yang sama.</t>
        </r>
      </text>
    </comment>
    <comment ref="Y34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PLN:
Nama versi ROH ("PLTU CRBON #2", lihat C308) ditulis langsung; label A34 memakai penamaan Kit_PU.</t>
        </r>
      </text>
    </comment>
    <comment ref="X35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PLN:
Kit_PU hanya punya satu unit Cirebon, "PLTU IPP CIREBON #1", dengan beban rata-rata ~652 MW — cocok dengan kapasitas 660 MW (Cirebon #1), bukan 924 MW (Cirebon #2).</t>
        </r>
      </text>
    </comment>
    <comment ref="Y35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PLN:
Nama versi ROH ("PLTU CRBON #1") ditulis langsung; label A35 memakai penamaan Kit_PU.</t>
        </r>
      </text>
    </comment>
    <comment ref="X39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PLN:
DMN 323 MW per unit × 3 unit (PRATU #1–#3), sesuai keterangan pengguna.</t>
        </r>
      </text>
    </comment>
    <comment ref="Y39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PLN:
DMN 323 MW per unit × 3 unit (PRATU #1–#3), sesuai keterangan pengguna.</t>
        </r>
      </text>
    </comment>
    <comment ref="A4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PLN:
Di daftar ROH (C142) unit ini bernama "PLTU SLAYA #8"; di Kit_PU bernama "PLTU SRLYA #8".</t>
        </r>
      </text>
    </comment>
    <comment ref="X4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PLN:
DMN 540 MW, sesuai keterangan pengguna.</t>
        </r>
      </text>
    </comment>
    <comment ref="Y4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PLN:
Nama versi ROH ("PLTU SLAYA #8") ditulis langsung; label A42 memakai penamaan Kit_PU. DMN 540 MW.</t>
        </r>
      </text>
    </comment>
    <comment ref="X4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PLN:
Gabungan 4 unit Suralaya #1–#4 (di Kit_PU bernama "PLTU SRLYA #1–#4", di ROH "PLTU SLAYA #1–#4"). Nama ditulis langsung karena label A43 ("Suralaya 1-4") adalah nama grup. DMN 371,5 MW per unit × 4 unit, sesuai keterangan pengguna.</t>
        </r>
      </text>
    </comment>
    <comment ref="Y4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PLN:
Gabungan 4 unit versi ROH ("PLTU SLAYA #1–#4", C134:C137). DMN 371,5 MW per unit × 4 unit.</t>
        </r>
      </text>
    </comment>
    <comment ref="A44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RMBNG #1"; di Kit_PU bernama "PLTU REMBANG #10".</t>
        </r>
      </text>
    </comment>
    <comment ref="X44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PLN:
DMN 280 MW per unit × 2 unit, sesuai keterangan pengguna.</t>
        </r>
      </text>
    </comment>
    <comment ref="Y44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PLN:
Nama versi ROH ("PLTU RMBNG #1/#2") ditulis langsung; label A44:A45 memakai penamaan Kit_PU. DMN 280 MW per unit.</t>
        </r>
      </text>
    </comment>
    <comment ref="A45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RMBNG #2"; di Kit_PU bernama "PLTU REMBANG #20".</t>
        </r>
      </text>
    </comment>
    <comment ref="A48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#1"; di Kit_PU bernama "PLTU INDRAMAYU #1".</t>
        </r>
      </text>
    </comment>
    <comment ref="X48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PLN:
DMN 290 MW per unit × 3 unit (INDRAMAYU #1–#3), sesuai keterangan pengguna.</t>
        </r>
      </text>
    </comment>
    <comment ref="Y48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PLN:
Nama versi ROH ("PLTU IDMYU #1–#3") ditulis langsung; label A48:A50 memakai penamaan Kit_PU. DMN 290 MW per unit.</t>
        </r>
      </text>
    </comment>
    <comment ref="A49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#2"; di Kit_PU bernama "PLTU INDRAMAYU #2".</t>
        </r>
      </text>
    </comment>
    <comment ref="A50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PLN:
Di daftar ROH unit ini bernama "PLTU IDMYU #3"; di Kit_PU bernama "PLTU INDRAMAYU #3".</t>
        </r>
      </text>
    </comment>
    <comment ref="X51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PLN:
Gabungan 2 unit Labuan (di Kit_PU "PLTU LABUAN #1/#2", di ROH "PLTU LBUAN #1/#2"). Nama ditulis langsung karena label A51 ("Labuan") adalah nama grup. DMN 280 MW per unit × 2 unit, sesuai keterangan pengguna.</t>
        </r>
      </text>
    </comment>
    <comment ref="Y51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PLN:
Gabungan 2 unit versi ROH ("PLTU LBUAN #1/#2"). DMN 280 MW per unit × 2 unit.</t>
        </r>
      </text>
    </comment>
    <comment ref="X5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PLN:
Gabungan 4 unit Lontar (Kit_PU "PLTU LONTAR #1–#4", ROH "PLTU LNTAR #1–#4"). Nama ditulis langsung karena label A52 ("Lontar") adalah nama grup. DMN: #1–#3 280 MW, #4 293 MW → total 1.133 MW, sesuai keterangan pengguna.</t>
        </r>
      </text>
    </comment>
    <comment ref="Y5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PLN:
Gabungan 4 unit versi ROH ("PLTU LNTAR #1–#4"). DMN: #1–#3 280 MW, #4 293 MW → total 1.133 MW.</t>
        </r>
      </text>
    </comment>
    <comment ref="C68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PLN:
Pengganti SUMIFS: nilai di C71:C127 bertipe teks sehingga SUMIFS menghasilkan 0. VALUE mengkonversi, IFERROR mengabaikan baris yang B-nya #N/A. Formula lama: =SUMIFS(C71:C127,$B$71:$B$127,1)</t>
        </r>
      </text>
    </comment>
    <comment ref="C71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PLN:
Formula lama (backup): =INDEX($L$131:$BH$679,MATCH(A71,$C$131:$C$679,0),MATCH($C$70,$L$130:$BH$130))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DFE38-88C3-4020-A434-A8D94A5C2EC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F1FEF18-DA96-4CF7-B441-AAD76C039DE8}" keepAlive="1" name="Query - raw(1)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  <connection id="3" xr16:uid="{5A4B5CF5-A74D-403B-BB44-1DF8FCCB977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8577B9C3-BB3A-43EE-B015-C5F07A502F7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BB0FFC74-5EB7-40FA-AA99-9D395347C08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<sst xmlns="http://schemas.openxmlformats.org/spreadsheetml/2006/main" count="4484" uniqueCount="681">
  <si>
    <t>ROH_INT</t>
  </si>
  <si>
    <t>SIANG</t>
  </si>
  <si>
    <t>stiffness Mw/Hz</t>
  </si>
  <si>
    <t>SAGULING</t>
  </si>
  <si>
    <t xml:space="preserve">CIRATA </t>
  </si>
  <si>
    <t>JATILUHUR</t>
  </si>
  <si>
    <t>MRICA</t>
  </si>
  <si>
    <t>Load Sistem</t>
  </si>
  <si>
    <t>MAX</t>
  </si>
  <si>
    <t>Trend Naik/Turun</t>
  </si>
  <si>
    <t>Basah</t>
  </si>
  <si>
    <t>Target</t>
  </si>
  <si>
    <t>SCH Contribute</t>
  </si>
  <si>
    <t xml:space="preserve">Normal </t>
  </si>
  <si>
    <t>Now</t>
  </si>
  <si>
    <t>Additional</t>
  </si>
  <si>
    <t>Kering</t>
  </si>
  <si>
    <t>Inflow</t>
  </si>
  <si>
    <t>real</t>
  </si>
  <si>
    <t>roh</t>
  </si>
  <si>
    <t>int</t>
  </si>
  <si>
    <t>PR</t>
  </si>
  <si>
    <t>Stop Unit</t>
  </si>
  <si>
    <t>PLTU ADPLA #1</t>
  </si>
  <si>
    <t>MIN</t>
  </si>
  <si>
    <t>PLTU CLCAP #4</t>
  </si>
  <si>
    <t>RR</t>
  </si>
  <si>
    <t>menit</t>
  </si>
  <si>
    <t>PLTU TJATI #3</t>
  </si>
  <si>
    <t>MT</t>
  </si>
  <si>
    <t>PLTU TJATI #4</t>
  </si>
  <si>
    <t>PLTU LBE #1</t>
  </si>
  <si>
    <t>PLTU TJATIBJP #5</t>
  </si>
  <si>
    <t>1.0</t>
  </si>
  <si>
    <t>PLTU TJATIBJP #6</t>
  </si>
  <si>
    <t>operasi</t>
  </si>
  <si>
    <t>combine</t>
  </si>
  <si>
    <t>STOP</t>
  </si>
  <si>
    <t>PLTU BATANG #1</t>
  </si>
  <si>
    <t>PLTU BATANG #2</t>
  </si>
  <si>
    <t>2.0</t>
  </si>
  <si>
    <t>PLTU JAWA #09</t>
  </si>
  <si>
    <t>gas</t>
  </si>
  <si>
    <t>sikron gas</t>
  </si>
  <si>
    <t>co hsd</t>
  </si>
  <si>
    <t>PLTU JAWA #10</t>
  </si>
  <si>
    <t>3 jam</t>
  </si>
  <si>
    <t>PLTU TJ AWAR2 #1</t>
  </si>
  <si>
    <t>2jam</t>
  </si>
  <si>
    <t>hsd</t>
  </si>
  <si>
    <t>PLTU TJ AWAR2 #2</t>
  </si>
  <si>
    <t>3.0</t>
  </si>
  <si>
    <t>PLTU TJATI #1</t>
  </si>
  <si>
    <t>PLTU TJATI #2</t>
  </si>
  <si>
    <t>PLTU PITON #1</t>
  </si>
  <si>
    <t>variasi musim</t>
  </si>
  <si>
    <t>DMN-DMP-POMO-FODER-RS</t>
  </si>
  <si>
    <t>PLTU PITON #2</t>
  </si>
  <si>
    <t>4.0</t>
  </si>
  <si>
    <t>PLTU Jawa Power #5</t>
  </si>
  <si>
    <t>PLTU Jawa Power #6</t>
  </si>
  <si>
    <t>5.0</t>
  </si>
  <si>
    <t>PLTU PEC #3</t>
  </si>
  <si>
    <t>TL</t>
  </si>
  <si>
    <t>BBM</t>
  </si>
  <si>
    <t>PLTU CLCAP #3</t>
  </si>
  <si>
    <t>PLTU JAWA 7 #1</t>
  </si>
  <si>
    <t>GRS</t>
  </si>
  <si>
    <t>PLTU JAWA 7 #2</t>
  </si>
  <si>
    <t>PLTU PAITON #9</t>
  </si>
  <si>
    <t>GRT</t>
  </si>
  <si>
    <t>Suralaya 5-7</t>
  </si>
  <si>
    <t>PLTU PACITAN #1</t>
  </si>
  <si>
    <t>PLTU PACITAN #2</t>
  </si>
  <si>
    <t>PLTU CEPR #1</t>
  </si>
  <si>
    <t>PLTU IPP CIREBON #1</t>
  </si>
  <si>
    <t>Celukan Bawang</t>
  </si>
  <si>
    <t>PLTU PEC #7</t>
  </si>
  <si>
    <t>PLTU PEC #8</t>
  </si>
  <si>
    <t>mvar cirata jangan lebih 150 sekunder, batang kediri, suralaya sebisa mungkin dibawah 511</t>
  </si>
  <si>
    <t>PLTU PRATU #1</t>
  </si>
  <si>
    <t>PLTU PRATU #2</t>
  </si>
  <si>
    <t>PLTU PRATU #3</t>
  </si>
  <si>
    <t>PLTU SRLYA #8</t>
  </si>
  <si>
    <t>Suralaya 1-4</t>
  </si>
  <si>
    <t>PLTU REMBANG #10</t>
  </si>
  <si>
    <t>PLTU REMBANG #20</t>
  </si>
  <si>
    <t>PLTU CLCAP #1</t>
  </si>
  <si>
    <t>PLTU CLCAP #2</t>
  </si>
  <si>
    <t>PLTU INDRAMAYU #1</t>
  </si>
  <si>
    <t>PLTU INDRAMAYU #2</t>
  </si>
  <si>
    <t>PLTU INDRAMAYU #3</t>
  </si>
  <si>
    <t>Labuan</t>
  </si>
  <si>
    <t>Lontar</t>
  </si>
  <si>
    <t>PLTA</t>
  </si>
  <si>
    <t>grati</t>
  </si>
  <si>
    <t>pemakaian sekarang</t>
  </si>
  <si>
    <t>mkrang1</t>
  </si>
  <si>
    <t>flow</t>
  </si>
  <si>
    <t>cng</t>
  </si>
  <si>
    <t>mkrang2</t>
  </si>
  <si>
    <t>tbrok</t>
  </si>
  <si>
    <t>operasi 3</t>
  </si>
  <si>
    <t>mkrang3</t>
  </si>
  <si>
    <t>mtwar</t>
  </si>
  <si>
    <t>prioritas gas sesuai nominasi</t>
  </si>
  <si>
    <t>clgon</t>
  </si>
  <si>
    <t>tbrok1</t>
  </si>
  <si>
    <t>prioritas gas menjaga CNG</t>
  </si>
  <si>
    <t>tbrok2</t>
  </si>
  <si>
    <t>priok1/2</t>
  </si>
  <si>
    <t>priok3</t>
  </si>
  <si>
    <t>priok4</t>
  </si>
  <si>
    <t>CLMYA</t>
  </si>
  <si>
    <t>Grsik</t>
  </si>
  <si>
    <t>prioritas bbm gresi1</t>
  </si>
  <si>
    <t>TOTAL SCH</t>
  </si>
  <si>
    <t>TJATI4</t>
  </si>
  <si>
    <t>krian ibt 6</t>
  </si>
  <si>
    <t>krian124gresik12</t>
  </si>
  <si>
    <t>ibt-2=320 selain ini 275, ols tahap 1 350</t>
  </si>
  <si>
    <t>cilegon</t>
  </si>
  <si>
    <t>ols-1875</t>
  </si>
  <si>
    <t>n-1 1200</t>
  </si>
  <si>
    <t>kesugihan</t>
  </si>
  <si>
    <t>start up GU GT 30 menit grati CC 50 menit</t>
  </si>
  <si>
    <t>jawa7</t>
  </si>
  <si>
    <t xml:space="preserve">titik buta </t>
  </si>
  <si>
    <t>sinkron</t>
  </si>
  <si>
    <t>st</t>
  </si>
  <si>
    <t>total</t>
  </si>
  <si>
    <t>DMN</t>
  </si>
  <si>
    <t>TML</t>
  </si>
  <si>
    <t>grati123</t>
  </si>
  <si>
    <t>750 MW</t>
  </si>
  <si>
    <t>30 menit</t>
  </si>
  <si>
    <t>50 menit</t>
  </si>
  <si>
    <t>ungran12</t>
  </si>
  <si>
    <t>200/&lt;900 A</t>
  </si>
  <si>
    <t>45 menit</t>
  </si>
  <si>
    <t>tahap 1 di 1900</t>
  </si>
  <si>
    <t>tjati12</t>
  </si>
  <si>
    <t>1200 A</t>
  </si>
  <si>
    <t>mtwar12</t>
  </si>
  <si>
    <t>PLTU JP #5</t>
  </si>
  <si>
    <t>mtwar34</t>
  </si>
  <si>
    <t>1 jam</t>
  </si>
  <si>
    <t xml:space="preserve">  </t>
  </si>
  <si>
    <t>kalau combine min 100 MW max 125 terkait proteksi temperature exhause HRSG</t>
  </si>
  <si>
    <t>PLTU JP #6</t>
  </si>
  <si>
    <t>mkrang12durkos1</t>
  </si>
  <si>
    <t>khusus GT1.3 dmn 100</t>
  </si>
  <si>
    <t>ST 70-40;220 20</t>
  </si>
  <si>
    <t>PLTU SLAYA #5</t>
  </si>
  <si>
    <t>bkasi24cwang1</t>
  </si>
  <si>
    <t>priok12</t>
  </si>
  <si>
    <t>min 320 max 520 jika AGC om</t>
  </si>
  <si>
    <t>PLTU SLAYA #6</t>
  </si>
  <si>
    <t>PLTU SLAYA #7</t>
  </si>
  <si>
    <t>bbm</t>
  </si>
  <si>
    <t>PLTU PCTAN #1</t>
  </si>
  <si>
    <t>grsikAll</t>
  </si>
  <si>
    <t>PLTU PCTAN #2</t>
  </si>
  <si>
    <t>gresik TU</t>
  </si>
  <si>
    <t>PLTU CRBON #2</t>
  </si>
  <si>
    <t>mkarang1</t>
  </si>
  <si>
    <t>2cc 270 -20</t>
  </si>
  <si>
    <t xml:space="preserve">pola 90 130 160  terkait pressure nya aman </t>
  </si>
  <si>
    <t>NR MK+TP+MTW+PGN MAX 480 MMSCFD</t>
  </si>
  <si>
    <t>PATH INDRA</t>
  </si>
  <si>
    <t>MANDI-BANDUNG</t>
  </si>
  <si>
    <t>PLTU CLBWG #1</t>
  </si>
  <si>
    <t>MANDI-UJUNG</t>
  </si>
  <si>
    <t>PLTU CLBWG #2</t>
  </si>
  <si>
    <t>MANDI-INDRA 1</t>
  </si>
  <si>
    <t>PLTU CLBWG #3</t>
  </si>
  <si>
    <t>MANDI-INDRA 2</t>
  </si>
  <si>
    <t>PLTU RMBNG #1</t>
  </si>
  <si>
    <t>PLTU RMBNG #2</t>
  </si>
  <si>
    <t>PLTU CRBON #1</t>
  </si>
  <si>
    <t>PLTU IDMYU #1</t>
  </si>
  <si>
    <t>PLTU IDMYU #2</t>
  </si>
  <si>
    <t>PLTU IDMYU #3</t>
  </si>
  <si>
    <t>PLTU SLAYA #1</t>
  </si>
  <si>
    <t>PLTU SLAYA #2</t>
  </si>
  <si>
    <t>PLTU SLAYA #3</t>
  </si>
  <si>
    <t>PLTU SLAYA #4</t>
  </si>
  <si>
    <t>PLTU TAWAR #1</t>
  </si>
  <si>
    <t>PLTU TAWAR #2</t>
  </si>
  <si>
    <t>PLTU PITON #9</t>
  </si>
  <si>
    <t>PLTU LBUAN #1</t>
  </si>
  <si>
    <t>PLTU LBUAN #2</t>
  </si>
  <si>
    <t>PLTU LNTAR #1</t>
  </si>
  <si>
    <t>PLTU LNTAR #2</t>
  </si>
  <si>
    <t>PLTU LNTAR #3</t>
  </si>
  <si>
    <t>PLTU LNTAR #4</t>
  </si>
  <si>
    <t>PLTU SLAYA #8</t>
  </si>
  <si>
    <t>PAGI</t>
  </si>
  <si>
    <t>ROH_ORI</t>
  </si>
  <si>
    <t>BEBAN  SISTEM</t>
  </si>
  <si>
    <t>JAWA7</t>
  </si>
  <si>
    <t>JAWA910</t>
  </si>
  <si>
    <t>1.3 mkarang gagal sinkrong</t>
  </si>
  <si>
    <t>LOKASI</t>
  </si>
  <si>
    <t>00.30</t>
  </si>
  <si>
    <t>01.00</t>
  </si>
  <si>
    <t>01.30</t>
  </si>
  <si>
    <t>02.00</t>
  </si>
  <si>
    <t>02.30</t>
  </si>
  <si>
    <t>03.00</t>
  </si>
  <si>
    <t>03.30</t>
  </si>
  <si>
    <t>04.00</t>
  </si>
  <si>
    <t>04.30</t>
  </si>
  <si>
    <t>05.00</t>
  </si>
  <si>
    <t>05.30</t>
  </si>
  <si>
    <t>06.00</t>
  </si>
  <si>
    <t>06.30</t>
  </si>
  <si>
    <t>07.00</t>
  </si>
  <si>
    <t>07.30</t>
  </si>
  <si>
    <t>08.00</t>
  </si>
  <si>
    <t>08.30</t>
  </si>
  <si>
    <t>09.00</t>
  </si>
  <si>
    <t>09.30</t>
  </si>
  <si>
    <t>10.00</t>
  </si>
  <si>
    <t>10.30</t>
  </si>
  <si>
    <t>11.00</t>
  </si>
  <si>
    <t>11.30</t>
  </si>
  <si>
    <t>12.00</t>
  </si>
  <si>
    <t>12.30</t>
  </si>
  <si>
    <t>13.00</t>
  </si>
  <si>
    <t>13.30</t>
  </si>
  <si>
    <t>14.00</t>
  </si>
  <si>
    <t>14.30</t>
  </si>
  <si>
    <t>15.00</t>
  </si>
  <si>
    <t>15.30</t>
  </si>
  <si>
    <t>16.00</t>
  </si>
  <si>
    <t>16.30</t>
  </si>
  <si>
    <t>17.00</t>
  </si>
  <si>
    <t>17.30</t>
  </si>
  <si>
    <t>18.00</t>
  </si>
  <si>
    <t>18.30</t>
  </si>
  <si>
    <t>19.00</t>
  </si>
  <si>
    <t>19.30</t>
  </si>
  <si>
    <t>20.00</t>
  </si>
  <si>
    <t>20.30</t>
  </si>
  <si>
    <t>21.00</t>
  </si>
  <si>
    <t>21.30</t>
  </si>
  <si>
    <t>22.00</t>
  </si>
  <si>
    <t>22.30</t>
  </si>
  <si>
    <t>23.00</t>
  </si>
  <si>
    <t>23.30</t>
  </si>
  <si>
    <t>24.00</t>
  </si>
  <si>
    <t>RJKB</t>
  </si>
  <si>
    <t>PT. INDONESIA POWER</t>
  </si>
  <si>
    <t>PLTA Region 1</t>
  </si>
  <si>
    <t>PLTU SRLYA #1</t>
  </si>
  <si>
    <t>PLTU SRLYA #2</t>
  </si>
  <si>
    <t>PLTU SRLYA #4</t>
  </si>
  <si>
    <t>PLTU SRLYA #5</t>
  </si>
  <si>
    <t>PLTU SRLYA #6</t>
  </si>
  <si>
    <t>PLTU SRLYA #7</t>
  </si>
  <si>
    <t>PLTGU PRIOK #1</t>
  </si>
  <si>
    <t>PLTGU PRIOK #2</t>
  </si>
  <si>
    <t>PLTGU PRIOK #3</t>
  </si>
  <si>
    <t>PLTGU PRIOK #4</t>
  </si>
  <si>
    <t>PLTP SALAK #1</t>
  </si>
  <si>
    <t>PLTP SALAK #2</t>
  </si>
  <si>
    <t>PLTP SALAK #3</t>
  </si>
  <si>
    <t>PLTD SNYAN #1</t>
  </si>
  <si>
    <t>PLTD SNYAN #2</t>
  </si>
  <si>
    <t>PLTD SNYAN #3</t>
  </si>
  <si>
    <t>PLTD SNYAN #4</t>
  </si>
  <si>
    <t>PLTD SNYAN #5</t>
  </si>
  <si>
    <t>PLTD SNYAN #6</t>
  </si>
  <si>
    <t>PLTGU CLGN #1</t>
  </si>
  <si>
    <t>PLTU LABUAN #1</t>
  </si>
  <si>
    <t>PLTU LABUAN #2</t>
  </si>
  <si>
    <t>PLTU LONTAR #1</t>
  </si>
  <si>
    <t>PLTU LONTAR #2</t>
  </si>
  <si>
    <t>PLTU LONTAR #3</t>
  </si>
  <si>
    <t>PLTU LONTAR #4</t>
  </si>
  <si>
    <t>PLTU SRLYA #3</t>
  </si>
  <si>
    <t>PT. PEMBANGKITAN JAWA-BALI</t>
  </si>
  <si>
    <t>PLTU MKRNG #4</t>
  </si>
  <si>
    <t>PLTU MKRNG #5</t>
  </si>
  <si>
    <t>PLTGU MKRNG #1</t>
  </si>
  <si>
    <t>PLTGU MKRNG #2</t>
  </si>
  <si>
    <t>PLTGU MKRNG #3 .0</t>
  </si>
  <si>
    <t>PLTGU MKRNG #3 .1</t>
  </si>
  <si>
    <t>IPP</t>
  </si>
  <si>
    <t>PLTP SALAK</t>
  </si>
  <si>
    <t>PLTU KDL</t>
  </si>
  <si>
    <t>PLTP SALAK BINARY</t>
  </si>
  <si>
    <t>Pembangkitan Area</t>
  </si>
  <si>
    <t>Beban Area</t>
  </si>
  <si>
    <t>RJBR</t>
  </si>
  <si>
    <t>PLTA Region 2</t>
  </si>
  <si>
    <t>PLTA SGLNG #1</t>
  </si>
  <si>
    <t>PLTA SGLNG #2</t>
  </si>
  <si>
    <t>PLTA SGLNG #3</t>
  </si>
  <si>
    <t>PLTA SGLNG #4</t>
  </si>
  <si>
    <t>PLTP KMJNG #1</t>
  </si>
  <si>
    <t>PLTP KMJNG #2</t>
  </si>
  <si>
    <t>PLTP KMJNG #3</t>
  </si>
  <si>
    <t>PLTP DRJAT #1</t>
  </si>
  <si>
    <t>PLTA JATIGEDE #1</t>
  </si>
  <si>
    <t>PLTA JATIGEDE #2</t>
  </si>
  <si>
    <t>PLTGU MTWAR #1</t>
  </si>
  <si>
    <t>PLTGU MTWAR #2 .0</t>
  </si>
  <si>
    <t>PLTGU MTWAR #2 .1</t>
  </si>
  <si>
    <t>PLTGU MTWAR #2 .2</t>
  </si>
  <si>
    <t>PLTA CRATA #1</t>
  </si>
  <si>
    <t>PLTA CRATA #2</t>
  </si>
  <si>
    <t>PLTA CRATA #3</t>
  </si>
  <si>
    <t>PLTA CRATA #4</t>
  </si>
  <si>
    <t>PLTA CRATA #5</t>
  </si>
  <si>
    <t>PLTA CRATA #6</t>
  </si>
  <si>
    <t>PLTA CRATA #7</t>
  </si>
  <si>
    <t>PLTA CRATA #8</t>
  </si>
  <si>
    <t>PLTGU MRTWR #3 .0</t>
  </si>
  <si>
    <t>PLTGU MRTWR #3 .1</t>
  </si>
  <si>
    <t>PLTGU MRTWR #3 .2</t>
  </si>
  <si>
    <t>PLTGU MRTWR #3 .3</t>
  </si>
  <si>
    <t>PLTGU MRTWR #4 .0</t>
  </si>
  <si>
    <t>PLTGU MRTWR #4 .1</t>
  </si>
  <si>
    <t>PLTGU MRTWR #4 .2</t>
  </si>
  <si>
    <t>PLTGU MRTWR #4 .3</t>
  </si>
  <si>
    <t>PLTGU MTWAR #5 .0</t>
  </si>
  <si>
    <t>PLTGU MTWAR #5 .1</t>
  </si>
  <si>
    <t>PLTA JTLHR</t>
  </si>
  <si>
    <t>PLTP DRJAT #2</t>
  </si>
  <si>
    <t>PLTP DRJAT #3</t>
  </si>
  <si>
    <t>PLTP WYNDU #1</t>
  </si>
  <si>
    <t>PLTP WYNDU #2</t>
  </si>
  <si>
    <t>PLTGU CIKARANG</t>
  </si>
  <si>
    <t>PLTP KMJNG #4</t>
  </si>
  <si>
    <t>PLTP KMJNG #5</t>
  </si>
  <si>
    <t>PLTGU BEKASI POWER #1</t>
  </si>
  <si>
    <t>PLTP PATUHA #1</t>
  </si>
  <si>
    <t>PLTP KARAHA #1</t>
  </si>
  <si>
    <t>PLTA RAJAMANDALA #1</t>
  </si>
  <si>
    <t>PLTGU JAWA 1 CILAMAYA #1</t>
  </si>
  <si>
    <t>PLTGU JAWA 1 CILAMAYA #2</t>
  </si>
  <si>
    <t>PLTS CRATA #1</t>
  </si>
  <si>
    <t>PLTA ENS</t>
  </si>
  <si>
    <t>RJTD</t>
  </si>
  <si>
    <t>PLTA Region 3</t>
  </si>
  <si>
    <t>PLTA MRICA</t>
  </si>
  <si>
    <t>PLTU TBROK #3</t>
  </si>
  <si>
    <t>PLTGU TBROK #1</t>
  </si>
  <si>
    <t>PLTGU TBROK #2</t>
  </si>
  <si>
    <t>PLTGU TBROK B-3</t>
  </si>
  <si>
    <t>PLTU ADIPALA #1</t>
  </si>
  <si>
    <t>PLTP DIENG #1</t>
  </si>
  <si>
    <t>PEMBANGKITAN TANJUNG JATI</t>
  </si>
  <si>
    <t>RJTB</t>
  </si>
  <si>
    <t>PLTGU GRATI #1</t>
  </si>
  <si>
    <t>PLTGU GRATI #2</t>
  </si>
  <si>
    <t>PLTGU GRATI #3</t>
  </si>
  <si>
    <t>PLTA Region 4</t>
  </si>
  <si>
    <t>PLTA BRANTAS</t>
  </si>
  <si>
    <t>PLTA STAMI</t>
  </si>
  <si>
    <t>PLTU GRSIK #1</t>
  </si>
  <si>
    <t>PLTU GRSIK #2</t>
  </si>
  <si>
    <t>PLTU GRSIK #3</t>
  </si>
  <si>
    <t>PLTU GRSIK #4</t>
  </si>
  <si>
    <t>PLTG GRSIK #1</t>
  </si>
  <si>
    <t>PLTG GRSIK #2</t>
  </si>
  <si>
    <t>PLTGU GRBRU #1</t>
  </si>
  <si>
    <t>PLTGU GRBRU #2</t>
  </si>
  <si>
    <t>PLTGU GRBRU #3</t>
  </si>
  <si>
    <t>PLTU PACITAN #3</t>
  </si>
  <si>
    <t>PLTA APGDG #1</t>
  </si>
  <si>
    <t>PLTA APGDG #2</t>
  </si>
  <si>
    <t>PLTP IJEN #1</t>
  </si>
  <si>
    <t>RJTB SRB</t>
  </si>
  <si>
    <t>PLTG BALI PSRAN</t>
  </si>
  <si>
    <t>PLTG GILIMANUK</t>
  </si>
  <si>
    <t>PLTG PEMARON #1</t>
  </si>
  <si>
    <t>PLTG PEMARON #2</t>
  </si>
  <si>
    <t>PLTD BALI PSRAN</t>
  </si>
  <si>
    <t>PLTD BOT PESANGGARAN #1</t>
  </si>
  <si>
    <t>PLTD BOT PESANGGARAN #2</t>
  </si>
  <si>
    <t>PLTD BOT PESANGGARAN #3</t>
  </si>
  <si>
    <t>PLTDG PESANGGARAN B1</t>
  </si>
  <si>
    <t>PLTDG PESANGGARAN B2</t>
  </si>
  <si>
    <t>PLTDG PESANGGARAN B3</t>
  </si>
  <si>
    <t>PLTDG PESANGGARAN B4</t>
  </si>
  <si>
    <t>PLTU CELUKAN BAWANG #1</t>
  </si>
  <si>
    <t>PLTU CELUKAN BAWANG #2</t>
  </si>
  <si>
    <t>PLTU CELUKAN BAWANG #3</t>
  </si>
  <si>
    <t>PLTD SEWA PEMARON</t>
  </si>
  <si>
    <t>PLTD SEWA PEMARON TAHAP 2</t>
  </si>
  <si>
    <t>PLTS BALI TIMUR</t>
  </si>
  <si>
    <t>PLTD SEWA KUBU STAGE-1</t>
  </si>
  <si>
    <t>PLTD SEWA KUBU STAGE-2</t>
  </si>
  <si>
    <t>Total Sistem</t>
  </si>
  <si>
    <t>Pembangkitan Total</t>
  </si>
  <si>
    <t>Unnamed: 2</t>
  </si>
  <si>
    <t>PLTA UBRUG</t>
  </si>
  <si>
    <t>MW</t>
  </si>
  <si>
    <t>MX</t>
  </si>
  <si>
    <t>PLTA KRCAK</t>
  </si>
  <si>
    <t>PLTGU PRIOK #1 .0</t>
  </si>
  <si>
    <t>PLTGU PRIOK #1 .1</t>
  </si>
  <si>
    <t>PLTGU PRIOK #1 .2</t>
  </si>
  <si>
    <t>PLTGU PRIOK #1 .3</t>
  </si>
  <si>
    <t>PLTGU PRIOK #2 .0</t>
  </si>
  <si>
    <t>PLTGU PRIOK #2 .1</t>
  </si>
  <si>
    <t>PLTGU PRIOK #2 .2</t>
  </si>
  <si>
    <t>PLTGU PRIOK #2 .3</t>
  </si>
  <si>
    <t>PLTGU PRIOK #3 .0</t>
  </si>
  <si>
    <t>PLTGU PRIOK #3 .1</t>
  </si>
  <si>
    <t>PLTGU PRIOK #3 .2</t>
  </si>
  <si>
    <t>PLTGU PRIOK #4 .0</t>
  </si>
  <si>
    <t>PLTGU PRIOK #4 .1</t>
  </si>
  <si>
    <t>PLTGU PRIOK #4 .2</t>
  </si>
  <si>
    <t>PLTGU CLGN #1 .0</t>
  </si>
  <si>
    <t>PLTGU CLGN #1 .1</t>
  </si>
  <si>
    <t>PLTGU CLGN #1 .2</t>
  </si>
  <si>
    <t>PLTGU MKRNG #1 .0</t>
  </si>
  <si>
    <t>PLTGU MKRNG #1 .1</t>
  </si>
  <si>
    <t>PLTGU MKRNG #1 .2</t>
  </si>
  <si>
    <t>PLTGU MKRNG #1 .3</t>
  </si>
  <si>
    <t>PLTGU MKRNG #2 .01</t>
  </si>
  <si>
    <t>PLTGU MKRNG #2 .1</t>
  </si>
  <si>
    <t>PLTGU MKRNG #2 .2</t>
  </si>
  <si>
    <t>PLTGU MKRNG #2 .02</t>
  </si>
  <si>
    <t>PLTGU MKRNG #2 .03</t>
  </si>
  <si>
    <t>PLTP SALAK #4</t>
  </si>
  <si>
    <t>PLTP SALAK #5</t>
  </si>
  <si>
    <t>PLTP SALAK #6</t>
  </si>
  <si>
    <t>PLTA PLNGN</t>
  </si>
  <si>
    <t>PLTA LMJAN</t>
  </si>
  <si>
    <t>PLTA CKLNG</t>
  </si>
  <si>
    <t>PLTA BNKOK</t>
  </si>
  <si>
    <t>PLTA PRKAN</t>
  </si>
  <si>
    <t>PLTGU MTWAR #1 .0</t>
  </si>
  <si>
    <t>PLTGU MTWAR #1 .1</t>
  </si>
  <si>
    <t>PLTGU MTWAR #1 .2</t>
  </si>
  <si>
    <t>PLTGU MTWAR #1 .3</t>
  </si>
  <si>
    <t>PLTA JTLHR #1</t>
  </si>
  <si>
    <t>PLTA JTLHR #2</t>
  </si>
  <si>
    <t>PLTA JTLHR #3</t>
  </si>
  <si>
    <t>PLTA JTLHR #4</t>
  </si>
  <si>
    <t>PLTA JTLHR #5</t>
  </si>
  <si>
    <t>PLTA JTLHR #6</t>
  </si>
  <si>
    <t>PLTGU BEKASI POWER #1 .0</t>
  </si>
  <si>
    <t>PLTGU BEKASI POWER #1 .1</t>
  </si>
  <si>
    <t>PLTGU BEKASI POWER #1 .2</t>
  </si>
  <si>
    <t>PLTA JELOK</t>
  </si>
  <si>
    <t>PLTA TIMO</t>
  </si>
  <si>
    <t>PLTA KTNGR</t>
  </si>
  <si>
    <t>PLTA GRUNG</t>
  </si>
  <si>
    <t>PLTA MRICA #1</t>
  </si>
  <si>
    <t>PLTA MRICA #2</t>
  </si>
  <si>
    <t>PLTA MRICA #3</t>
  </si>
  <si>
    <t>PLTA WDLIN</t>
  </si>
  <si>
    <t>PLTA KOMBO</t>
  </si>
  <si>
    <t>PLTGU TBROK #1 .0</t>
  </si>
  <si>
    <t>PLTGU TBROK #1 .1</t>
  </si>
  <si>
    <t>PLTGU TBROK #1 .2</t>
  </si>
  <si>
    <t>PLTGU TBROK #1 .3</t>
  </si>
  <si>
    <t>PLTGU TBROK #2 .0</t>
  </si>
  <si>
    <t>PLTGU TBROK #2 .1</t>
  </si>
  <si>
    <t>PLTGU TBROK #2 .2</t>
  </si>
  <si>
    <t>PLTGU TBROK #2 .3</t>
  </si>
  <si>
    <t>PLTGU GRATI #1 .0</t>
  </si>
  <si>
    <t>PLTGU GRATI #1 .1</t>
  </si>
  <si>
    <t>PLTGU GRATI #1 .2</t>
  </si>
  <si>
    <t>PLTGU GRATI #1 .3</t>
  </si>
  <si>
    <t>PLTGU GRATI #2 .0</t>
  </si>
  <si>
    <t>PLTGU GRATI #2 .1</t>
  </si>
  <si>
    <t>PLTGU GRATI #2 .2</t>
  </si>
  <si>
    <t>PLTGU GRATI #2 .3</t>
  </si>
  <si>
    <t>PLTGU GRATI #3 .0</t>
  </si>
  <si>
    <t>PLTGU GRATI #3 .1</t>
  </si>
  <si>
    <t>PLTGU GRATI #3 .2</t>
  </si>
  <si>
    <t>PLTA STAMI #1</t>
  </si>
  <si>
    <t>PLTA STAMI #2</t>
  </si>
  <si>
    <t>PLTA STAMI #3</t>
  </si>
  <si>
    <t>PLTA WLNGI #1</t>
  </si>
  <si>
    <t>PLTA WLNGI #2</t>
  </si>
  <si>
    <t>PLTA MDLAN</t>
  </si>
  <si>
    <t>PLTA SIMAN</t>
  </si>
  <si>
    <t>PLTA SLRJO</t>
  </si>
  <si>
    <t>PLTA SGRUH #1</t>
  </si>
  <si>
    <t>PLTA SGRUH #2</t>
  </si>
  <si>
    <t>PLTA TLNGN #1</t>
  </si>
  <si>
    <t>PLTA TLNGN #2</t>
  </si>
  <si>
    <t>PLTGU GRBRU #1 .0</t>
  </si>
  <si>
    <t>PLTGU GRBRU #1 .1</t>
  </si>
  <si>
    <t>PLTGU GRBRU #1 .2</t>
  </si>
  <si>
    <t>PLTGU GRBRU #1 .3</t>
  </si>
  <si>
    <t>PLTGU GRBRU #2 .0</t>
  </si>
  <si>
    <t>PLTGU GRBRU #2 .1</t>
  </si>
  <si>
    <t>PLTGU GRBRU #2 .2</t>
  </si>
  <si>
    <t>PLTGU GRBRU #2 .3</t>
  </si>
  <si>
    <t>PLTGU GRBRU #3 .0</t>
  </si>
  <si>
    <t>PLTGU GRBRU #3 .1</t>
  </si>
  <si>
    <t>PLTGU GRBRU #3 .2</t>
  </si>
  <si>
    <t>PLTGU GRBRU #3 .3</t>
  </si>
  <si>
    <t>PLTA LDOYO</t>
  </si>
  <si>
    <t>PLTA WNRJO</t>
  </si>
  <si>
    <t>PLTA GOLANG</t>
  </si>
  <si>
    <t>PLTA GIRINGAN</t>
  </si>
  <si>
    <t>PLTA NGEBEL #1</t>
  </si>
  <si>
    <t>PLTG BALI PSRAN #1</t>
  </si>
  <si>
    <t>PLTG BALI PSRAN #2</t>
  </si>
  <si>
    <t>PLTG BALI PSRAN #3</t>
  </si>
  <si>
    <t>PLTG BALI PSRAN #4</t>
  </si>
  <si>
    <t>PLTG BALI PSRAN #5</t>
  </si>
  <si>
    <t>PLTG BALI PSRAN #6</t>
  </si>
  <si>
    <t>PLTG GILIMANUK #1</t>
  </si>
  <si>
    <t>PLTDG PESANGGARAN B1 #1</t>
  </si>
  <si>
    <t>PLTDG PESANGGARAN B1 #2</t>
  </si>
  <si>
    <t>PLTDG PESANGGARAN B1 #3</t>
  </si>
  <si>
    <t>PLTDG PESANGGARAN B2 #4</t>
  </si>
  <si>
    <t>PLTDG PESANGGARAN B2 #5</t>
  </si>
  <si>
    <t>PLTDG PESANGGARAN B2 #6</t>
  </si>
  <si>
    <t>PLTDG PESANGGARAN B3 #7</t>
  </si>
  <si>
    <t>PLTDG PESANGGARAN B3 #8</t>
  </si>
  <si>
    <t>PLTDG PESANGGARAN B3 #9</t>
  </si>
  <si>
    <t>PLTDG PESANGGARAN B4 #10</t>
  </si>
  <si>
    <t>PLTDG PESANGGARAN B4 #11</t>
  </si>
  <si>
    <t>PLTDG PESANGGARAN B4 #12</t>
  </si>
  <si>
    <t>Total</t>
  </si>
  <si>
    <t>CONS</t>
  </si>
  <si>
    <t>BBG</t>
  </si>
  <si>
    <t xml:space="preserve">1GT konsumsi nya 31 BBTUD/ -&gt;&gt; 100 MW </t>
  </si>
  <si>
    <t>125 MW</t>
  </si>
  <si>
    <t>40 kL</t>
  </si>
  <si>
    <t>40 BBTUD</t>
  </si>
  <si>
    <t>100 MW</t>
  </si>
  <si>
    <t>32 kL</t>
  </si>
  <si>
    <t>30 BBTUD</t>
  </si>
  <si>
    <t xml:space="preserve">PGN </t>
  </si>
  <si>
    <t>PEP</t>
  </si>
  <si>
    <t>18-12-2025</t>
  </si>
  <si>
    <t>kondisi tengah hari(0.00 WIB) PGN selalu diplokana 15000 dan pep menyesuaikan 1 GT</t>
  </si>
  <si>
    <t>GT</t>
  </si>
  <si>
    <t>PEP KUOTA</t>
  </si>
  <si>
    <t>SELISIH TANPA PEP</t>
  </si>
  <si>
    <t>ini pemakaian 4 GT muaratawar</t>
  </si>
  <si>
    <t>ini pemakaian 3 GT muaratawar</t>
  </si>
  <si>
    <t>CNG</t>
  </si>
  <si>
    <t>NR</t>
  </si>
  <si>
    <t>LINE PERTAGAS</t>
  </si>
  <si>
    <t>50 bbtud</t>
  </si>
  <si>
    <t>MT startup menggunakan PGN gak bisa menggunakan PEP</t>
  </si>
  <si>
    <t>CL</t>
  </si>
  <si>
    <t>compresor</t>
  </si>
  <si>
    <t>Mw</t>
  </si>
  <si>
    <t>KEBUTUHAN GAS PGN</t>
  </si>
  <si>
    <t>MW/COMP</t>
  </si>
  <si>
    <t>catatan</t>
  </si>
  <si>
    <t>PGN</t>
  </si>
  <si>
    <t>BBTUD</t>
  </si>
  <si>
    <t>35-40</t>
  </si>
  <si>
    <t>untuk 2 compresor pertama wajib menggunakan PGN</t>
  </si>
  <si>
    <t>1 bbtud 3 mw st 5 MW</t>
  </si>
  <si>
    <t>phe sama dengan comp.</t>
  </si>
  <si>
    <t>pipa phe max sampai 40 bbtud</t>
  </si>
  <si>
    <t>PHE</t>
  </si>
  <si>
    <t>SESUAI NOMINASI DARI PHE OHSES</t>
  </si>
  <si>
    <t>tekanan max 40 bar 580 psi</t>
  </si>
  <si>
    <t>PRIOK</t>
  </si>
  <si>
    <t>FLOW MIN</t>
  </si>
  <si>
    <t>blok1/2</t>
  </si>
  <si>
    <t>FLOW MAX</t>
  </si>
  <si>
    <t>blok3</t>
  </si>
  <si>
    <t>MAX NR</t>
  </si>
  <si>
    <t>LINE 350 PRIOK</t>
  </si>
  <si>
    <t>256 MMSCF</t>
  </si>
  <si>
    <t>MKRANG</t>
  </si>
  <si>
    <t>MAX(MMSCFD)</t>
  </si>
  <si>
    <t>KOEFISION KE MMSCFD KE BBTUD</t>
  </si>
  <si>
    <t>LINE 350 MK</t>
  </si>
  <si>
    <t>B1</t>
  </si>
  <si>
    <t>85-90</t>
  </si>
  <si>
    <t>LINE 620</t>
  </si>
  <si>
    <t>B2</t>
  </si>
  <si>
    <t>LINE PIKER</t>
  </si>
  <si>
    <t>B3</t>
  </si>
  <si>
    <t>TOTAL MAX NR MK MT PR = 500 MMSCFD</t>
  </si>
  <si>
    <t>KENAPA 500 KARENA NR MENYEDIAKAN 3 TRAIN(JALUR) 1 JALURNYA 250 MMSCF</t>
  </si>
  <si>
    <t>PRIOK BLOK-4</t>
  </si>
  <si>
    <t>min</t>
  </si>
  <si>
    <t>GRATi</t>
  </si>
  <si>
    <t>3 combine</t>
  </si>
  <si>
    <t>gresik</t>
  </si>
  <si>
    <t>jakban</t>
  </si>
  <si>
    <t>kembangan, cilegon</t>
  </si>
  <si>
    <t>jabar</t>
  </si>
  <si>
    <t>cirata</t>
  </si>
  <si>
    <t>jateng</t>
  </si>
  <si>
    <t>pemalang</t>
  </si>
  <si>
    <t>jatim</t>
  </si>
  <si>
    <t>grati ngimbang</t>
  </si>
  <si>
    <t>SS PRATU-SALAK-CIBNG #1&amp;2-DEPOK #1,2</t>
  </si>
  <si>
    <t>SS MKRNG-DKSBI 1-MKRNG 1,2-CWANG 2,3</t>
  </si>
  <si>
    <t>SS BKASI IBT 1,3 - CIBNG 3-NTMBN 1-2</t>
  </si>
  <si>
    <t>rencana perbaikan 24 jam</t>
  </si>
  <si>
    <t>kebocoran fuel gas suplay dengan pak adha</t>
  </si>
  <si>
    <t>PLTU JAWA 9&amp;10 #1 :</t>
  </si>
  <si>
    <t>FO2 - Boiler ash cleaning, estimasi perbaikan s.d tgl 02-01-2026</t>
  </si>
  <si>
    <t>PLTU JAWA POWER #6 :</t>
  </si>
  <si>
    <t>FO1 - Gangguan Kebocoran Boiler, estimasi perbaikan s.d 03-01-2026</t>
  </si>
  <si>
    <t>FO1 - Gangguan Kebocoran Boiler, estimasi perbaikan s.d 04-01-2026</t>
  </si>
  <si>
    <t>PLTU TJATI #3  :</t>
  </si>
  <si>
    <t>PO - Overhaul Class A, s.d tgl 08-01-2026</t>
  </si>
  <si>
    <t>PLTU RMBNG #2  :</t>
  </si>
  <si>
    <t>PO - SI+ : Simple Inspection, s.d tgl 11-01-2026</t>
  </si>
  <si>
    <t>PLTU CLCAP #1 :</t>
  </si>
  <si>
    <t>PO - Overhaul Grade B, s.d tgl 31-12-2025</t>
  </si>
  <si>
    <t>PLTU CLCAP #3 :</t>
  </si>
  <si>
    <t>PO - Overhoul grade A, s.d tgl 08-02-2026</t>
  </si>
  <si>
    <t>PLTU PITON #9 :</t>
  </si>
  <si>
    <t>PO - Mean Inspection s.d 31-01-2026</t>
  </si>
  <si>
    <t>PLTU PEC #7 :</t>
  </si>
  <si>
    <t>PO - Planned Outage s.d 01-02-2026</t>
  </si>
  <si>
    <t>2. DERATING (TOTAL = 4.037 MW)</t>
  </si>
  <si>
    <t>PLTU SRLYA #1 :</t>
  </si>
  <si>
    <t>FD1 - Beban mampu maks 150 MW (Derating 221 MW). Perbaikan BC 13.</t>
  </si>
  <si>
    <t>PLTU SRLYA #2 :</t>
  </si>
  <si>
    <t>FD1 - Beban mampu maks 130 MW (Derating 241 MW). Perbaikan BC 13.</t>
  </si>
  <si>
    <t>PLTU SRLYA #3 :</t>
  </si>
  <si>
    <t>FD1 - Beban mampu maks 149 MW (Derating 206 MW). Perbaikan BC 13.</t>
  </si>
  <si>
    <t>PLTU SRLYA #4 :</t>
  </si>
  <si>
    <t>FD1 - Beban mampu maks 133 MW (Derating 281 MW). Perbaikan BC 13.</t>
  </si>
  <si>
    <t>PLTU SRLYA #5 :</t>
  </si>
  <si>
    <t>FD1 - Beban mampu maks 300 MW (Derating 275 MW). Gangguan STRE 02.</t>
  </si>
  <si>
    <t>PLTU SRLYA #6 :</t>
  </si>
  <si>
    <t>PLTU SRLYA #7 :</t>
  </si>
  <si>
    <t>PLTU SRLYA #8 :</t>
  </si>
  <si>
    <t>FD1 - Beban mampu maks 425 MW (Derating 169 MW). Keterbatasan MRC.</t>
  </si>
  <si>
    <t>FD1 - Beban mampu maks 955 MW (Derating 33 MW). Coal FLow Maksimum.</t>
  </si>
  <si>
    <t>FD1 - Beban mampu maks 958 MW (Derating 36 MW). Coal FLow Maksimum.</t>
  </si>
  <si>
    <t>PLTU PRATU #1 :</t>
  </si>
  <si>
    <t>FD1 - Beban mampu maks 180 MW (Derating 143 MW). Gangguan Keterbatasan MRC.</t>
  </si>
  <si>
    <t>PLTU PRATU #2 :</t>
  </si>
  <si>
    <t>PLTU PRATU #3 :</t>
  </si>
  <si>
    <t>PLTU LABUAN #1 :</t>
  </si>
  <si>
    <t>FD1 - Beban mampu maks 240 MW (Derating 80 MW). Gangguan Keterbatasan MRC.</t>
  </si>
  <si>
    <t>PLTU LABUAN #2 :</t>
  </si>
  <si>
    <t>PLTU LNTAR #1 :</t>
  </si>
  <si>
    <t>FD1 - Beban mampu maks 200 MW (Derating 240 MW). Gangguan Temperature Bearing ID Fan 1A.</t>
  </si>
  <si>
    <t>PLTU LNTAR #2 :</t>
  </si>
  <si>
    <t>FD1 - Beban mampu maks 200 MW (Derating 220 MW). Gangguan BC 4B.</t>
  </si>
  <si>
    <t>PLTU LNTAR #3 :</t>
  </si>
  <si>
    <t>FD1 - Beban mampu maks 200 MW (Derating 240 MW). Gangguan BC 4B.</t>
  </si>
  <si>
    <t>PLTU LNTAR #4 :</t>
  </si>
  <si>
    <t>FD1 - Beban mampu maks 168 MW (Derating 155 MW). Gangguan Check Valve BFPT 4A.</t>
  </si>
  <si>
    <t>PLTU IDMYU #1 :</t>
  </si>
  <si>
    <t>FD1 - Beban mampu maks 190 MW (Derating 80 MW). Sesuai surat No.1156/150/PLNNP020002/2025 Tanggal 15 Desember 2025 Perihal Penyampaian Informasi TML CF 72% (107 MW Nett) Unit 1,2,3 PLTU Indramayu dan Potensi Derating.</t>
  </si>
  <si>
    <t>PLTU IDMYU #2 :</t>
  </si>
  <si>
    <t>FD1 - Beban mampu maks 190 MW (Derating 80 MW). Sesuai surat No.1156/150/PLNNP020002/2025 Tanggal 15 Desember 2025 Perihal Penyampaian Informasi TML CF 72% (210 MW Nett) Unit 1,2,3 PLTU Indramayu dan Potensi Derating.</t>
  </si>
  <si>
    <t>PLTU IDMYU #3 :</t>
  </si>
  <si>
    <t>PLTU IPP CEP :</t>
  </si>
  <si>
    <t>FD3 - Beban mampu maks 500 MW (Derating 160 MW). Pembatasan beban terkait pekerjaan IBT MDRCN</t>
  </si>
  <si>
    <t>FD1 - Beban mampu maks 500 MW (Derating 160 MW). Perbaikan Mill BCE.</t>
  </si>
  <si>
    <t>PLTU ADIPALA #1 :</t>
  </si>
  <si>
    <t>FD1 - Beban mampu maks 415 MW (Derating 200 MW). Keterbatasan Batubara MRC.</t>
  </si>
  <si>
    <t>PLTU CLCAP #2 :</t>
  </si>
  <si>
    <t>FD1 - Beban mampu maks 261 MW (Derating 20 MW). Coal flow max.</t>
  </si>
  <si>
    <t>PLTU CLCAP #4 :</t>
  </si>
  <si>
    <t>FD1 - Beban mampu maks 750 MW (Derating 195 MW). Coal flow max.</t>
  </si>
  <si>
    <t>PLTU PITON #1 :</t>
  </si>
  <si>
    <t>FD1 - Beban mampu maks 230 MW (Derating 145 MW). Keterbatasan batubara MRC.</t>
  </si>
  <si>
    <t>PLTU PITON #2 :</t>
  </si>
  <si>
    <t>PLTU PCTAN #1 :</t>
  </si>
  <si>
    <t>FD1 - Beban mampu maks 200 MW (Derating 80 MW). Berdasarkan Surat No 1427/KIT.09.01/PLNNP020004/2025</t>
  </si>
  <si>
    <t>PLTU PCTAN #2 :</t>
  </si>
  <si>
    <t>3. UNIT RS (TOTAL = 0 MW)</t>
  </si>
  <si>
    <t>NIHIL</t>
  </si>
  <si>
    <t>4. UNIT TES :</t>
  </si>
  <si>
    <t>Source.Name</t>
  </si>
  <si>
    <t>INT</t>
  </si>
  <si>
    <t>ROH</t>
  </si>
  <si>
    <t>RT</t>
  </si>
  <si>
    <t>MALAM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</si>
</sst>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50">
    <xf numFmtId="0" fontId="0" fillId="0" borderId="0" xfId="0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0" xfId="0" applyFill="1"/>
    <xf numFmtId="9" fontId="0" fillId="0" borderId="0" xfId="1" applyFont="1"/>
    <xf numFmtId="164" fontId="0" fillId="0" borderId="0" xfId="0" applyNumberFormat="1"/>
    <xf numFmtId="2" fontId="0" fillId="2" borderId="0" xfId="0" applyNumberFormat="1" applyFill="1"/>
    <xf numFmtId="0" fontId="3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/>
    </xf>
    <xf numFmtId="2" fontId="6" fillId="7" borderId="7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2" fontId="6" fillId="7" borderId="10" xfId="0" applyNumberFormat="1" applyFont="1" applyFill="1" applyBorder="1" applyAlignment="1">
      <alignment horizontal="center" vertical="center"/>
    </xf>
    <xf numFmtId="2" fontId="6" fillId="7" borderId="11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2" fontId="3" fillId="4" borderId="13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6" borderId="0" xfId="0" applyFill="1"/>
    <xf numFmtId="20" fontId="0" fillId="0" borderId="0" xfId="0" applyNumberFormat="1"/>
    <xf numFmtId="0" fontId="0" fillId="0" borderId="0" xfId="0" quotePrefix="1"/>
    <xf numFmtId="16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8" fillId="0" borderId="0" xfId="0" applyFont="1"/>
    <xf numFmtId="0" fontId="0" fillId="4" borderId="0" xfId="0" applyFill="1"/>
    <xf numFmtId="2" fontId="0" fillId="4" borderId="0" xfId="0" applyNumberFormat="1" applyFill="1"/>
    <xf numFmtId="9" fontId="0" fillId="4" borderId="0" xfId="1" applyFont="1" applyFill="1"/>
    <xf numFmtId="164" fontId="0" fillId="4" borderId="0" xfId="0" applyNumberFormat="1" applyFill="1"/>
    <xf numFmtId="9" fontId="0" fillId="0" borderId="0" xfId="0" applyNumberFormat="1"/>
    <xf numFmtId="9" fontId="0" fillId="4" borderId="0" xfId="0" applyNumberFormat="1" applyFill="1"/>
    <xf numFmtId="0" fontId="0" fillId="4" borderId="0" xfId="0" quotePrefix="1" applyFill="1"/>
    <xf numFmtId="2" fontId="5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5" fillId="4" borderId="18" xfId="0" applyFont="1" applyFill="1" applyBorder="1" applyAlignment="1">
      <alignment horizontal="center"/>
    </xf>
    <xf numFmtId="0" fontId="0" fillId="0" borderId="15" xfId="0" applyBorder="1"/>
    <xf numFmtId="0" fontId="4" fillId="2" borderId="3" xfId="0" applyFont="1" applyFill="1" applyBorder="1" applyAlignment="1">
      <alignment horizontal="center"/>
    </xf>
    <xf numFmtId="2" fontId="3" fillId="4" borderId="17" xfId="0" applyNumberFormat="1" applyFont="1" applyFill="1" applyBorder="1" applyAlignment="1">
      <alignment horizontal="center" vertical="center"/>
    </xf>
    <xf numFmtId="0" fontId="0" fillId="0" borderId="9" xfId="0" applyBorder="1"/>
    <xf numFmtId="2" fontId="3" fillId="4" borderId="16" xfId="0" applyNumberFormat="1" applyFont="1" applyFill="1" applyBorder="1" applyAlignment="1">
      <alignment horizontal="center" vertical="center"/>
    </xf>
    <xf numFmtId="0" fontId="0" fillId="0" borderId="5" xfId="0" applyBorder="1"/>
    <xf numFmtId="2" fontId="3" fillId="4" borderId="8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6" borderId="3" xfId="0" applyFont="1" applyFill="1" applyBorder="1" applyAlignment="1">
      <alignment horizontal="center"/>
    </xf>
    <xf numFmtId="2" fontId="5" fillId="4" borderId="18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2" fontId="5" fillId="4" borderId="3" xfId="0" applyNumberFormat="1" applyFont="1" applyFill="1" applyBorder="1" applyAlignment="1">
      <alignment horizontal="center"/>
    </xf>
  </cellXfs>
  <cellStyles count="3">
    <cellStyle name="Normal" xfId="0" builtinId="0"/>
    <cellStyle name="Normal - Style1 2" xfId="2" xr:uid="{00000000-0005-0000-0000-000002000000}"/>
    <cellStyle name="Percent" xfId="1" builtinId="5"/>
  </cellStyles>
  <dxfs count="44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5C9600-AD99-4AA4-98A5-E32AC419AC95}" autoFormatId="16" applyNumberFormats="0" applyBorderFormats="0" applyFontFormats="0" applyPatternFormats="0" applyAlignmentFormats="0" applyWidthHeightFormats="0">
  <queryTableRefresh nextId="102">
    <queryTableFields count="51">
      <queryTableField id="1" name="Source.Name" tableColumnId="1"/>
      <queryTableField id="52" name="LOKASI" tableColumnId="2"/>
      <queryTableField id="53" name="DMN" tableColumnId="3"/>
      <queryTableField id="54" name="00.30" tableColumnId="4"/>
      <queryTableField id="55" name="01.00" tableColumnId="5"/>
      <queryTableField id="56" name="01.30" tableColumnId="6"/>
      <queryTableField id="57" name="02.00" tableColumnId="7"/>
      <queryTableField id="58" name="02.30" tableColumnId="8"/>
      <queryTableField id="59" name="03.00" tableColumnId="9"/>
      <queryTableField id="60" name="03.30" tableColumnId="10"/>
      <queryTableField id="61" name="04.00" tableColumnId="11"/>
      <queryTableField id="62" name="04.30" tableColumnId="12"/>
      <queryTableField id="63" name="05.00" tableColumnId="13"/>
      <queryTableField id="64" name="05.30" tableColumnId="14"/>
      <queryTableField id="65" name="06.00" tableColumnId="15"/>
      <queryTableField id="66" name="06.30" tableColumnId="16"/>
      <queryTableField id="67" name="07.00" tableColumnId="17"/>
      <queryTableField id="68" name="07.30" tableColumnId="18"/>
      <queryTableField id="69" name="08.00" tableColumnId="19"/>
      <queryTableField id="70" name="08.30" tableColumnId="20"/>
      <queryTableField id="71" name="09.00" tableColumnId="21"/>
      <queryTableField id="72" name="09.30" tableColumnId="22"/>
      <queryTableField id="73" name="10.00" tableColumnId="23"/>
      <queryTableField id="74" name="10.30" tableColumnId="24"/>
      <queryTableField id="75" name="11.00" tableColumnId="25"/>
      <queryTableField id="76" name="11.30" tableColumnId="26"/>
      <queryTableField id="77" name="12.00" tableColumnId="27"/>
      <queryTableField id="78" name="12.30" tableColumnId="28"/>
      <queryTableField id="79" name="13.00" tableColumnId="29"/>
      <queryTableField id="80" name="13.30" tableColumnId="30"/>
      <queryTableField id="81" name="14.00" tableColumnId="31"/>
      <queryTableField id="82" name="14.30" tableColumnId="32"/>
      <queryTableField id="83" name="15.00" tableColumnId="33"/>
      <queryTableField id="84" name="15.30" tableColumnId="34"/>
      <queryTableField id="85" name="16.00" tableColumnId="35"/>
      <queryTableField id="86" name="16.30" tableColumnId="36"/>
      <queryTableField id="87" name="17.00" tableColumnId="37"/>
      <queryTableField id="88" name="17.30" tableColumnId="38"/>
      <queryTableField id="89" name="18.00" tableColumnId="39"/>
      <queryTableField id="90" name="18.30" tableColumnId="40"/>
      <queryTableField id="91" name="19.00" tableColumnId="41"/>
      <queryTableField id="92" name="19.30" tableColumnId="42"/>
      <queryTableField id="93" name="20.00" tableColumnId="43"/>
      <queryTableField id="94" name="20.30" tableColumnId="44"/>
      <queryTableField id="95" name="21.00" tableColumnId="45"/>
      <queryTableField id="96" name="21.30" tableColumnId="46"/>
      <queryTableField id="97" name="22.00" tableColumnId="47"/>
      <queryTableField id="98" name="22.30" tableColumnId="48"/>
      <queryTableField id="99" name="23.00" tableColumnId="49"/>
      <queryTableField id="100" name="23.30" tableColumnId="50"/>
      <queryTableField id="101" name="24.00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D280F0-07A0-4A25-954D-59FAA5935952}" name="raw" displayName="raw" ref="A1:AY609" tableType="queryTable" totalsRowShown="0">
  <autoFilter ref="A1:AY609" xr:uid="{62D280F0-07A0-4A25-954D-59FAA5935952}"/>
  <tableColumns count="51">
    <tableColumn id="1" xr3:uid="{6BE50F65-007F-4B5A-A41D-F0E855EC261B}" uniqueName="1" name="Source.Name" queryTableFieldId="1" dataDxfId="43"/>
    <tableColumn id="2" xr3:uid="{C85652DE-9403-480B-AF60-BEF415AC34A8}" uniqueName="2" name="LOKASI" queryTableFieldId="52" dataDxfId="42"/>
    <tableColumn id="3" xr3:uid="{52CD1AD1-D24B-442D-998E-A2923EEFB624}" uniqueName="3" name="DMN" queryTableFieldId="53"/>
    <tableColumn id="4" xr3:uid="{2DF0619B-7371-40D3-9D0C-DA9053A36820}" uniqueName="4" name="00.30" queryTableFieldId="54"/>
    <tableColumn id="5" xr3:uid="{BD25E5CF-D5BD-4BA0-997E-AE992032DD02}" uniqueName="5" name="01.00" queryTableFieldId="55"/>
    <tableColumn id="6" xr3:uid="{3067F120-D9C1-4664-A2EB-64BB5B9EEF09}" uniqueName="6" name="01.30" queryTableFieldId="56"/>
    <tableColumn id="7" xr3:uid="{ED6157EF-2C94-40A1-808E-12BC945BA339}" uniqueName="7" name="02.00" queryTableFieldId="57"/>
    <tableColumn id="8" xr3:uid="{FF3225A3-BDED-4A5B-87F8-D8FBBD0930F8}" uniqueName="8" name="02.30" queryTableFieldId="58"/>
    <tableColumn id="9" xr3:uid="{01538978-DF78-4CC5-9E00-818B1B11A14F}" uniqueName="9" name="03.00" queryTableFieldId="59"/>
    <tableColumn id="10" xr3:uid="{F242738E-0B70-40F4-9925-A228AE2CAABC}" uniqueName="10" name="03.30" queryTableFieldId="60"/>
    <tableColumn id="11" xr3:uid="{EDC7A139-89B8-4DAA-9083-6AD3724DD270}" uniqueName="11" name="04.00" queryTableFieldId="61"/>
    <tableColumn id="12" xr3:uid="{9A73420B-3456-49E2-999C-9096FB823668}" uniqueName="12" name="04.30" queryTableFieldId="62"/>
    <tableColumn id="13" xr3:uid="{1C7658DF-8719-4332-83B1-D6C668DD7B34}" uniqueName="13" name="05.00" queryTableFieldId="63"/>
    <tableColumn id="14" xr3:uid="{49B6CCC0-2824-4780-95C7-59F36E722E2E}" uniqueName="14" name="05.30" queryTableFieldId="64"/>
    <tableColumn id="15" xr3:uid="{45214844-6D15-4BA7-A359-C221151E5CD4}" uniqueName="15" name="06.00" queryTableFieldId="65"/>
    <tableColumn id="16" xr3:uid="{34CE5145-48BF-4AC1-9045-78E7194B5D9B}" uniqueName="16" name="06.30" queryTableFieldId="66"/>
    <tableColumn id="17" xr3:uid="{F769C434-C29B-4CFC-8D93-434EFEE3ADCB}" uniqueName="17" name="07.00" queryTableFieldId="67"/>
    <tableColumn id="18" xr3:uid="{8C0E6351-6EBE-4D91-A796-C9CC53DB6991}" uniqueName="18" name="07.30" queryTableFieldId="68"/>
    <tableColumn id="19" xr3:uid="{99574E82-FAE2-4771-9BB4-D2CFBA0FB9A6}" uniqueName="19" name="08.00" queryTableFieldId="69"/>
    <tableColumn id="20" xr3:uid="{4ACC7F0C-E43F-45DD-99A1-7CD29F1AF33B}" uniqueName="20" name="08.30" queryTableFieldId="70"/>
    <tableColumn id="21" xr3:uid="{6C2DCF20-E467-4004-A09A-EE03A5A1C62E}" uniqueName="21" name="09.00" queryTableFieldId="71"/>
    <tableColumn id="22" xr3:uid="{97E94325-CE36-47D3-A239-B857CAA489A5}" uniqueName="22" name="09.30" queryTableFieldId="72"/>
    <tableColumn id="23" xr3:uid="{DD1DE69E-0A66-4DE2-AA2E-49A87A5B5A1A}" uniqueName="23" name="10.00" queryTableFieldId="73"/>
    <tableColumn id="24" xr3:uid="{7F1F1B3C-5B1E-4E51-862B-AA1D7B2321B2}" uniqueName="24" name="10.30" queryTableFieldId="74"/>
    <tableColumn id="25" xr3:uid="{2C4C86CE-70DF-42CB-8888-E9B4A7A17666}" uniqueName="25" name="11.00" queryTableFieldId="75"/>
    <tableColumn id="26" xr3:uid="{58CF7142-F625-4A9B-9310-9A5229655637}" uniqueName="26" name="11.30" queryTableFieldId="76"/>
    <tableColumn id="27" xr3:uid="{790A379E-222A-415B-9D5E-4826E2F69A6A}" uniqueName="27" name="12.00" queryTableFieldId="77"/>
    <tableColumn id="28" xr3:uid="{00554F6D-CEEF-435E-96E0-0E186EC5A6E1}" uniqueName="28" name="12.30" queryTableFieldId="78"/>
    <tableColumn id="29" xr3:uid="{8F8CF100-2C32-4EC9-99EF-9D045FE09EF7}" uniqueName="29" name="13.00" queryTableFieldId="79"/>
    <tableColumn id="30" xr3:uid="{D61F81A6-78DE-46D6-8CEE-4F00156662A0}" uniqueName="30" name="13.30" queryTableFieldId="80"/>
    <tableColumn id="31" xr3:uid="{B8523AE9-5018-4DAD-AE87-F7E1240F680A}" uniqueName="31" name="14.00" queryTableFieldId="81"/>
    <tableColumn id="32" xr3:uid="{5911C972-58A9-40A0-A7E2-3A7035A5527A}" uniqueName="32" name="14.30" queryTableFieldId="82"/>
    <tableColumn id="33" xr3:uid="{C4F7F391-D7BC-4566-89C1-182635B4DA1C}" uniqueName="33" name="15.00" queryTableFieldId="83"/>
    <tableColumn id="34" xr3:uid="{742FABEE-23EA-41C4-B533-4F42563A40C1}" uniqueName="34" name="15.30" queryTableFieldId="84"/>
    <tableColumn id="35" xr3:uid="{ACB98B79-DD69-4376-855B-697AF7F67F11}" uniqueName="35" name="16.00" queryTableFieldId="85"/>
    <tableColumn id="36" xr3:uid="{578A4D4D-03B9-4344-8FCB-81ED7066FFB3}" uniqueName="36" name="16.30" queryTableFieldId="86"/>
    <tableColumn id="37" xr3:uid="{C77227D9-9E2C-40DE-AF5D-FEA2F59850C3}" uniqueName="37" name="17.00" queryTableFieldId="87"/>
    <tableColumn id="38" xr3:uid="{63F4C5C8-296F-4565-A316-F11033069D29}" uniqueName="38" name="17.30" queryTableFieldId="88"/>
    <tableColumn id="39" xr3:uid="{4B134094-F475-4D0B-A43F-9634DA0C4047}" uniqueName="39" name="18.00" queryTableFieldId="89"/>
    <tableColumn id="40" xr3:uid="{FD90AD6A-AA3B-4231-90D0-6EBE41CA62CE}" uniqueName="40" name="18.30" queryTableFieldId="90"/>
    <tableColumn id="41" xr3:uid="{2B6E00AD-4B74-4DC1-B98D-34D1015C69C7}" uniqueName="41" name="19.00" queryTableFieldId="91"/>
    <tableColumn id="42" xr3:uid="{531D6155-B268-4FC8-BD35-8CF475E01FE1}" uniqueName="42" name="19.30" queryTableFieldId="92"/>
    <tableColumn id="43" xr3:uid="{32312F3E-CDF5-454F-A887-DB1C1B5D0289}" uniqueName="43" name="20.00" queryTableFieldId="93"/>
    <tableColumn id="44" xr3:uid="{946443AC-F4D8-437D-AB86-498D56DF9B7B}" uniqueName="44" name="20.30" queryTableFieldId="94"/>
    <tableColumn id="45" xr3:uid="{A80C9359-AD1E-4FF9-A3F6-5D463DADFCF2}" uniqueName="45" name="21.00" queryTableFieldId="95"/>
    <tableColumn id="46" xr3:uid="{46A7644E-3E95-4843-BAC3-C9ADF7F86A38}" uniqueName="46" name="21.30" queryTableFieldId="96"/>
    <tableColumn id="47" xr3:uid="{0F2A0065-B7CA-47D3-9300-7414CD6A4C99}" uniqueName="47" name="22.00" queryTableFieldId="97"/>
    <tableColumn id="48" xr3:uid="{65A0E32C-3194-4603-9C48-F92A47B56FC0}" uniqueName="48" name="22.30" queryTableFieldId="98"/>
    <tableColumn id="49" xr3:uid="{4CAD8E62-25DB-45FE-8CB5-44A8C14A9E30}" uniqueName="49" name="23.00" queryTableFieldId="99"/>
    <tableColumn id="50" xr3:uid="{F9BF6BFD-408E-4D35-852B-B344ED36CFBA}" uniqueName="50" name="23.30" queryTableFieldId="100"/>
    <tableColumn id="51" xr3:uid="{3BA47473-F640-4A0A-8A82-5DAFA12221FC}" uniqueName="51" name="24.00" queryTableFieldId="10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DF192E-8D2B-4E63-A97F-3B925AA0CCAF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02afee7-b424-4dc8-a562-b1582f5ff3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72"/>
  <sheetViews>
    <sheetView tabSelected="1" zoomScale="70" zoomScaleNormal="70" workbookViewId="0">
      <pane ySplit="1416" topLeftCell="A42" activePane="bottomLeft"/>
      <selection activeCell="W1" sqref="W1"/>
      <selection pane="bottomLeft" activeCell="H10" sqref="H10"/>
    </sheetView>
  </sheetViews>
  <sheetFormatPr defaultRowHeight="14.4" x14ac:dyDescent="0.3"/>
  <cols>
    <col min="1" max="1" width="17.77734375" bestFit="1" customWidth="1"/>
    <col min="2" max="2" width="5.88671875" bestFit="1" customWidth="1"/>
    <col min="3" max="10" width="9.21875" customWidth="1"/>
    <col min="11" max="11" width="6.109375" customWidth="1"/>
    <col min="25" max="25" width="11.44140625" customWidth="1"/>
    <col min="26" max="26" width="9.21875" customWidth="1"/>
    <col min="28" max="28" width="15.44140625" customWidth="1"/>
    <col min="29" max="29" width="12.33203125" customWidth="1"/>
    <col min="33" max="33" width="4.33203125" customWidth="1"/>
  </cols>
  <sheetData>
    <row r="1" spans="1:42" ht="16.2" customHeight="1" thickBot="1" x14ac:dyDescent="0.35">
      <c r="A1" s="4" t="s">
        <v>678</v>
      </c>
      <c r="C1" t="str" cm="1">
        <f t="array" ref="C1">INDEX('raw'!$D$1:$AY$1,1,$X$1+1)</f>
        <v>07.30</v>
      </c>
      <c r="D1" t="str" cm="1">
        <f t="array" ref="D1">INDEX('raw'!$D$1:$AY$1,1,$X$1+2)</f>
        <v>08.00</v>
      </c>
      <c r="E1" t="str" cm="1">
        <f t="array" ref="E1">INDEX('raw'!$D$1:$AY$1,1,$X$1+3)</f>
        <v>08.30</v>
      </c>
      <c r="F1" t="str" cm="1">
        <f t="array" ref="F1">INDEX('raw'!$D$1:$AY$1,1,$X$1+4)</f>
        <v>09.00</v>
      </c>
      <c r="G1" t="str" cm="1">
        <f t="array" ref="G1">INDEX('raw'!$D$1:$AY$1,1,$X$1+5)</f>
        <v>09.30</v>
      </c>
      <c r="H1" t="str" cm="1">
        <f t="array" ref="H1">INDEX('raw'!$D$1:$AY$1,1,$X$1+6)</f>
        <v>10.00</v>
      </c>
      <c r="I1" t="str" cm="1">
        <f t="array" ref="I1">INDEX('raw'!$D$1:$AY$1,1,$X$1+7)</f>
        <v>10.30</v>
      </c>
      <c r="J1" t="str" cm="1">
        <f t="array" ref="J1">INDEX('raw'!$D$1:$AY$1,1,$X$1+8)</f>
        <v>11.00</v>
      </c>
      <c r="K1" t="str" cm="1">
        <f t="array" ref="K1">INDEX('raw'!$D$1:$AY$1,1,$X$1+9)</f>
        <v>11.30</v>
      </c>
      <c r="L1" t="str" cm="1">
        <f t="array" ref="L1">INDEX('raw'!$D$1:$AY$1,1,$X$1+10)</f>
        <v>12.00</v>
      </c>
      <c r="M1" t="str" cm="1">
        <f t="array" ref="M1">INDEX('raw'!$D$1:$AY$1,1,$X$1+11)</f>
        <v>12.30</v>
      </c>
      <c r="N1" t="str" cm="1">
        <f t="array" ref="N1">INDEX('raw'!$D$1:$AY$1,1,$X$1+12)</f>
        <v>13.00</v>
      </c>
      <c r="O1" t="str" cm="1">
        <f t="array" ref="O1">INDEX('raw'!$D$1:$AY$1,1,$X$1+13)</f>
        <v>13.30</v>
      </c>
      <c r="P1" t="str" cm="1">
        <f t="array" ref="P1">INDEX('raw'!$D$1:$AY$1,1,$X$1+14)</f>
        <v>14.00</v>
      </c>
      <c r="Q1" t="str" cm="1">
        <f t="array" ref="Q1">INDEX('raw'!$D$1:$AY$1,1,$X$1+15)</f>
        <v>14.30</v>
      </c>
      <c r="R1" t="str" cm="1">
        <f t="array" ref="R1">INDEX('raw'!$D$1:$AY$1,1,$X$1+16)</f>
        <v>15.00</v>
      </c>
      <c r="S1" t="str" cm="1">
        <f t="array" ref="S1">INDEX('raw'!$D$1:$AY$1,1,$X$1+17)</f>
        <v>15.30</v>
      </c>
      <c r="T1" t="str" cm="1">
        <f t="array" ref="T1">INDEX('raw'!$D$1:$AY$1,1,$X$1+18)</f>
        <v>16.00</v>
      </c>
      <c r="U1" t="str" cm="1">
        <f t="array" ref="U1">INDEX('raw'!$D$1:$AY$1,1,$X$1+19)</f>
        <v>16.30</v>
      </c>
      <c r="V1" t="str" cm="1">
        <f t="array" ref="V1">INDEX('raw'!$D$1:$AY$1,1,$X$1+20)</f>
        <v>17.00</v>
      </c>
      <c r="W1" s="2" t="s">
        <v>197</v>
      </c>
      <c r="X1">
        <f>IF(W1="PAGI",14,IF(W1="SIANG",28,IF(W1="MALAM",0,0)))</f>
        <v>14</v>
      </c>
      <c r="Y1" t="s">
        <v>2</v>
      </c>
      <c r="Z1" s="20">
        <v>1800</v>
      </c>
      <c r="AA1">
        <v>7.0000000000000007E-2</v>
      </c>
      <c r="AB1" s="2">
        <f>Z1*AA1</f>
        <v>126.00000000000001</v>
      </c>
      <c r="AC1" s="2">
        <f>AB1*2</f>
        <v>252.00000000000003</v>
      </c>
      <c r="AD1">
        <f>50.08</f>
        <v>50.08</v>
      </c>
      <c r="AE1">
        <v>0.16</v>
      </c>
      <c r="AH1" s="8"/>
      <c r="AI1" s="38" t="s">
        <v>3</v>
      </c>
      <c r="AJ1" s="35"/>
      <c r="AK1" s="47" t="s">
        <v>4</v>
      </c>
      <c r="AL1" s="35"/>
      <c r="AM1" s="45" t="s">
        <v>5</v>
      </c>
      <c r="AN1" s="35"/>
      <c r="AO1" s="48" t="s">
        <v>6</v>
      </c>
      <c r="AP1" s="35"/>
    </row>
    <row r="2" spans="1:42" ht="16.2" customHeight="1" thickBot="1" x14ac:dyDescent="0.35">
      <c r="A2" t="s">
        <v>7</v>
      </c>
      <c r="C2">
        <f>IFERROR(SUMIFS(INDEX(raw[[00.30]:[24.00]],0,$X$1+1),raw[Source.Name],$A$136,raw[LOKASI],"Pembangkitan Total"),0)</f>
        <v>29081.21</v>
      </c>
      <c r="D2">
        <f>IFERROR(SUMIFS(INDEX(raw[[00.30]:[24.00]],0,$X$1+2),raw[Source.Name],$A$136,raw[LOKASI],"Pembangkitan Total"),0)</f>
        <v>30172.79</v>
      </c>
      <c r="E2">
        <f>IFERROR(SUMIFS(INDEX(raw[[00.30]:[24.00]],0,$X$1+3),raw[Source.Name],$A$136,raw[LOKASI],"Pembangkitan Total"),0)</f>
        <v>30794.42</v>
      </c>
      <c r="F2">
        <f>IFERROR(SUMIFS(INDEX(raw[[00.30]:[24.00]],0,$X$1+4),raw[Source.Name],$A$136,raw[LOKASI],"Pembangkitan Total"),0)</f>
        <v>31781.8</v>
      </c>
      <c r="G2">
        <f>IFERROR(SUMIFS(INDEX(raw[[00.30]:[24.00]],0,$X$1+5),raw[Source.Name],$A$136,raw[LOKASI],"Pembangkitan Total"),0)</f>
        <v>32211.34</v>
      </c>
      <c r="H2">
        <f>IFERROR(SUMIFS(INDEX(raw[[00.30]:[24.00]],0,$X$1+6),raw[Source.Name],$A$136,raw[LOKASI],"Pembangkitan Total"),0)</f>
        <v>32575.63</v>
      </c>
      <c r="I2">
        <f>IFERROR(SUMIFS(INDEX(raw[[00.30]:[24.00]],0,$X$1+7),raw[Source.Name],$A$136,raw[LOKASI],"Pembangkitan Total"),0)</f>
        <v>32947.040000000001</v>
      </c>
      <c r="J2">
        <f>IFERROR(SUMIFS(INDEX(raw[[00.30]:[24.00]],0,$X$1+8),raw[Source.Name],$A$136,raw[LOKASI],"Pembangkitan Total"),0)</f>
        <v>32989.9</v>
      </c>
      <c r="K2">
        <f>IFERROR(SUMIFS(INDEX(raw[[00.30]:[24.00]],0,$X$1+9),raw[Source.Name],$A$136,raw[LOKASI],"Pembangkitan Total"),0)</f>
        <v>32610.080000000002</v>
      </c>
      <c r="L2">
        <f>IFERROR(SUMIFS(INDEX(raw[[00.30]:[24.00]],0,$X$1+10),raw[Source.Name],$A$136,raw[LOKASI],"Pembangkitan Total"),0)</f>
        <v>31821.85</v>
      </c>
      <c r="M2">
        <f>IFERROR(SUMIFS(INDEX(raw[[00.30]:[24.00]],0,$X$1+11),raw[Source.Name],$A$136,raw[LOKASI],"Pembangkitan Total"),0)</f>
        <v>31714.15</v>
      </c>
      <c r="N2">
        <f>IFERROR(SUMIFS(INDEX(raw[[00.30]:[24.00]],0,$X$1+12),raw[Source.Name],$A$136,raw[LOKASI],"Pembangkitan Total"),0)</f>
        <v>32621.49</v>
      </c>
      <c r="O2">
        <f>IFERROR(SUMIFS(INDEX(raw[[00.30]:[24.00]],0,$X$1+13),raw[Source.Name],$A$136,raw[LOKASI],"Pembangkitan Total"),0)</f>
        <v>33774.11</v>
      </c>
      <c r="P2">
        <f>IFERROR(SUMIFS(INDEX(raw[[00.30]:[24.00]],0,$X$1+14),raw[Source.Name],$A$136,raw[LOKASI],"Pembangkitan Total"),0)</f>
        <v>33879.919999999998</v>
      </c>
      <c r="Q2">
        <f>IFERROR(SUMIFS(INDEX(raw[[00.30]:[24.00]],0,$X$1+15),raw[Source.Name],$A$136,raw[LOKASI],"Pembangkitan Total"),0)</f>
        <v>33971.93</v>
      </c>
      <c r="R2">
        <f>IFERROR(SUMIFS(INDEX(raw[[00.30]:[24.00]],0,$X$1+16),raw[Source.Name],$A$136,raw[LOKASI],"Pembangkitan Total"),0)</f>
        <v>33946.69</v>
      </c>
      <c r="S2">
        <f>IFERROR(SUMIFS(INDEX(raw[[00.30]:[24.00]],0,$X$1+17),raw[Source.Name],$A$136,raw[LOKASI],"Pembangkitan Total"),0)</f>
        <v>33924.35</v>
      </c>
      <c r="T2">
        <f>IFERROR(SUMIFS(INDEX(raw[[00.30]:[24.00]],0,$X$1+18),raw[Source.Name],$A$136,raw[LOKASI],"Pembangkitan Total"),0)</f>
        <v>33529.120000000003</v>
      </c>
      <c r="U2">
        <f>IFERROR(SUMIFS(INDEX(raw[[00.30]:[24.00]],0,$X$1+19),raw[Source.Name],$A$136,raw[LOKASI],"Pembangkitan Total"),0)</f>
        <v>33277.24</v>
      </c>
      <c r="V2">
        <f>IFERROR(SUMIFS(INDEX(raw[[00.30]:[24.00]],0,$X$1+20),raw[Source.Name],$A$136,raw[LOKASI],"Pembangkitan Total"),0)</f>
        <v>33099.620000000003</v>
      </c>
      <c r="AA2">
        <v>50</v>
      </c>
      <c r="AB2" s="7">
        <f>AA2/Z1</f>
        <v>2.7777777777777776E-2</v>
      </c>
      <c r="AC2" s="1"/>
      <c r="AD2">
        <v>50</v>
      </c>
      <c r="AE2" s="7">
        <f>AD2-AB2</f>
        <v>49.972222222222221</v>
      </c>
      <c r="AF2" s="7">
        <f>AD2+AB2</f>
        <v>50.027777777777779</v>
      </c>
      <c r="AH2" s="9" t="s">
        <v>8</v>
      </c>
      <c r="AI2" s="49">
        <v>643</v>
      </c>
      <c r="AJ2" s="35"/>
      <c r="AK2" s="49">
        <v>220</v>
      </c>
      <c r="AL2" s="35"/>
      <c r="AM2" s="49">
        <v>107</v>
      </c>
      <c r="AN2" s="35"/>
      <c r="AO2" s="34">
        <v>231</v>
      </c>
      <c r="AP2" s="35"/>
    </row>
    <row r="3" spans="1:42" ht="15" customHeight="1" x14ac:dyDescent="0.3">
      <c r="A3" t="s">
        <v>9</v>
      </c>
      <c r="D3">
        <f t="shared" ref="D3:V3" si="0">D2-C2</f>
        <v>1091.5800000000017</v>
      </c>
      <c r="E3">
        <f t="shared" si="0"/>
        <v>621.62999999999738</v>
      </c>
      <c r="F3">
        <f t="shared" si="0"/>
        <v>987.38000000000102</v>
      </c>
      <c r="G3">
        <f t="shared" si="0"/>
        <v>429.54000000000087</v>
      </c>
      <c r="H3">
        <f t="shared" si="0"/>
        <v>364.29000000000087</v>
      </c>
      <c r="I3">
        <f t="shared" si="0"/>
        <v>371.40999999999985</v>
      </c>
      <c r="J3">
        <f t="shared" si="0"/>
        <v>42.860000000000582</v>
      </c>
      <c r="K3">
        <f t="shared" si="0"/>
        <v>-379.81999999999971</v>
      </c>
      <c r="L3">
        <f t="shared" si="0"/>
        <v>-788.2300000000032</v>
      </c>
      <c r="M3">
        <f t="shared" si="0"/>
        <v>-107.69999999999709</v>
      </c>
      <c r="N3">
        <f t="shared" si="0"/>
        <v>907.34000000000015</v>
      </c>
      <c r="O3">
        <f t="shared" si="0"/>
        <v>1152.619999999999</v>
      </c>
      <c r="P3">
        <f t="shared" si="0"/>
        <v>105.80999999999767</v>
      </c>
      <c r="Q3">
        <f t="shared" si="0"/>
        <v>92.010000000002037</v>
      </c>
      <c r="R3">
        <f t="shared" si="0"/>
        <v>-25.239999999997963</v>
      </c>
      <c r="S3">
        <f t="shared" si="0"/>
        <v>-22.340000000003783</v>
      </c>
      <c r="T3">
        <f t="shared" si="0"/>
        <v>-395.22999999999593</v>
      </c>
      <c r="U3">
        <f t="shared" si="0"/>
        <v>-251.88000000000466</v>
      </c>
      <c r="V3">
        <f t="shared" si="0"/>
        <v>-177.61999999999534</v>
      </c>
      <c r="AH3" s="10" t="s">
        <v>10</v>
      </c>
      <c r="AI3" s="41">
        <v>636.20000000000005</v>
      </c>
      <c r="AJ3" s="42"/>
      <c r="AK3" s="41">
        <v>213</v>
      </c>
      <c r="AL3" s="42"/>
      <c r="AM3" s="41">
        <v>98.3</v>
      </c>
      <c r="AN3" s="42"/>
      <c r="AO3" s="11" t="s">
        <v>11</v>
      </c>
      <c r="AP3" s="12">
        <v>227.65</v>
      </c>
    </row>
    <row r="4" spans="1:42" ht="15" customHeight="1" x14ac:dyDescent="0.3">
      <c r="A4" t="s">
        <v>12</v>
      </c>
      <c r="D4">
        <f t="shared" ref="D4:V4" si="1">D68-C68</f>
        <v>203.75</v>
      </c>
      <c r="E4">
        <f t="shared" si="1"/>
        <v>81.5</v>
      </c>
      <c r="F4">
        <f t="shared" si="1"/>
        <v>81.5</v>
      </c>
      <c r="G4">
        <f t="shared" si="1"/>
        <v>81.5</v>
      </c>
      <c r="H4">
        <f t="shared" si="1"/>
        <v>81.5</v>
      </c>
      <c r="I4">
        <f t="shared" si="1"/>
        <v>81.5</v>
      </c>
      <c r="J4">
        <f t="shared" si="1"/>
        <v>81.5</v>
      </c>
      <c r="K4">
        <f t="shared" si="1"/>
        <v>78.989999999999782</v>
      </c>
      <c r="L4">
        <f t="shared" si="1"/>
        <v>-99.210000000000036</v>
      </c>
      <c r="M4">
        <f t="shared" si="1"/>
        <v>0</v>
      </c>
      <c r="N4">
        <f t="shared" si="1"/>
        <v>0</v>
      </c>
      <c r="O4">
        <f t="shared" si="1"/>
        <v>122.25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AH4" s="13" t="s">
        <v>13</v>
      </c>
      <c r="AI4" s="39">
        <v>632.9</v>
      </c>
      <c r="AJ4" s="40"/>
      <c r="AK4" s="39">
        <v>210.4</v>
      </c>
      <c r="AL4" s="40"/>
      <c r="AM4" s="39">
        <v>94.9</v>
      </c>
      <c r="AN4" s="40"/>
      <c r="AO4" s="14" t="s">
        <v>14</v>
      </c>
      <c r="AP4" s="15">
        <v>230.26</v>
      </c>
    </row>
    <row r="5" spans="1:42" ht="15" customHeight="1" x14ac:dyDescent="0.3">
      <c r="A5" t="s">
        <v>15</v>
      </c>
      <c r="D5">
        <f t="shared" ref="D5:V5" si="2">SUM(D7:D67)</f>
        <v>0</v>
      </c>
      <c r="E5">
        <f t="shared" si="2"/>
        <v>0</v>
      </c>
      <c r="F5">
        <f t="shared" si="2"/>
        <v>0</v>
      </c>
      <c r="G5">
        <f t="shared" si="2"/>
        <v>1480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0</v>
      </c>
      <c r="M5">
        <f t="shared" si="2"/>
        <v>0</v>
      </c>
      <c r="N5">
        <f t="shared" si="2"/>
        <v>0</v>
      </c>
      <c r="O5">
        <f t="shared" si="2"/>
        <v>0</v>
      </c>
      <c r="P5">
        <f t="shared" si="2"/>
        <v>0</v>
      </c>
      <c r="Q5">
        <f t="shared" si="2"/>
        <v>0</v>
      </c>
      <c r="R5">
        <f t="shared" si="2"/>
        <v>0</v>
      </c>
      <c r="S5">
        <f t="shared" si="2"/>
        <v>0</v>
      </c>
      <c r="T5">
        <f t="shared" si="2"/>
        <v>0</v>
      </c>
      <c r="U5">
        <f t="shared" si="2"/>
        <v>0</v>
      </c>
      <c r="V5">
        <f t="shared" si="2"/>
        <v>0</v>
      </c>
      <c r="AH5" s="13" t="s">
        <v>16</v>
      </c>
      <c r="AI5" s="39">
        <v>627.29999999999995</v>
      </c>
      <c r="AJ5" s="40"/>
      <c r="AK5" s="39">
        <v>207</v>
      </c>
      <c r="AL5" s="40"/>
      <c r="AM5" s="39">
        <v>90.3</v>
      </c>
      <c r="AN5" s="40"/>
      <c r="AO5" s="14" t="s">
        <v>17</v>
      </c>
      <c r="AP5" s="15">
        <v>82</v>
      </c>
    </row>
    <row r="6" spans="1:42" ht="15.6" customHeight="1" thickBot="1" x14ac:dyDescent="0.35">
      <c r="X6" t="s">
        <v>18</v>
      </c>
      <c r="Y6" t="s">
        <v>19</v>
      </c>
      <c r="Z6" t="s">
        <v>20</v>
      </c>
      <c r="AA6" t="s">
        <v>21</v>
      </c>
      <c r="AH6" s="16" t="s">
        <v>22</v>
      </c>
      <c r="AI6" s="43">
        <v>625</v>
      </c>
      <c r="AJ6" s="44"/>
      <c r="AK6" s="43">
        <v>206</v>
      </c>
      <c r="AL6" s="44"/>
      <c r="AM6" s="43">
        <v>87.5</v>
      </c>
      <c r="AN6" s="44"/>
      <c r="AO6" s="17"/>
      <c r="AP6" s="18"/>
    </row>
    <row r="7" spans="1:42" ht="16.2" customHeight="1" thickBot="1" x14ac:dyDescent="0.35">
      <c r="A7" s="27" t="s">
        <v>23</v>
      </c>
      <c r="B7" s="28" t="b">
        <v>0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9">
        <f>(IFERROR(AVERAGEIF(INDEX(RT!$D$1:$AY$812,MATCH("PLTU ADIPALA #1",RT!$A$1:$A$812,0),0),"&lt;&gt;0"),0))/615</f>
        <v>0.74526027937915751</v>
      </c>
      <c r="Y7" s="29" cm="1">
        <f t="array" ref="Y7">SUMPRODUCT((raw[Source.Name]="ROH")*(raw[LOKASI]="PLTU ADIPALA #1")*raw[[00.30]:[24.00]])/48/615</f>
        <v>0.73170731707317072</v>
      </c>
      <c r="Z7" s="32" cm="1">
        <f t="array" ref="Z7">(SUMPRODUCT((raw[Source.Name]="INT")*(raw[LOKASI]="PLTU ADIPALA #1")*raw[[00.30]:[24.00]])/48)/615</f>
        <v>0.73170731707317072</v>
      </c>
      <c r="AH7" s="9" t="s">
        <v>24</v>
      </c>
      <c r="AI7" s="46">
        <v>623</v>
      </c>
      <c r="AJ7" s="37"/>
      <c r="AK7" s="36">
        <v>206.07</v>
      </c>
      <c r="AL7" s="37"/>
      <c r="AM7" s="46">
        <v>75</v>
      </c>
      <c r="AN7" s="37"/>
      <c r="AO7" s="34">
        <v>226</v>
      </c>
      <c r="AP7" s="35"/>
    </row>
    <row r="8" spans="1:42" x14ac:dyDescent="0.3">
      <c r="A8" s="1" t="s">
        <v>25</v>
      </c>
      <c r="B8" s="1" t="b">
        <v>0</v>
      </c>
      <c r="X8" s="5">
        <f>(IFERROR(AVERAGEIF(INDEX(RT!$D$1:$AY$812,MATCH("PLTU CLCAP #4",RT!$A$1:$A$812,0),0),"&lt;&gt;0"),0))/945</f>
        <v>0.5285161452621453</v>
      </c>
      <c r="Y8" s="5" cm="1">
        <f t="array" ref="Y8">(SUMPRODUCT((raw[Source.Name]="ROH")*(raw[LOKASI]="PLTU CLCAP #4")*raw[[00.30]:[24.00]])/48)/945</f>
        <v>0.51851851851851849</v>
      </c>
      <c r="Z8" s="31" cm="1">
        <f t="array" ref="Z8">(SUMPRODUCT((raw[Source.Name]="INT")*(raw[LOKASI]="PLTU CLCAP #4")*raw[[00.30]:[24.00]])/48)/945</f>
        <v>0.52910052910052907</v>
      </c>
      <c r="AB8" t="s">
        <v>26</v>
      </c>
      <c r="AC8" t="s">
        <v>27</v>
      </c>
    </row>
    <row r="9" spans="1:42" x14ac:dyDescent="0.3">
      <c r="A9" s="28" t="s">
        <v>28</v>
      </c>
      <c r="B9" s="28" t="b">
        <v>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9">
        <f>(IFERROR(AVERAGEIF(INDEX(RT!$D$1:$AY$812,MATCH("PLTU TJATI #3",RT!$A$1:$A$812,0),0),"&lt;&gt;0"),0)+IFERROR(AVERAGEIF(INDEX(RT!$D$1:$AY$812,MATCH("PLTU TJATI #4",RT!$A$1:$A$812,0),0),"&lt;&gt;0"),0))/(660.8*2)</f>
        <v>0.77080097746533127</v>
      </c>
      <c r="Y9" s="29" cm="1">
        <f t="array" ref="Y9">(SUMPRODUCT((raw[Source.Name]="ROH")*(raw[LOKASI]="PLTU TJATI #3")*raw[[00.30]:[24.00]])/48+SUMPRODUCT((raw[Source.Name]="ROH")*(raw[LOKASI]="PLTU TJATI #4")*raw[[00.30]:[24.00]])/48)/(660.8*2)</f>
        <v>0.97158069133373726</v>
      </c>
      <c r="Z9" s="32" cm="1">
        <f t="array" ref="Z9">(SUMPRODUCT((raw[Source.Name]="INT")*(raw[LOKASI]="PLTU TJATI #3")*raw[[00.30]:[24.00]])/48+SUMPRODUCT((raw[Source.Name]="INT")*(raw[LOKASI]="PLTU TJATI #4")*raw[[00.30]:[24.00]])/48)/(660.8*2)</f>
        <v>0.98022393941686903</v>
      </c>
      <c r="AB9">
        <v>10</v>
      </c>
      <c r="AC9">
        <v>30</v>
      </c>
      <c r="AD9">
        <f>AB9*AC9</f>
        <v>300</v>
      </c>
      <c r="AF9" t="s">
        <v>29</v>
      </c>
      <c r="AG9" s="24">
        <v>1.1000000000000001</v>
      </c>
    </row>
    <row r="10" spans="1:42" x14ac:dyDescent="0.3">
      <c r="A10" s="1" t="s">
        <v>30</v>
      </c>
      <c r="B10" s="1" t="b">
        <v>1</v>
      </c>
      <c r="AG10" s="24">
        <v>1.2</v>
      </c>
    </row>
    <row r="11" spans="1:42" x14ac:dyDescent="0.3">
      <c r="A11" s="28" t="s">
        <v>31</v>
      </c>
      <c r="B11" s="28" t="b">
        <v>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9">
        <f>(IFERROR(AVERAGEIF(INDEX(RT!$D$1:$AY$812,MATCH("PLTU LBE #1",RT!$A$1:$A$812,0),0),"&lt;&gt;0"),0))/625</f>
        <v>0.82952727272727278</v>
      </c>
      <c r="Y11" s="29" cm="1">
        <f t="array" ref="Y11">(SUMPRODUCT((raw[Source.Name]="ROH")*(raw[LOKASI]="PLTU LBE #1")*raw[[00.30]:[24.00]])/48)/625</f>
        <v>0.98</v>
      </c>
      <c r="Z11" s="32" cm="1">
        <f t="array" ref="Z11">(SUMPRODUCT((raw[Source.Name]="INT")*(raw[LOKASI]="PLTU LBE #1")*raw[[00.30]:[24.00]])/48)/625</f>
        <v>0.95940000000000003</v>
      </c>
      <c r="AG11" s="24">
        <v>1.3</v>
      </c>
    </row>
    <row r="12" spans="1:42" x14ac:dyDescent="0.3">
      <c r="A12" s="1" t="s">
        <v>32</v>
      </c>
      <c r="B12" s="1" t="b">
        <v>0</v>
      </c>
      <c r="X12" s="5">
        <f>(IFERROR(AVERAGEIF(INDEX(RT!$D$1:$AY$812,MATCH("PLTU TJATIBJP #5",RT!$A$1:$A$812,0),0),"&lt;&gt;0"),0)+IFERROR(AVERAGEIF(INDEX(RT!$D$1:$AY$812,MATCH("PLTU TJATIBJP #6",RT!$A$1:$A$812,0),0),"&lt;&gt;0"),0))/(1000*2)</f>
        <v>0.94885085000000002</v>
      </c>
      <c r="Y12" s="5" cm="1">
        <f t="array" ref="Y12">(SUMPRODUCT((raw[Source.Name]="ROH")*(raw[LOKASI]="PLTU TJATIBJP #5")*raw[[00.30]:[24.00]])/48+SUMPRODUCT((raw[Source.Name]="ROH")*(raw[LOKASI]="PLTU TJATIBJP #6")*raw[[00.30]:[24.00]])/48)/(1000*2)</f>
        <v>0.98</v>
      </c>
      <c r="Z12" s="31" cm="1">
        <f t="array" ref="Z12">(SUMPRODUCT((raw[Source.Name]="INT")*(raw[LOKASI]="PLTU TJATIBJP #5")*raw[[00.30]:[24.00]])/48+SUMPRODUCT((raw[Source.Name]="INT")*(raw[LOKASI]="PLTU TJATIBJP #6")*raw[[00.30]:[24.00]])/48)/(1000*2)</f>
        <v>0.98</v>
      </c>
      <c r="AG12" s="25" t="s">
        <v>33</v>
      </c>
    </row>
    <row r="13" spans="1:42" x14ac:dyDescent="0.3">
      <c r="A13" s="28" t="s">
        <v>34</v>
      </c>
      <c r="B13" s="28" t="b">
        <v>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G13" s="24">
        <v>2.1</v>
      </c>
      <c r="AH13" t="s">
        <v>35</v>
      </c>
      <c r="AI13" t="s">
        <v>36</v>
      </c>
      <c r="AJ13">
        <v>135</v>
      </c>
      <c r="AK13" t="s">
        <v>37</v>
      </c>
      <c r="AL13" s="22"/>
    </row>
    <row r="14" spans="1:42" x14ac:dyDescent="0.3">
      <c r="A14" s="1" t="s">
        <v>38</v>
      </c>
      <c r="B14" s="1" t="b">
        <v>0</v>
      </c>
      <c r="X14" s="31">
        <f>(IFERROR(AVERAGEIF(INDEX(RT!$D$1:$AY$812,MATCH("PLTU BATANG #1",RT!$A$1:$A$812,0),0),"&lt;&gt;0"),0)+IFERROR(AVERAGEIF(INDEX(RT!$D$1:$AY$812,MATCH("PLTU BATANG #2",RT!$A$1:$A$812,0),0),"&lt;&gt;0"),0))/(950*2)</f>
        <v>0.90767067655502398</v>
      </c>
      <c r="Y14" s="5" cm="1">
        <f t="array" ref="Y14">(SUMPRODUCT((raw[Source.Name]="ROH")*(raw[LOKASI]="PLTU BATANG #1")*raw[[00.30]:[24.00]])/48+SUMPRODUCT((raw[Source.Name]="ROH")*(raw[LOKASI]="PLTU BATANG #2")*raw[[00.30]:[24.00]])/48)/(950*2)</f>
        <v>0.95421052631578951</v>
      </c>
      <c r="Z14" s="31" cm="1">
        <f t="array" ref="Z14">(SUMPRODUCT((raw[Source.Name]="INT")*(raw[LOKASI]="PLTU BATANG #1")*raw[[00.30]:[24.00]])/48+SUMPRODUCT((raw[Source.Name]="INT")*(raw[LOKASI]="PLTU BATANG #2")*raw[[00.30]:[24.00]])/48)/(950*2)</f>
        <v>0.9609649122807018</v>
      </c>
      <c r="AG14" s="24">
        <v>2.2000000000000002</v>
      </c>
      <c r="AH14" t="s">
        <v>35</v>
      </c>
      <c r="AI14" t="s">
        <v>36</v>
      </c>
      <c r="AJ14">
        <v>135</v>
      </c>
    </row>
    <row r="15" spans="1:42" x14ac:dyDescent="0.3">
      <c r="A15" s="28" t="s">
        <v>39</v>
      </c>
      <c r="B15" s="28" t="b">
        <v>0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C15">
        <v>14.1</v>
      </c>
      <c r="AD15">
        <v>4.34</v>
      </c>
      <c r="AE15">
        <v>440</v>
      </c>
      <c r="AG15" s="25" t="s">
        <v>40</v>
      </c>
    </row>
    <row r="16" spans="1:42" x14ac:dyDescent="0.3">
      <c r="A16" t="s">
        <v>41</v>
      </c>
      <c r="B16" t="b">
        <v>0</v>
      </c>
      <c r="G16">
        <v>100</v>
      </c>
      <c r="X16" s="31">
        <f>(IFERROR(AVERAGEIF(INDEX(RT!$D$1:$AY$812,MATCH("PLTU JAWA #09",RT!$A$1:$A$812,0),0),"&lt;&gt;0"),0)+IFERROR(AVERAGEIF(INDEX(RT!$D$1:$AY$812,MATCH("PLTU JAWA #10",RT!$A$1:$A$812,0),0),"&lt;&gt;0"),0))/(1000*2)</f>
        <v>0.7451363636363636</v>
      </c>
      <c r="Y16" s="5" cm="1">
        <f t="array" ref="Y16">(SUMPRODUCT((raw[Source.Name]="ROH")*(raw[LOKASI]="PLTU JAWA #09")*raw[[00.30]:[24.00]])/48+SUMPRODUCT((raw[Source.Name]="ROH")*(raw[LOKASI]="PLTU JAWA #10")*raw[[00.30]:[24.00]])/48)/(1000*2)</f>
        <v>0.98</v>
      </c>
      <c r="Z16" s="31" cm="1">
        <f t="array" ref="Z16">(SUMPRODUCT((raw[Source.Name]="INT")*(raw[LOKASI]="PLTU JAWA #09")*raw[[00.30]:[24.00]])/48+SUMPRODUCT((raw[Source.Name]="INT")*(raw[LOKASI]="PLTU JAWA #10")*raw[[00.30]:[24.00]])/48)/(1000*2)</f>
        <v>0.96499999999999997</v>
      </c>
      <c r="AC16" t="s">
        <v>42</v>
      </c>
      <c r="AD16" t="s">
        <v>43</v>
      </c>
      <c r="AE16" t="s">
        <v>44</v>
      </c>
      <c r="AG16" s="24">
        <v>3.1</v>
      </c>
    </row>
    <row r="17" spans="1:40" x14ac:dyDescent="0.3">
      <c r="A17" s="27" t="s">
        <v>45</v>
      </c>
      <c r="B17" s="27" t="b">
        <v>0</v>
      </c>
      <c r="C17" s="27"/>
      <c r="D17" s="27"/>
      <c r="E17" s="27"/>
      <c r="F17" s="27"/>
      <c r="G17" s="27">
        <v>100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>
        <v>30</v>
      </c>
      <c r="AB17" t="s">
        <v>46</v>
      </c>
      <c r="AG17" s="24">
        <v>3.2</v>
      </c>
    </row>
    <row r="18" spans="1:40" x14ac:dyDescent="0.3">
      <c r="A18" t="s">
        <v>47</v>
      </c>
      <c r="B18" s="1" t="b">
        <v>0</v>
      </c>
      <c r="X18" s="31">
        <f>(IFERROR(AVERAGEIF(INDEX(RT!$D$1:$AY$812,MATCH("PLTU TJ AWAR2 #1",RT!$A$1:$A$812,0),0),"&lt;&gt;0"),0)+IFERROR(AVERAGEIF(INDEX(RT!$D$1:$AY$812,MATCH("PLTU TJ AWAR2 #2",RT!$A$1:$A$812,0),0),"&lt;&gt;0"),0))/(323*2)</f>
        <v>0.40177314945116804</v>
      </c>
      <c r="Y18" s="5" cm="1">
        <f t="array" ref="Y18">(SUMPRODUCT((raw[Source.Name]="ROH")*(raw[LOKASI]="PLTU TJ AWAR2 #1")*raw[[00.30]:[24.00]])/48+SUMPRODUCT((raw[Source.Name]="ROH")*(raw[LOKASI]="PLTU TJ AWAR2 #2")*raw[[00.30]:[24.00]])/48)/(323*2)</f>
        <v>0.49759739422084626</v>
      </c>
      <c r="Z18" s="31" cm="1">
        <f t="array" ref="Z18">(SUMPRODUCT((raw[Source.Name]="INT")*(raw[LOKASI]="PLTU TJ AWAR2 #1")*raw[[00.30]:[24.00]])/48+SUMPRODUCT((raw[Source.Name]="INT")*(raw[LOKASI]="PLTU TJ AWAR2 #2")*raw[[00.30]:[24.00]])/48)/(323*2)</f>
        <v>0.47232165892672862</v>
      </c>
      <c r="AA18">
        <v>30</v>
      </c>
      <c r="AB18" t="s">
        <v>48</v>
      </c>
      <c r="AG18" s="24">
        <v>3.3</v>
      </c>
      <c r="AH18" t="s">
        <v>35</v>
      </c>
      <c r="AI18" t="s">
        <v>49</v>
      </c>
      <c r="AJ18">
        <v>135</v>
      </c>
      <c r="AK18" t="s">
        <v>37</v>
      </c>
    </row>
    <row r="19" spans="1:40" x14ac:dyDescent="0.3">
      <c r="A19" s="27" t="s">
        <v>50</v>
      </c>
      <c r="B19" s="28" t="b">
        <v>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>
        <v>30</v>
      </c>
      <c r="AG19" s="25" t="s">
        <v>51</v>
      </c>
    </row>
    <row r="20" spans="1:40" x14ac:dyDescent="0.3">
      <c r="A20" s="1" t="s">
        <v>52</v>
      </c>
      <c r="B20" s="1" t="b">
        <v>0</v>
      </c>
      <c r="X20" s="31">
        <f>(IFERROR(AVERAGEIF(INDEX(RT!$D$1:$AY$812,MATCH("PLTU TJATI #1",RT!$A$1:$A$812,0),0),"&lt;&gt;0"),0)+IFERROR(AVERAGEIF(INDEX(RT!$D$1:$AY$812,MATCH("PLTU TJATI #2",RT!$A$1:$A$812,0),0),"&lt;&gt;0"),0))/(660.8*2)</f>
        <v>0.81080352878054163</v>
      </c>
      <c r="Y20" s="5" cm="1">
        <f t="array" ref="Y20">(SUMPRODUCT((raw[Source.Name]="ROH")*(raw[LOKASI]="PLTU TJATI #1")*raw[[00.30]:[24.00]])/48+SUMPRODUCT((raw[Source.Name]="ROH")*(raw[LOKASI]="PLTU TJATI #2")*raw[[00.30]:[24.00]])/48)/(660.8*2)</f>
        <v>0.96518550746569942</v>
      </c>
      <c r="Z20" s="31" cm="1">
        <f t="array" ref="Z20">(SUMPRODUCT((raw[Source.Name]="INT")*(raw[LOKASI]="PLTU TJATI #1")*raw[[00.30]:[24.00]])/48+SUMPRODUCT((raw[Source.Name]="INT")*(raw[LOKASI]="PLTU TJATI #2")*raw[[00.30]:[24.00]])/48)/(660.8*2)</f>
        <v>0.91799570596247082</v>
      </c>
      <c r="AG20" s="24">
        <v>4.0999999999999996</v>
      </c>
      <c r="AH20" t="s">
        <v>35</v>
      </c>
      <c r="AI20" t="s">
        <v>36</v>
      </c>
      <c r="AJ20">
        <v>100</v>
      </c>
      <c r="AK20" t="s">
        <v>37</v>
      </c>
    </row>
    <row r="21" spans="1:40" x14ac:dyDescent="0.3">
      <c r="A21" s="28" t="s">
        <v>53</v>
      </c>
      <c r="B21" s="28" t="b">
        <v>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G21" s="24">
        <v>4.2</v>
      </c>
      <c r="AH21" t="s">
        <v>35</v>
      </c>
      <c r="AI21" t="s">
        <v>36</v>
      </c>
      <c r="AJ21">
        <v>100</v>
      </c>
    </row>
    <row r="22" spans="1:40" x14ac:dyDescent="0.3">
      <c r="A22" s="1" t="s">
        <v>54</v>
      </c>
      <c r="B22" s="1" t="b">
        <v>0</v>
      </c>
      <c r="G22">
        <v>-300</v>
      </c>
      <c r="X22" s="31">
        <f>(IFERROR(AVERAGEIF(INDEX(RT!$D$1:$AY$812,MATCH("PLTU PITON #1",RT!$A$1:$A$812,0),0),"&lt;&gt;0"),0)+IFERROR(AVERAGEIF(INDEX(RT!$D$1:$AY$812,MATCH("PLTU PITON #2",RT!$A$1:$A$812,0),0),"&lt;&gt;0"),0))/(370*2)</f>
        <v>0.70036855036855039</v>
      </c>
      <c r="Y22" s="5" cm="1">
        <f t="array" ref="Y22">(SUMPRODUCT((raw[Source.Name]="ROH")*(raw[LOKASI]="PLTU PITON #1")*raw[[00.30]:[24.00]])/48+SUMPRODUCT((raw[Source.Name]="ROH")*(raw[LOKASI]="PLTU PITON #2")*raw[[00.30]:[24.00]])/48)/(370*2)</f>
        <v>0.79448198198198194</v>
      </c>
      <c r="Z22" s="31" cm="1">
        <f t="array" ref="Z22">(SUMPRODUCT((raw[Source.Name]="INT")*(raw[LOKASI]="PLTU PITON #1")*raw[[00.30]:[24.00]])/48+SUMPRODUCT((raw[Source.Name]="INT")*(raw[LOKASI]="PLTU PITON #2")*raw[[00.30]:[24.00]])/48)/(370*2)</f>
        <v>0.87190315315315325</v>
      </c>
      <c r="AG22" s="24">
        <v>4.3</v>
      </c>
      <c r="AH22" t="s">
        <v>35</v>
      </c>
      <c r="AI22" t="s">
        <v>36</v>
      </c>
      <c r="AJ22">
        <v>100</v>
      </c>
      <c r="AM22" t="s">
        <v>55</v>
      </c>
      <c r="AN22" t="s">
        <v>56</v>
      </c>
    </row>
    <row r="23" spans="1:40" x14ac:dyDescent="0.3">
      <c r="A23" s="28" t="s">
        <v>57</v>
      </c>
      <c r="B23" s="28" t="b">
        <v>0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30"/>
      <c r="Z23" s="27"/>
      <c r="AG23" s="25" t="s">
        <v>58</v>
      </c>
    </row>
    <row r="24" spans="1:40" x14ac:dyDescent="0.3">
      <c r="A24" t="s">
        <v>59</v>
      </c>
      <c r="B24" s="1" t="b">
        <v>1</v>
      </c>
      <c r="G24">
        <v>200</v>
      </c>
      <c r="X24" s="31">
        <f>(IFERROR(AVERAGEIF(INDEX(RT!$D$1:$AY$812,MATCH("PLTU Jawa Power #5",RT!$A$1:$A$812,0),0),"&lt;&gt;0"),0)+IFERROR(AVERAGEIF(INDEX(RT!$D$1:$AY$812,MATCH("PLTU Jawa Power #6",RT!$A$1:$A$812,0),0),"&lt;&gt;0"),0))/(610*2)</f>
        <v>0.31147540983606559</v>
      </c>
      <c r="Y24" s="5" cm="1">
        <f t="array" ref="Y24">(SUMPRODUCT((raw[Source.Name]="ROH")*(raw[LOKASI]="PLTU Jawa Power #5")*raw[[00.30]:[24.00]])/48+SUMPRODUCT((raw[Source.Name]="ROH")*(raw[LOKASI]="PLTU Jawa Power #6")*raw[[00.30]:[24.00]])/48)/(610*2)</f>
        <v>0.49965846994535523</v>
      </c>
      <c r="Z24" s="31" cm="1">
        <f t="array" ref="Z24">(SUMPRODUCT((raw[Source.Name]="INT")*(raw[LOKASI]="PLTU Jawa Power #5")*raw[[00.30]:[24.00]])/48+SUMPRODUCT((raw[Source.Name]="INT")*(raw[LOKASI]="PLTU Jawa Power #6")*raw[[00.30]:[24.00]])/48)/(610*2)</f>
        <v>0.48668032786885246</v>
      </c>
      <c r="AG24" s="24">
        <v>5.0999999999999996</v>
      </c>
    </row>
    <row r="25" spans="1:40" x14ac:dyDescent="0.3">
      <c r="A25" s="27" t="s">
        <v>60</v>
      </c>
      <c r="B25" s="28" t="b">
        <v>1</v>
      </c>
      <c r="C25" s="27"/>
      <c r="D25" s="27"/>
      <c r="E25" s="27"/>
      <c r="F25" s="27"/>
      <c r="G25" s="27">
        <v>200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30"/>
      <c r="Z25" s="27"/>
      <c r="AG25" s="25" t="s">
        <v>61</v>
      </c>
    </row>
    <row r="26" spans="1:40" x14ac:dyDescent="0.3">
      <c r="A26" s="1" t="s">
        <v>62</v>
      </c>
      <c r="B26" s="1" t="b">
        <v>1</v>
      </c>
      <c r="X26" s="31">
        <f>(IFERROR(AVERAGEIF(INDEX(RT!$D$1:$AY$812,MATCH("PLTU PEC #3",RT!$A$1:$A$812,0),0),"&lt;&gt;0"),0))/811</f>
        <v>1.3339311736352426E-2</v>
      </c>
      <c r="Y26" s="5" cm="1">
        <f t="array" ref="Y26">(SUMPRODUCT((raw[Source.Name]="ROH")*(raw[LOKASI]="PLTU PEC #3")*raw[[00.30]:[24.00]])/48)/811</f>
        <v>0.61503262433210015</v>
      </c>
      <c r="Z26" s="31" cm="1">
        <f t="array" ref="Z26">(SUMPRODUCT((raw[Source.Name]="INT")*(raw[LOKASI]="PLTU PEC #3")*raw[[00.30]:[24.00]])/48)/811</f>
        <v>0.49253262433210032</v>
      </c>
      <c r="AF26" t="s">
        <v>63</v>
      </c>
      <c r="AG26" s="24">
        <v>1.1000000000000001</v>
      </c>
      <c r="AH26" t="s">
        <v>35</v>
      </c>
      <c r="AI26" t="s">
        <v>64</v>
      </c>
      <c r="AJ26">
        <v>80</v>
      </c>
    </row>
    <row r="27" spans="1:40" x14ac:dyDescent="0.3">
      <c r="A27" s="28" t="s">
        <v>65</v>
      </c>
      <c r="B27" s="28" t="b">
        <v>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30"/>
      <c r="Z27" s="27"/>
      <c r="AG27" s="24">
        <v>2.1</v>
      </c>
      <c r="AH27" t="s">
        <v>35</v>
      </c>
      <c r="AI27" t="s">
        <v>64</v>
      </c>
      <c r="AJ27">
        <v>80</v>
      </c>
    </row>
    <row r="28" spans="1:40" x14ac:dyDescent="0.3">
      <c r="A28" t="s">
        <v>66</v>
      </c>
      <c r="B28" t="b">
        <v>0</v>
      </c>
      <c r="X28" s="31">
        <f>(IFERROR(AVERAGEIF(INDEX(RT!$D$1:$AY$812,MATCH("PLTU JAWA 7 #1",RT!$A$1:$A$812,0),0),"&lt;&gt;0"),0)+IFERROR(AVERAGEIF(INDEX(RT!$D$1:$AY$812,MATCH("PLTU JAWA 7 #2",RT!$A$1:$A$812,0),0),"&lt;&gt;0"),0))/(991*2)</f>
        <v>0.34139069810109163</v>
      </c>
      <c r="Y28" s="5" cm="1">
        <f t="array" ref="Y28">(SUMPRODUCT((raw[Source.Name]="ROH")*(raw[LOKASI]="PLTU JAWA 7 #1")*raw[[00.30]:[24.00]])/48+SUMPRODUCT((raw[Source.Name]="ROH")*(raw[LOKASI]="PLTU JAWA 7 #2")*raw[[00.30]:[24.00]])/48)/(991*2)</f>
        <v>0.4647830474268414</v>
      </c>
      <c r="Z28" s="31" cm="1">
        <f t="array" ref="Z28">(SUMPRODUCT((raw[Source.Name]="INT")*(raw[LOKASI]="PLTU JAWA 7 #1")*raw[[00.30]:[24.00]])/48+SUMPRODUCT((raw[Source.Name]="INT")*(raw[LOKASI]="PLTU JAWA 7 #2")*raw[[00.30]:[24.00]])/48)/(991*2)</f>
        <v>0.46725529767911156</v>
      </c>
      <c r="AF28" t="s">
        <v>67</v>
      </c>
      <c r="AG28" s="24">
        <v>1.1000000000000001</v>
      </c>
      <c r="AH28" t="s">
        <v>35</v>
      </c>
      <c r="AI28" t="s">
        <v>64</v>
      </c>
      <c r="AJ28">
        <v>80</v>
      </c>
    </row>
    <row r="29" spans="1:40" x14ac:dyDescent="0.3">
      <c r="A29" s="27" t="s">
        <v>68</v>
      </c>
      <c r="B29" s="27" t="b">
        <v>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0"/>
      <c r="Z29" s="27"/>
      <c r="AG29" s="24">
        <v>2.1</v>
      </c>
      <c r="AH29" t="s">
        <v>35</v>
      </c>
      <c r="AI29" t="s">
        <v>64</v>
      </c>
      <c r="AJ29">
        <v>80</v>
      </c>
    </row>
    <row r="30" spans="1:40" x14ac:dyDescent="0.3">
      <c r="A30" t="s">
        <v>69</v>
      </c>
      <c r="B30" s="1" t="b">
        <v>1</v>
      </c>
      <c r="X30" s="31">
        <f>(IFERROR(AVERAGEIF(INDEX(RT!$D$1:$AY$812,MATCH("PLTU PAITON #9",RT!$A$1:$A$812,0),0),"&lt;&gt;0"),0))/615</f>
        <v>0.62601626016260159</v>
      </c>
      <c r="Y30" s="5" cm="1">
        <f t="array" ref="Y30">(SUMPRODUCT((raw[Source.Name]="ROH")*(raw[LOKASI]="PLTU PAITON #9")*raw[[00.30]:[24.00]])/48)/615</f>
        <v>0.97956978319783272</v>
      </c>
      <c r="Z30" s="31" cm="1">
        <f t="array" ref="Z30">(SUMPRODUCT((raw[Source.Name]="INT")*(raw[LOKASI]="PLTU PAITON #9")*raw[[00.30]:[24.00]])/48)/615</f>
        <v>0.95390921409214158</v>
      </c>
      <c r="AF30" t="s">
        <v>70</v>
      </c>
      <c r="AG30" s="24">
        <v>1.2</v>
      </c>
    </row>
    <row r="31" spans="1:40" x14ac:dyDescent="0.3">
      <c r="A31" s="28" t="s">
        <v>71</v>
      </c>
      <c r="B31" s="28" t="b">
        <v>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30"/>
      <c r="Z31" s="27"/>
      <c r="AG31" s="24">
        <v>2.1</v>
      </c>
    </row>
    <row r="32" spans="1:40" x14ac:dyDescent="0.3">
      <c r="A32" t="s">
        <v>72</v>
      </c>
      <c r="B32" s="1" t="b">
        <v>0</v>
      </c>
      <c r="X32" s="31">
        <f>(IFERROR(AVERAGEIF(INDEX(RT!$D$1:$AY$812,MATCH("PLTU PACITAN #1",RT!$A$1:$A$812,0),0),"&lt;&gt;0"),0)+IFERROR(AVERAGEIF(INDEX(RT!$D$1:$AY$812,MATCH("PLTU PACITAN #2",RT!$A$1:$A$812,0),0),"&lt;&gt;0"),0))/(280*2)</f>
        <v>0.35860389610389609</v>
      </c>
      <c r="Y32" s="5" cm="1">
        <f t="array" ref="Y32">(SUMPRODUCT((raw[Source.Name]="ROH")*(raw[LOKASI]="PLTU PACITAN #1")*raw[[00.30]:[24.00]])/48+SUMPRODUCT((raw[Source.Name]="ROH")*(raw[LOKASI]="PLTU PACITAN #2")*raw[[00.30]:[24.00]])/48)/(280*2)</f>
        <v>0.37016369047619047</v>
      </c>
      <c r="Z32" s="31" cm="1">
        <f t="array" ref="Z32">(SUMPRODUCT((raw[Source.Name]="INT")*(raw[LOKASI]="PLTU PACITAN #1")*raw[[00.30]:[24.00]])/48+SUMPRODUCT((raw[Source.Name]="INT")*(raw[LOKASI]="PLTU PACITAN #2")*raw[[00.30]:[24.00]])/48)/(280*2)</f>
        <v>0.37016369047619047</v>
      </c>
      <c r="AG32" s="24">
        <v>2.2000000000000002</v>
      </c>
    </row>
    <row r="33" spans="1:30" x14ac:dyDescent="0.3">
      <c r="A33" s="27" t="s">
        <v>73</v>
      </c>
      <c r="B33" s="28" t="b">
        <v>0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30" x14ac:dyDescent="0.3">
      <c r="A34" t="s">
        <v>74</v>
      </c>
      <c r="B34" t="b">
        <v>0</v>
      </c>
      <c r="X34" s="31">
        <f>(IFERROR(AVERAGEIF(INDEX(RT!$D$1:$AY$812,MATCH("PLTU CEPR #1",RT!$A$1:$A$812,0),0),"&lt;&gt;0"),0))/924</f>
        <v>0.79161747343565525</v>
      </c>
      <c r="Y34" s="5" cm="1">
        <f t="array" ref="Y34">(SUMPRODUCT((raw[Source.Name]="ROH")*(raw[LOKASI]="PLTU CEPR #1")*raw[[00.30]:[24.00]])/48)/924</f>
        <v>0.96235209235209174</v>
      </c>
      <c r="Z34" s="31" cm="1">
        <f t="array" ref="Z34">(SUMPRODUCT((raw[Source.Name]="INT")*(raw[LOKASI]="PLTU CEPR #1")*raw[[00.30]:[24.00]])/48)/924</f>
        <v>0.96912495490620398</v>
      </c>
    </row>
    <row r="35" spans="1:30" x14ac:dyDescent="0.3">
      <c r="A35" s="27" t="s">
        <v>75</v>
      </c>
      <c r="B35" s="28" t="b">
        <v>1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32">
        <f>(IFERROR(AVERAGEIF(INDEX(RT!$D$1:$AY$812,MATCH("PLTU IPP CIREBON #1",RT!$A$1:$A$812,0),0),"&lt;&gt;0"),0))/660</f>
        <v>0.69573002754820934</v>
      </c>
      <c r="Y35" s="29" cm="1">
        <f t="array" ref="Y35">(SUMPRODUCT((raw[Source.Name]="ROH")*(raw[LOKASI]="PLTU IPP CIREBON #1")*raw[[00.30]:[24.00]])/48)/660</f>
        <v>0.95494444444444371</v>
      </c>
      <c r="Z35" s="32" cm="1">
        <f t="array" ref="Z35">(SUMPRODUCT((raw[Source.Name]="INT")*(raw[LOKASI]="PLTU IPP CIREBON #1")*raw[[00.30]:[24.00]])/48)/660</f>
        <v>0.95611111111111058</v>
      </c>
    </row>
    <row r="36" spans="1:30" x14ac:dyDescent="0.3">
      <c r="A36" s="1" t="s">
        <v>76</v>
      </c>
      <c r="B36" s="1" t="b">
        <v>0</v>
      </c>
      <c r="Y36" s="6"/>
    </row>
    <row r="37" spans="1:30" x14ac:dyDescent="0.3">
      <c r="A37" s="28" t="s">
        <v>77</v>
      </c>
      <c r="B37" s="28" t="b">
        <v>1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32">
        <f>(IFERROR(AVERAGEIF(INDEX(RT!$D$1:$AY$812,MATCH("PLTU PEC #7",RT!$A$1:$A$812,0),0),"&lt;&gt;0"),0)+IFERROR(AVERAGEIF(INDEX(RT!$D$1:$AY$812,MATCH("PLTU PEC #8",RT!$A$1:$A$812,0),0),"&lt;&gt;0"),0))/(610*2)</f>
        <v>0.69046199701937405</v>
      </c>
      <c r="Y37" s="29" cm="1">
        <f t="array" ref="Y37">(SUMPRODUCT((raw[Source.Name]="ROH")*(raw[LOKASI]="PLTU PEC #7")*raw[[00.30]:[24.00]])/48+SUMPRODUCT((raw[Source.Name]="ROH")*(raw[LOKASI]="PLTU PEC #8")*raw[[00.30]:[24.00]])/48)/(610*2)</f>
        <v>0.97973360655737618</v>
      </c>
      <c r="Z37" s="32" cm="1">
        <f t="array" ref="Z37">(SUMPRODUCT((raw[Source.Name]="INT")*(raw[LOKASI]="PLTU PEC #7")*raw[[00.30]:[24.00]])/48+SUMPRODUCT((raw[Source.Name]="INT")*(raw[LOKASI]="PLTU PEC #8")*raw[[00.30]:[24.00]])/48)/(610*2)</f>
        <v>0.95498633879781336</v>
      </c>
    </row>
    <row r="38" spans="1:30" x14ac:dyDescent="0.3">
      <c r="A38" s="1" t="s">
        <v>78</v>
      </c>
      <c r="B38" s="1" t="b">
        <v>1</v>
      </c>
      <c r="Y38" s="6"/>
      <c r="AC38" t="s">
        <v>79</v>
      </c>
    </row>
    <row r="39" spans="1:30" x14ac:dyDescent="0.3">
      <c r="A39" s="28" t="s">
        <v>80</v>
      </c>
      <c r="B39" s="28" t="b">
        <v>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32">
        <f>(IFERROR(AVERAGEIF(INDEX(RT!$D$1:$AY$812,MATCH("PLTU PRATU #1",RT!$A$1:$A$812,0),0),"&lt;&gt;0"),0)+IFERROR(AVERAGEIF(INDEX(RT!$D$1:$AY$812,MATCH("PLTU PRATU #2",RT!$A$1:$A$812,0),0),"&lt;&gt;0"),0)+IFERROR(AVERAGEIF(INDEX(RT!$D$1:$AY$812,MATCH("PLTU PRATU #3",RT!$A$1:$A$812,0),0),"&lt;&gt;0"),0))/(323*3)</f>
        <v>0.88094567970728965</v>
      </c>
      <c r="Y39" s="32" cm="1">
        <f t="array" ref="Y39">(SUMPRODUCT((raw[Source.Name]="ROH")*(raw[LOKASI]="PLTU PRATU #1")*raw[[00.30]:[24.00]])/48+SUMPRODUCT((raw[Source.Name]="ROH")*(raw[LOKASI]="PLTU PRATU #2")*raw[[00.30]:[24.00]])/48+SUMPRODUCT((raw[Source.Name]="ROH")*(raw[LOKASI]="PLTU PRATU #3")*raw[[00.30]:[24.00]])/48)/(323*3)</f>
        <v>0.81525047299621656</v>
      </c>
      <c r="Z39" s="32" cm="1">
        <f t="array" ref="Z39">(SUMPRODUCT((raw[Source.Name]="INT")*(raw[LOKASI]="PLTU PRATU #1")*raw[[00.30]:[24.00]])/48+SUMPRODUCT((raw[Source.Name]="INT")*(raw[LOKASI]="PLTU PRATU #2")*raw[[00.30]:[24.00]])/48+SUMPRODUCT((raw[Source.Name]="INT")*(raw[LOKASI]="PLTU PRATU #3")*raw[[00.30]:[24.00]])/48)/(323*3)</f>
        <v>0.81718782249741995</v>
      </c>
    </row>
    <row r="40" spans="1:30" x14ac:dyDescent="0.3">
      <c r="A40" s="1" t="s">
        <v>81</v>
      </c>
      <c r="B40" s="1" t="b">
        <v>0</v>
      </c>
      <c r="Y40" s="6"/>
    </row>
    <row r="41" spans="1:30" x14ac:dyDescent="0.3">
      <c r="A41" s="28" t="s">
        <v>82</v>
      </c>
      <c r="B41" s="28" t="b">
        <v>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30"/>
      <c r="Z41" s="27"/>
    </row>
    <row r="42" spans="1:30" x14ac:dyDescent="0.3">
      <c r="A42" t="s">
        <v>83</v>
      </c>
      <c r="B42" s="1" t="b">
        <v>0</v>
      </c>
      <c r="X42" s="31">
        <f>(IFERROR(AVERAGEIF(INDEX(RT!$D$1:$AY$812,MATCH("PLTU SRLYA #8",RT!$A$1:$A$812,0),0),"&lt;&gt;0"),0))/540</f>
        <v>0.74292929292929288</v>
      </c>
      <c r="Y42" s="31" cm="1">
        <f t="array" ref="Y42">(SUMPRODUCT((raw[Source.Name]="ROH")*(raw[LOKASI]="PLTU SRLYA #8")*raw[[00.30]:[24.00]])/48)/540</f>
        <v>0.7407407407407407</v>
      </c>
      <c r="Z42" s="31" cm="1">
        <f t="array" ref="Z42">(SUMPRODUCT((raw[Source.Name]="INT")*(raw[LOKASI]="PLTU SRLYA #8")*raw[[00.30]:[24.00]])/48)/540</f>
        <v>0.79629629629629628</v>
      </c>
    </row>
    <row r="43" spans="1:30" x14ac:dyDescent="0.3">
      <c r="A43" s="28" t="s">
        <v>84</v>
      </c>
      <c r="B43" s="28" t="b">
        <v>0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32">
        <f>(IFERROR(AVERAGEIF(INDEX(RT!$D$1:$AY$812,MATCH("PLTU SRLYA #1",RT!$A$1:$A$812,0),0),"&lt;&gt;0"),0)+IFERROR(AVERAGEIF(INDEX(RT!$D$1:$AY$812,MATCH("PLTU SRLYA #2",RT!$A$1:$A$812,0),0),"&lt;&gt;0"),0)+IFERROR(AVERAGEIF(INDEX(RT!$D$1:$AY$812,MATCH("PLTU SRLYA #3",RT!$A$1:$A$812,0),0),"&lt;&gt;0"),0)+IFERROR(AVERAGEIF(INDEX(RT!$D$1:$AY$812,MATCH("PLTU SRLYA #4",RT!$A$1:$A$812,0),0),"&lt;&gt;0"),0))/(371.5*4)</f>
        <v>0.62253762388351885</v>
      </c>
      <c r="Y43" s="32" cm="1">
        <f t="array" ref="Y43">(SUMPRODUCT((raw[Source.Name]="ROH")*(raw[LOKASI]="PLTU SRLYA #1")*raw[[00.30]:[24.00]])/48+SUMPRODUCT((raw[Source.Name]="ROH")*(raw[LOKASI]="PLTU SRLYA #2")*raw[[00.30]:[24.00]])/48+SUMPRODUCT((raw[Source.Name]="ROH")*(raw[LOKASI]="PLTU SRLYA #3")*raw[[00.30]:[24.00]])/48+SUMPRODUCT((raw[Source.Name]="ROH")*(raw[LOKASI]="PLTU SRLYA #4")*raw[[00.30]:[24.00]])/48)/(371.5*4)</f>
        <v>0.78394179004037701</v>
      </c>
      <c r="Z43" s="32" cm="1">
        <f t="array" ref="Z43">(SUMPRODUCT((raw[Source.Name]="INT")*(raw[LOKASI]="PLTU SRLYA #1")*raw[[00.30]:[24.00]])/48+SUMPRODUCT((raw[Source.Name]="INT")*(raw[LOKASI]="PLTU SRLYA #2")*raw[[00.30]:[24.00]])/48+SUMPRODUCT((raw[Source.Name]="INT")*(raw[LOKASI]="PLTU SRLYA #3")*raw[[00.30]:[24.00]])/48+SUMPRODUCT((raw[Source.Name]="INT")*(raw[LOKASI]="PLTU SRLYA #4")*raw[[00.30]:[24.00]])/48)/(371.5*4)</f>
        <v>0.83929578847016617</v>
      </c>
    </row>
    <row r="44" spans="1:30" x14ac:dyDescent="0.3">
      <c r="A44" t="s">
        <v>85</v>
      </c>
      <c r="B44" s="1" t="b">
        <v>0</v>
      </c>
      <c r="X44" s="31">
        <f>(IFERROR(AVERAGEIF(INDEX(RT!$D$1:$AY$812,MATCH("PLTU REMBANG #10",RT!$A$1:$A$812,0),0),"&lt;&gt;0"),0)+IFERROR(AVERAGEIF(INDEX(RT!$D$1:$AY$812,MATCH("PLTU REMBANG #20",RT!$A$1:$A$812,0),0),"&lt;&gt;0"),0))/(280*2)</f>
        <v>0.85844393668831176</v>
      </c>
      <c r="Y44" s="31" cm="1">
        <f t="array" ref="Y44">(SUMPRODUCT((raw[Source.Name]="ROH")*(raw[LOKASI]="PLTU REMBANG #10")*raw[[00.30]:[24.00]])/48+SUMPRODUCT((raw[Source.Name]="ROH")*(raw[LOKASI]="PLTU REMBANG #20")*raw[[00.30]:[24.00]])/48)/(280*2)</f>
        <v>0.77529761904761907</v>
      </c>
      <c r="Z44" s="31" cm="1">
        <f t="array" ref="Z44">(SUMPRODUCT((raw[Source.Name]="INT")*(raw[LOKASI]="PLTU REMBANG #10")*raw[[00.30]:[24.00]])/48+SUMPRODUCT((raw[Source.Name]="INT")*(raw[LOKASI]="PLTU REMBANG #20")*raw[[00.30]:[24.00]])/48)/(280*2)</f>
        <v>0.8683035714285714</v>
      </c>
    </row>
    <row r="45" spans="1:30" x14ac:dyDescent="0.3">
      <c r="A45" s="27" t="s">
        <v>86</v>
      </c>
      <c r="B45" s="28" t="b">
        <v>0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30"/>
      <c r="Z45" s="27"/>
      <c r="AD45">
        <f>826-735</f>
        <v>91</v>
      </c>
    </row>
    <row r="46" spans="1:30" x14ac:dyDescent="0.3">
      <c r="A46" s="1" t="s">
        <v>87</v>
      </c>
      <c r="B46" s="1" t="b">
        <v>0</v>
      </c>
      <c r="X46" s="31">
        <f>(IFERROR(AVERAGEIF(INDEX(RT!$D$1:$AY$812,MATCH("PLTU CLCAP #1",RT!$A$1:$A$812,0),0),"&lt;&gt;0"),0)+IFERROR(AVERAGEIF(INDEX(RT!$D$1:$AY$812,MATCH("PLTU CLCAP #2",RT!$A$1:$A$812,0),0),"&lt;&gt;0"),0))/(281*2)</f>
        <v>0.68421440795858945</v>
      </c>
      <c r="Y46" s="5" cm="1">
        <f t="array" ref="Y46">(SUMPRODUCT((raw[Source.Name]="ROH")*(raw[LOKASI]="PLTU CLCAP #1")*raw[[00.30]:[24.00]])/48+SUMPRODUCT((raw[Source.Name]="ROH")*(raw[LOKASI]="PLTU CLCAP #2")*raw[[00.30]:[24.00]])/48)/(281*2)</f>
        <v>0.88071174377224148</v>
      </c>
      <c r="Z46" s="31" cm="1">
        <f t="array" ref="Z46">(SUMPRODUCT((raw[Source.Name]="INT")*(raw[LOKASI]="PLTU CLCAP #1")*raw[[00.30]:[24.00]])/48+SUMPRODUCT((raw[Source.Name]="INT")*(raw[LOKASI]="PLTU CLCAP #2")*raw[[00.30]:[24.00]])/48)/(281*2)</f>
        <v>0.93614472123368841</v>
      </c>
    </row>
    <row r="47" spans="1:30" x14ac:dyDescent="0.3">
      <c r="A47" s="28" t="s">
        <v>88</v>
      </c>
      <c r="B47" s="28" t="b">
        <v>0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33"/>
    </row>
    <row r="48" spans="1:30" x14ac:dyDescent="0.3">
      <c r="A48" t="s">
        <v>89</v>
      </c>
      <c r="B48" s="1" t="b">
        <v>1</v>
      </c>
      <c r="X48" s="31">
        <f>(IFERROR(AVERAGEIF(INDEX(RT!$D$1:$AY$812,MATCH("PLTU INDRAMAYU #1",RT!$A$1:$A$812,0),0),"&lt;&gt;0"),0)+IFERROR(AVERAGEIF(INDEX(RT!$D$1:$AY$812,MATCH("PLTU INDRAMAYU #2",RT!$A$1:$A$812,0),0),"&lt;&gt;0"),0)+IFERROR(AVERAGEIF(INDEX(RT!$D$1:$AY$812,MATCH("PLTU INDRAMAYU #3",RT!$A$1:$A$812,0),0),"&lt;&gt;0"),0))/(290*3)</f>
        <v>0.64524555903866232</v>
      </c>
      <c r="Y48" s="31" cm="1">
        <f t="array" ref="Y48">(SUMPRODUCT((raw[Source.Name]="ROH")*(raw[LOKASI]="PLTU INDRAMAYU #1")*raw[[00.30]:[24.00]])/48+SUMPRODUCT((raw[Source.Name]="ROH")*(raw[LOKASI]="PLTU INDRAMAYU #2")*raw[[00.30]:[24.00]])/48+SUMPRODUCT((raw[Source.Name]="ROH")*(raw[LOKASI]="PLTU INDRAMAYU #3")*raw[[00.30]:[24.00]])/48)/(290*3)</f>
        <v>0.91344612068965536</v>
      </c>
      <c r="Z48" s="31" cm="1">
        <f t="array" ref="Z48">(SUMPRODUCT((raw[Source.Name]="INT")*(raw[LOKASI]="PLTU INDRAMAYU #1")*raw[[00.30]:[24.00]])/48+SUMPRODUCT((raw[Source.Name]="INT")*(raw[LOKASI]="PLTU INDRAMAYU #2")*raw[[00.30]:[24.00]])/48+SUMPRODUCT((raw[Source.Name]="INT")*(raw[LOKASI]="PLTU INDRAMAYU #3")*raw[[00.30]:[24.00]])/48)/(290*3)</f>
        <v>0.88854166666666667</v>
      </c>
      <c r="AA48" s="23"/>
      <c r="AB48" s="6"/>
    </row>
    <row r="49" spans="1:33" x14ac:dyDescent="0.3">
      <c r="A49" s="27" t="s">
        <v>90</v>
      </c>
      <c r="B49" s="28" t="b">
        <v>1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33" x14ac:dyDescent="0.3">
      <c r="A50" t="s">
        <v>91</v>
      </c>
      <c r="B50" s="1" t="b">
        <v>1</v>
      </c>
    </row>
    <row r="51" spans="1:33" x14ac:dyDescent="0.3">
      <c r="A51" s="1" t="s">
        <v>92</v>
      </c>
      <c r="B51" s="1" t="b">
        <v>0</v>
      </c>
      <c r="X51" s="31">
        <f>(IFERROR(AVERAGEIF(INDEX(RT!$D$1:$AY$812,MATCH("PLTU LABUAN #1",RT!$A$1:$A$812,0),0),"&lt;&gt;0"),0)+IFERROR(AVERAGEIF(INDEX(RT!$D$1:$AY$812,MATCH("PLTU LABUAN #2",RT!$A$1:$A$812,0),0),"&lt;&gt;0"),0))/(280*2)</f>
        <v>0.94886363636363635</v>
      </c>
      <c r="Y51" s="31" cm="1">
        <f t="array" ref="Y51">(SUMPRODUCT((raw[Source.Name]="ROH")*(raw[LOKASI]="PLTU LABUAN #1")*raw[[00.30]:[24.00]])/48+SUMPRODUCT((raw[Source.Name]="ROH")*(raw[LOKASI]="PLTU LABUAN #2")*raw[[00.30]:[24.00]])/48)/(280*2)</f>
        <v>0.88541666666666663</v>
      </c>
      <c r="Z51" s="31" cm="1">
        <f t="array" ref="Z51">(SUMPRODUCT((raw[Source.Name]="INT")*(raw[LOKASI]="PLTU LABUAN #1")*raw[[00.30]:[24.00]])/48+SUMPRODUCT((raw[Source.Name]="INT")*(raw[LOKASI]="PLTU LABUAN #2")*raw[[00.30]:[24.00]])/48)/(280*2)</f>
        <v>0.9040178571428571</v>
      </c>
    </row>
    <row r="52" spans="1:33" x14ac:dyDescent="0.3">
      <c r="A52" s="1" t="s">
        <v>93</v>
      </c>
      <c r="B52" s="1" t="b">
        <v>0</v>
      </c>
      <c r="X52" s="31">
        <f>(IFERROR(AVERAGEIF(INDEX(RT!$D$1:$AY$812,MATCH("PLTU LONTAR #1",RT!$A$1:$A$812,0),0),"&lt;&gt;0"),0)+IFERROR(AVERAGEIF(INDEX(RT!$D$1:$AY$812,MATCH("PLTU LONTAR #2",RT!$A$1:$A$812,0),0),"&lt;&gt;0"),0)+IFERROR(AVERAGEIF(INDEX(RT!$D$1:$AY$812,MATCH("PLTU LONTAR #3",RT!$A$1:$A$812,0),0),"&lt;&gt;0"),0)+IFERROR(AVERAGEIF(INDEX(RT!$D$1:$AY$812,MATCH("PLTU LONTAR #4",RT!$A$1:$A$812,0),0),"&lt;&gt;0"),0))/(280+280+280+293)</f>
        <v>0.6443071491615181</v>
      </c>
      <c r="Y52" s="31" cm="1">
        <f t="array" ref="Y52">(SUMPRODUCT((raw[Source.Name]="ROH")*(raw[LOKASI]="PLTU LONTAR #1")*raw[[00.30]:[24.00]])/48+SUMPRODUCT((raw[Source.Name]="ROH")*(raw[LOKASI]="PLTU LONTAR #2")*raw[[00.30]:[24.00]])/48+SUMPRODUCT((raw[Source.Name]="ROH")*(raw[LOKASI]="PLTU LONTAR #3")*raw[[00.30]:[24.00]])/48+SUMPRODUCT((raw[Source.Name]="ROH")*(raw[LOKASI]="PLTU LONTAR #4")*raw[[00.30]:[24.00]])/48)/(280+280+280+293)</f>
        <v>0.66857899382171226</v>
      </c>
      <c r="Z52" s="31" cm="1">
        <f t="array" ref="Z52">(SUMPRODUCT((raw[Source.Name]="INT")*(raw[LOKASI]="PLTU LONTAR #1")*raw[[00.30]:[24.00]])/48+SUMPRODUCT((raw[Source.Name]="INT")*(raw[LOKASI]="PLTU LONTAR #2")*raw[[00.30]:[24.00]])/48+SUMPRODUCT((raw[Source.Name]="INT")*(raw[LOKASI]="PLTU LONTAR #3")*raw[[00.30]:[24.00]])/48+SUMPRODUCT((raw[Source.Name]="INT")*(raw[LOKASI]="PLTU LONTAR #4")*raw[[00.30]:[24.00]])/48)/(280+280+280+293)</f>
        <v>0.68623124448367168</v>
      </c>
    </row>
    <row r="53" spans="1:33" x14ac:dyDescent="0.3">
      <c r="A53" s="1"/>
      <c r="B53" s="1"/>
      <c r="AF53">
        <v>100</v>
      </c>
    </row>
    <row r="54" spans="1:33" x14ac:dyDescent="0.3">
      <c r="A54" s="1" t="s">
        <v>94</v>
      </c>
      <c r="B54" s="1"/>
      <c r="G54">
        <f>175*4+120*4</f>
        <v>1180</v>
      </c>
      <c r="AF54">
        <v>100</v>
      </c>
    </row>
    <row r="55" spans="1:33" x14ac:dyDescent="0.3">
      <c r="A55" s="1" t="s">
        <v>95</v>
      </c>
      <c r="B55" s="1"/>
      <c r="AA55" t="s">
        <v>96</v>
      </c>
      <c r="AF55">
        <v>120</v>
      </c>
    </row>
    <row r="56" spans="1:33" x14ac:dyDescent="0.3">
      <c r="A56" s="1" t="s">
        <v>97</v>
      </c>
      <c r="B56" s="1"/>
      <c r="AA56" t="s">
        <v>98</v>
      </c>
      <c r="AB56" t="s">
        <v>99</v>
      </c>
      <c r="AF56">
        <v>80</v>
      </c>
    </row>
    <row r="57" spans="1:33" x14ac:dyDescent="0.3">
      <c r="A57" s="1" t="s">
        <v>100</v>
      </c>
      <c r="B57" s="1"/>
      <c r="Y57" t="s">
        <v>101</v>
      </c>
      <c r="Z57" t="s">
        <v>102</v>
      </c>
      <c r="AA57">
        <v>54.5</v>
      </c>
      <c r="AB57">
        <v>21</v>
      </c>
      <c r="AC57">
        <f>SUM(AA57:AB57)</f>
        <v>75.5</v>
      </c>
      <c r="AD57">
        <f>AC57/3</f>
        <v>25.166666666666668</v>
      </c>
      <c r="AF57">
        <v>60</v>
      </c>
    </row>
    <row r="58" spans="1:33" x14ac:dyDescent="0.3">
      <c r="A58" s="1" t="s">
        <v>103</v>
      </c>
      <c r="B58" s="1"/>
      <c r="AF58">
        <v>25</v>
      </c>
    </row>
    <row r="59" spans="1:33" x14ac:dyDescent="0.3">
      <c r="A59" s="1" t="s">
        <v>104</v>
      </c>
      <c r="B59" s="1"/>
      <c r="W59" t="s">
        <v>105</v>
      </c>
      <c r="AF59">
        <v>120</v>
      </c>
    </row>
    <row r="60" spans="1:33" x14ac:dyDescent="0.3">
      <c r="A60" s="1" t="s">
        <v>106</v>
      </c>
      <c r="B60" s="1"/>
      <c r="AF60">
        <v>150</v>
      </c>
    </row>
    <row r="61" spans="1:33" x14ac:dyDescent="0.3">
      <c r="A61" s="1" t="s">
        <v>107</v>
      </c>
      <c r="B61" s="1"/>
      <c r="W61" t="s">
        <v>108</v>
      </c>
      <c r="AF61">
        <f>SUM(AF53:AF60)</f>
        <v>755</v>
      </c>
      <c r="AG61">
        <f>AF61-390</f>
        <v>365</v>
      </c>
    </row>
    <row r="62" spans="1:33" x14ac:dyDescent="0.3">
      <c r="A62" s="1" t="s">
        <v>109</v>
      </c>
      <c r="B62" s="1"/>
      <c r="AF62">
        <f>951-415</f>
        <v>536</v>
      </c>
    </row>
    <row r="63" spans="1:33" x14ac:dyDescent="0.3">
      <c r="A63" s="1" t="s">
        <v>110</v>
      </c>
      <c r="B63" s="1"/>
    </row>
    <row r="64" spans="1:33" x14ac:dyDescent="0.3">
      <c r="A64" s="1" t="s">
        <v>111</v>
      </c>
      <c r="B64" s="1"/>
    </row>
    <row r="65" spans="1:35" x14ac:dyDescent="0.3">
      <c r="A65" s="1" t="s">
        <v>112</v>
      </c>
      <c r="B65" s="1"/>
    </row>
    <row r="66" spans="1:35" x14ac:dyDescent="0.3">
      <c r="A66" s="1" t="s">
        <v>113</v>
      </c>
      <c r="B66" s="1"/>
    </row>
    <row r="67" spans="1:35" x14ac:dyDescent="0.3">
      <c r="A67" s="1" t="s">
        <v>114</v>
      </c>
      <c r="B67" s="1"/>
      <c r="W67" t="s">
        <v>115</v>
      </c>
    </row>
    <row r="68" spans="1:35" x14ac:dyDescent="0.3">
      <c r="A68" t="s">
        <v>116</v>
      </c>
      <c r="C68">
        <f t="array" ref="C68">SUMPRODUCT(IFERROR(($B$71:$B$127=1)*VALUE(C71:C127),0))</f>
        <v>5833.3600000000006</v>
      </c>
      <c r="D68">
        <f t="array" ref="D68">SUMPRODUCT(IFERROR(($B$71:$B$127=1)*VALUE(D71:D127),0))</f>
        <v>6037.1100000000006</v>
      </c>
      <c r="E68">
        <f t="array" ref="E68">SUMPRODUCT(IFERROR(($B$71:$B$127=1)*VALUE(E71:E127),0))</f>
        <v>6118.6100000000006</v>
      </c>
      <c r="F68">
        <f t="array" ref="F68">SUMPRODUCT(IFERROR(($B$71:$B$127=1)*VALUE(F71:F127),0))</f>
        <v>6200.1100000000006</v>
      </c>
      <c r="G68">
        <f t="array" ref="G68">SUMPRODUCT(IFERROR(($B$71:$B$127=1)*VALUE(G71:G127),0))</f>
        <v>6281.6100000000006</v>
      </c>
      <c r="H68">
        <f t="array" ref="H68">SUMPRODUCT(IFERROR(($B$71:$B$127=1)*VALUE(H71:H127),0))</f>
        <v>6363.1100000000006</v>
      </c>
      <c r="I68">
        <f t="array" ref="I68">SUMPRODUCT(IFERROR(($B$71:$B$127=1)*VALUE(I71:I127),0))</f>
        <v>6444.6100000000006</v>
      </c>
      <c r="J68">
        <f t="array" ref="J68">SUMPRODUCT(IFERROR(($B$71:$B$127=1)*VALUE(J71:J127),0))</f>
        <v>6526.1100000000006</v>
      </c>
      <c r="K68">
        <f t="array" ref="K68">SUMPRODUCT(IFERROR(($B$71:$B$127=1)*VALUE(K71:K127),0))</f>
        <v>6605.1</v>
      </c>
      <c r="L68">
        <f t="array" ref="L68">SUMPRODUCT(IFERROR(($B$71:$B$127=1)*VALUE(L71:L127),0))</f>
        <v>6505.89</v>
      </c>
      <c r="M68">
        <f t="array" ref="M68">SUMPRODUCT(IFERROR(($B$71:$B$127=1)*VALUE(M71:M127),0))</f>
        <v>6505.89</v>
      </c>
      <c r="N68">
        <f t="array" ref="N68">SUMPRODUCT(IFERROR(($B$71:$B$127=1)*VALUE(N71:N127),0))</f>
        <v>6505.89</v>
      </c>
      <c r="O68">
        <f t="array" ref="O68">SUMPRODUCT(IFERROR(($B$71:$B$127=1)*VALUE(O71:O127),0))</f>
        <v>6628.14</v>
      </c>
      <c r="P68">
        <f t="array" ref="P68">SUMPRODUCT(IFERROR(($B$71:$B$127=1)*VALUE(P71:P127),0))</f>
        <v>6628.14</v>
      </c>
      <c r="Q68">
        <f t="array" ref="Q68">SUMPRODUCT(IFERROR(($B$71:$B$127=1)*VALUE(Q71:Q127),0))</f>
        <v>6628.14</v>
      </c>
      <c r="R68">
        <f t="array" ref="R68">SUMPRODUCT(IFERROR(($B$71:$B$127=1)*VALUE(R71:R127),0))</f>
        <v>6628.14</v>
      </c>
      <c r="S68">
        <f t="array" ref="S68">SUMPRODUCT(IFERROR(($B$71:$B$127=1)*VALUE(S71:S127),0))</f>
        <v>6628.14</v>
      </c>
      <c r="T68">
        <f t="array" ref="T68">SUMPRODUCT(IFERROR(($B$71:$B$127=1)*VALUE(T71:T127),0))</f>
        <v>6628.14</v>
      </c>
      <c r="U68">
        <f t="array" ref="U68">SUMPRODUCT(IFERROR(($B$71:$B$127=1)*VALUE(U71:U127),0))</f>
        <v>6628.14</v>
      </c>
      <c r="V68">
        <f t="array" ref="V68">SUMPRODUCT(IFERROR(($B$71:$B$127=1)*VALUE(V71:V127),0))</f>
        <v>6628.14</v>
      </c>
      <c r="AB68" t="s">
        <v>117</v>
      </c>
      <c r="AC68">
        <v>650</v>
      </c>
    </row>
    <row r="69" spans="1:35" x14ac:dyDescent="0.3">
      <c r="AB69" t="s">
        <v>118</v>
      </c>
      <c r="AC69">
        <v>1300</v>
      </c>
    </row>
    <row r="70" spans="1:35" x14ac:dyDescent="0.3">
      <c r="C70" t="str" cm="1">
        <f t="array" ref="C70">INDEX('raw'!$D$1:$AY$1,1,$X$1+1)</f>
        <v>07.30</v>
      </c>
      <c r="D70" t="str" cm="1">
        <f t="array" ref="D70">INDEX('raw'!$D$1:$AY$1,1,$X$1+2)</f>
        <v>08.00</v>
      </c>
      <c r="E70" t="str" cm="1">
        <f t="array" ref="E70">INDEX('raw'!$D$1:$AY$1,1,$X$1+3)</f>
        <v>08.30</v>
      </c>
      <c r="F70" t="str" cm="1">
        <f t="array" ref="F70">INDEX('raw'!$D$1:$AY$1,1,$X$1+4)</f>
        <v>09.00</v>
      </c>
      <c r="G70" t="str" cm="1">
        <f t="array" ref="G70">INDEX('raw'!$D$1:$AY$1,1,$X$1+5)</f>
        <v>09.30</v>
      </c>
      <c r="H70" t="str" cm="1">
        <f t="array" ref="H70">INDEX('raw'!$D$1:$AY$1,1,$X$1+6)</f>
        <v>10.00</v>
      </c>
      <c r="I70" t="str" cm="1">
        <f t="array" ref="I70">INDEX('raw'!$D$1:$AY$1,1,$X$1+7)</f>
        <v>10.30</v>
      </c>
      <c r="J70" t="str" cm="1">
        <f t="array" ref="J70">INDEX('raw'!$D$1:$AY$1,1,$X$1+8)</f>
        <v>11.00</v>
      </c>
      <c r="K70" t="str" cm="1">
        <f t="array" ref="K70">INDEX('raw'!$D$1:$AY$1,1,$X$1+9)</f>
        <v>11.30</v>
      </c>
      <c r="L70" t="str" cm="1">
        <f t="array" ref="L70">INDEX('raw'!$D$1:$AY$1,1,$X$1+10)</f>
        <v>12.00</v>
      </c>
      <c r="M70" t="str" cm="1">
        <f t="array" ref="M70">INDEX('raw'!$D$1:$AY$1,1,$X$1+11)</f>
        <v>12.30</v>
      </c>
      <c r="N70" t="str" cm="1">
        <f t="array" ref="N70">INDEX('raw'!$D$1:$AY$1,1,$X$1+12)</f>
        <v>13.00</v>
      </c>
      <c r="O70" t="str" cm="1">
        <f t="array" ref="O70">INDEX('raw'!$D$1:$AY$1,1,$X$1+13)</f>
        <v>13.30</v>
      </c>
      <c r="P70" t="str" cm="1">
        <f t="array" ref="P70">INDEX('raw'!$D$1:$AY$1,1,$X$1+14)</f>
        <v>14.00</v>
      </c>
      <c r="Q70" t="str" cm="1">
        <f t="array" ref="Q70">INDEX('raw'!$D$1:$AY$1,1,$X$1+15)</f>
        <v>14.30</v>
      </c>
      <c r="R70" t="str" cm="1">
        <f t="array" ref="R70">INDEX('raw'!$D$1:$AY$1,1,$X$1+16)</f>
        <v>15.00</v>
      </c>
      <c r="S70" t="str" cm="1">
        <f t="array" ref="S70">INDEX('raw'!$D$1:$AY$1,1,$X$1+17)</f>
        <v>15.30</v>
      </c>
      <c r="T70" t="str" cm="1">
        <f t="array" ref="T70">INDEX('raw'!$D$1:$AY$1,1,$X$1+18)</f>
        <v>16.00</v>
      </c>
      <c r="U70" t="str" cm="1">
        <f t="array" ref="U70">INDEX('raw'!$D$1:$AY$1,1,$X$1+19)</f>
        <v>16.30</v>
      </c>
      <c r="V70" t="str" cm="1">
        <f t="array" ref="V70">INDEX('raw'!$D$1:$AY$1,1,$X$1+20)</f>
        <v>17.00</v>
      </c>
      <c r="AA70">
        <v>1200</v>
      </c>
      <c r="AB70" t="s">
        <v>119</v>
      </c>
      <c r="AC70" t="s">
        <v>120</v>
      </c>
    </row>
    <row r="71" spans="1:35" x14ac:dyDescent="0.3">
      <c r="A71" s="1" t="s">
        <v>28</v>
      </c>
      <c r="B71" s="3">
        <f t="shared" ref="B71:B84" si="3">IF(VLOOKUP(A71,$A$7:$B$52,2,FALSE),1,0)</f>
        <v>1</v>
      </c>
      <c r="C71">
        <f>IFERROR(SUMIFS(INDEX(raw[[00.30]:[24.00]],0,$X$1+1),raw[Source.Name],$A$136,raw[LOKASI],$A71),0)</f>
        <v>647.88</v>
      </c>
      <c r="D71">
        <f>IFERROR(SUMIFS(INDEX(raw[[00.30]:[24.00]],0,$X$1+2),raw[Source.Name],$A$136,raw[LOKASI],$A71),0)</f>
        <v>647.88</v>
      </c>
      <c r="E71">
        <f>IFERROR(SUMIFS(INDEX(raw[[00.30]:[24.00]],0,$X$1+3),raw[Source.Name],$A$136,raw[LOKASI],$A71),0)</f>
        <v>647.88</v>
      </c>
      <c r="F71">
        <f>IFERROR(SUMIFS(INDEX(raw[[00.30]:[24.00]],0,$X$1+4),raw[Source.Name],$A$136,raw[LOKASI],$A71),0)</f>
        <v>647.88</v>
      </c>
      <c r="G71">
        <f>IFERROR(SUMIFS(INDEX(raw[[00.30]:[24.00]],0,$X$1+5),raw[Source.Name],$A$136,raw[LOKASI],$A71),0)</f>
        <v>647.88</v>
      </c>
      <c r="H71">
        <f>IFERROR(SUMIFS(INDEX(raw[[00.30]:[24.00]],0,$X$1+6),raw[Source.Name],$A$136,raw[LOKASI],$A71),0)</f>
        <v>647.88</v>
      </c>
      <c r="I71">
        <f>IFERROR(SUMIFS(INDEX(raw[[00.30]:[24.00]],0,$X$1+7),raw[Source.Name],$A$136,raw[LOKASI],$A71),0)</f>
        <v>647.88</v>
      </c>
      <c r="J71">
        <f>IFERROR(SUMIFS(INDEX(raw[[00.30]:[24.00]],0,$X$1+8),raw[Source.Name],$A$136,raw[LOKASI],$A71),0)</f>
        <v>647.88</v>
      </c>
      <c r="K71">
        <f>IFERROR(SUMIFS(INDEX(raw[[00.30]:[24.00]],0,$X$1+9),raw[Source.Name],$A$136,raw[LOKASI],$A71),0)</f>
        <v>647.88</v>
      </c>
      <c r="L71">
        <f>IFERROR(SUMIFS(INDEX(raw[[00.30]:[24.00]],0,$X$1+10),raw[Source.Name],$A$136,raw[LOKASI],$A71),0)</f>
        <v>647.88</v>
      </c>
      <c r="M71">
        <f>IFERROR(SUMIFS(INDEX(raw[[00.30]:[24.00]],0,$X$1+11),raw[Source.Name],$A$136,raw[LOKASI],$A71),0)</f>
        <v>647.88</v>
      </c>
      <c r="N71">
        <f>IFERROR(SUMIFS(INDEX(raw[[00.30]:[24.00]],0,$X$1+12),raw[Source.Name],$A$136,raw[LOKASI],$A71),0)</f>
        <v>647.88</v>
      </c>
      <c r="O71">
        <f>IFERROR(SUMIFS(INDEX(raw[[00.30]:[24.00]],0,$X$1+13),raw[Source.Name],$A$136,raw[LOKASI],$A71),0)</f>
        <v>647.88</v>
      </c>
      <c r="P71">
        <f>IFERROR(SUMIFS(INDEX(raw[[00.30]:[24.00]],0,$X$1+14),raw[Source.Name],$A$136,raw[LOKASI],$A71),0)</f>
        <v>647.88</v>
      </c>
      <c r="Q71">
        <f>IFERROR(SUMIFS(INDEX(raw[[00.30]:[24.00]],0,$X$1+15),raw[Source.Name],$A$136,raw[LOKASI],$A71),0)</f>
        <v>647.88</v>
      </c>
      <c r="R71">
        <f>IFERROR(SUMIFS(INDEX(raw[[00.30]:[24.00]],0,$X$1+16),raw[Source.Name],$A$136,raw[LOKASI],$A71),0)</f>
        <v>647.88</v>
      </c>
      <c r="S71">
        <f>IFERROR(SUMIFS(INDEX(raw[[00.30]:[24.00]],0,$X$1+17),raw[Source.Name],$A$136,raw[LOKASI],$A71),0)</f>
        <v>647.88</v>
      </c>
      <c r="T71">
        <f>IFERROR(SUMIFS(INDEX(raw[[00.30]:[24.00]],0,$X$1+18),raw[Source.Name],$A$136,raw[LOKASI],$A71),0)</f>
        <v>647.88</v>
      </c>
      <c r="U71">
        <f>IFERROR(SUMIFS(INDEX(raw[[00.30]:[24.00]],0,$X$1+19),raw[Source.Name],$A$136,raw[LOKASI],$A71),0)</f>
        <v>647.88</v>
      </c>
      <c r="V71">
        <f>IFERROR(SUMIFS(INDEX(raw[[00.30]:[24.00]],0,$X$1+20),raw[Source.Name],$A$136,raw[LOKASI],$A71),0)</f>
        <v>647.88</v>
      </c>
      <c r="AB71" t="s">
        <v>121</v>
      </c>
      <c r="AC71">
        <v>800</v>
      </c>
      <c r="AE71" t="s">
        <v>122</v>
      </c>
      <c r="AF71" t="s">
        <v>123</v>
      </c>
    </row>
    <row r="72" spans="1:35" x14ac:dyDescent="0.3">
      <c r="A72" s="1" t="s">
        <v>30</v>
      </c>
      <c r="B72" s="3">
        <f t="shared" si="3"/>
        <v>1</v>
      </c>
      <c r="C72">
        <f>IFERROR(SUMIFS(INDEX(raw[[00.30]:[24.00]],0,$X$1+1),raw[Source.Name],$A$136,raw[LOKASI],$A72),0)</f>
        <v>647.88</v>
      </c>
      <c r="D72">
        <f>IFERROR(SUMIFS(INDEX(raw[[00.30]:[24.00]],0,$X$1+2),raw[Source.Name],$A$136,raw[LOKASI],$A72),0)</f>
        <v>647.88</v>
      </c>
      <c r="E72">
        <f>IFERROR(SUMIFS(INDEX(raw[[00.30]:[24.00]],0,$X$1+3),raw[Source.Name],$A$136,raw[LOKASI],$A72),0)</f>
        <v>647.88</v>
      </c>
      <c r="F72">
        <f>IFERROR(SUMIFS(INDEX(raw[[00.30]:[24.00]],0,$X$1+4),raw[Source.Name],$A$136,raw[LOKASI],$A72),0)</f>
        <v>647.88</v>
      </c>
      <c r="G72">
        <f>IFERROR(SUMIFS(INDEX(raw[[00.30]:[24.00]],0,$X$1+5),raw[Source.Name],$A$136,raw[LOKASI],$A72),0)</f>
        <v>647.88</v>
      </c>
      <c r="H72">
        <f>IFERROR(SUMIFS(INDEX(raw[[00.30]:[24.00]],0,$X$1+6),raw[Source.Name],$A$136,raw[LOKASI],$A72),0)</f>
        <v>647.88</v>
      </c>
      <c r="I72">
        <f>IFERROR(SUMIFS(INDEX(raw[[00.30]:[24.00]],0,$X$1+7),raw[Source.Name],$A$136,raw[LOKASI],$A72),0)</f>
        <v>647.88</v>
      </c>
      <c r="J72">
        <f>IFERROR(SUMIFS(INDEX(raw[[00.30]:[24.00]],0,$X$1+8),raw[Source.Name],$A$136,raw[LOKASI],$A72),0)</f>
        <v>647.88</v>
      </c>
      <c r="K72">
        <f>IFERROR(SUMIFS(INDEX(raw[[00.30]:[24.00]],0,$X$1+9),raw[Source.Name],$A$136,raw[LOKASI],$A72),0)</f>
        <v>647.88</v>
      </c>
      <c r="L72">
        <f>IFERROR(SUMIFS(INDEX(raw[[00.30]:[24.00]],0,$X$1+10),raw[Source.Name],$A$136,raw[LOKASI],$A72),0)</f>
        <v>647.88</v>
      </c>
      <c r="M72">
        <f>IFERROR(SUMIFS(INDEX(raw[[00.30]:[24.00]],0,$X$1+11),raw[Source.Name],$A$136,raw[LOKASI],$A72),0)</f>
        <v>647.88</v>
      </c>
      <c r="N72">
        <f>IFERROR(SUMIFS(INDEX(raw[[00.30]:[24.00]],0,$X$1+12),raw[Source.Name],$A$136,raw[LOKASI],$A72),0)</f>
        <v>647.88</v>
      </c>
      <c r="O72">
        <f>IFERROR(SUMIFS(INDEX(raw[[00.30]:[24.00]],0,$X$1+13),raw[Source.Name],$A$136,raw[LOKASI],$A72),0)</f>
        <v>647.88</v>
      </c>
      <c r="P72">
        <f>IFERROR(SUMIFS(INDEX(raw[[00.30]:[24.00]],0,$X$1+14),raw[Source.Name],$A$136,raw[LOKASI],$A72),0)</f>
        <v>647.88</v>
      </c>
      <c r="Q72">
        <f>IFERROR(SUMIFS(INDEX(raw[[00.30]:[24.00]],0,$X$1+15),raw[Source.Name],$A$136,raw[LOKASI],$A72),0)</f>
        <v>647.88</v>
      </c>
      <c r="R72">
        <f>IFERROR(SUMIFS(INDEX(raw[[00.30]:[24.00]],0,$X$1+16),raw[Source.Name],$A$136,raw[LOKASI],$A72),0)</f>
        <v>647.88</v>
      </c>
      <c r="S72">
        <f>IFERROR(SUMIFS(INDEX(raw[[00.30]:[24.00]],0,$X$1+17),raw[Source.Name],$A$136,raw[LOKASI],$A72),0)</f>
        <v>647.88</v>
      </c>
      <c r="T72">
        <f>IFERROR(SUMIFS(INDEX(raw[[00.30]:[24.00]],0,$X$1+18),raw[Source.Name],$A$136,raw[LOKASI],$A72),0)</f>
        <v>647.88</v>
      </c>
      <c r="U72">
        <f>IFERROR(SUMIFS(INDEX(raw[[00.30]:[24.00]],0,$X$1+19),raw[Source.Name],$A$136,raw[LOKASI],$A72),0)</f>
        <v>647.88</v>
      </c>
      <c r="V72">
        <f>IFERROR(SUMIFS(INDEX(raw[[00.30]:[24.00]],0,$X$1+20),raw[Source.Name],$A$136,raw[LOKASI],$A72),0)</f>
        <v>647.88</v>
      </c>
      <c r="AB72" t="s">
        <v>95</v>
      </c>
      <c r="AC72">
        <v>750</v>
      </c>
    </row>
    <row r="73" spans="1:35" x14ac:dyDescent="0.3">
      <c r="A73" s="1" t="s">
        <v>32</v>
      </c>
      <c r="B73" s="3">
        <f t="shared" si="3"/>
        <v>0</v>
      </c>
      <c r="C73">
        <f>IFERROR(SUMIFS(INDEX(raw[[00.30]:[24.00]],0,$X$1+1),raw[Source.Name],$A$136,raw[LOKASI],$A73),0)</f>
        <v>980</v>
      </c>
      <c r="D73">
        <f>IFERROR(SUMIFS(INDEX(raw[[00.30]:[24.00]],0,$X$1+2),raw[Source.Name],$A$136,raw[LOKASI],$A73),0)</f>
        <v>980</v>
      </c>
      <c r="E73">
        <f>IFERROR(SUMIFS(INDEX(raw[[00.30]:[24.00]],0,$X$1+3),raw[Source.Name],$A$136,raw[LOKASI],$A73),0)</f>
        <v>980</v>
      </c>
      <c r="F73">
        <f>IFERROR(SUMIFS(INDEX(raw[[00.30]:[24.00]],0,$X$1+4),raw[Source.Name],$A$136,raw[LOKASI],$A73),0)</f>
        <v>980</v>
      </c>
      <c r="G73">
        <f>IFERROR(SUMIFS(INDEX(raw[[00.30]:[24.00]],0,$X$1+5),raw[Source.Name],$A$136,raw[LOKASI],$A73),0)</f>
        <v>980</v>
      </c>
      <c r="H73">
        <f>IFERROR(SUMIFS(INDEX(raw[[00.30]:[24.00]],0,$X$1+6),raw[Source.Name],$A$136,raw[LOKASI],$A73),0)</f>
        <v>980</v>
      </c>
      <c r="I73">
        <f>IFERROR(SUMIFS(INDEX(raw[[00.30]:[24.00]],0,$X$1+7),raw[Source.Name],$A$136,raw[LOKASI],$A73),0)</f>
        <v>980</v>
      </c>
      <c r="J73">
        <f>IFERROR(SUMIFS(INDEX(raw[[00.30]:[24.00]],0,$X$1+8),raw[Source.Name],$A$136,raw[LOKASI],$A73),0)</f>
        <v>980</v>
      </c>
      <c r="K73">
        <f>IFERROR(SUMIFS(INDEX(raw[[00.30]:[24.00]],0,$X$1+9),raw[Source.Name],$A$136,raw[LOKASI],$A73),0)</f>
        <v>980</v>
      </c>
      <c r="L73">
        <f>IFERROR(SUMIFS(INDEX(raw[[00.30]:[24.00]],0,$X$1+10),raw[Source.Name],$A$136,raw[LOKASI],$A73),0)</f>
        <v>980</v>
      </c>
      <c r="M73">
        <f>IFERROR(SUMIFS(INDEX(raw[[00.30]:[24.00]],0,$X$1+11),raw[Source.Name],$A$136,raw[LOKASI],$A73),0)</f>
        <v>980</v>
      </c>
      <c r="N73">
        <f>IFERROR(SUMIFS(INDEX(raw[[00.30]:[24.00]],0,$X$1+12),raw[Source.Name],$A$136,raw[LOKASI],$A73),0)</f>
        <v>980</v>
      </c>
      <c r="O73">
        <f>IFERROR(SUMIFS(INDEX(raw[[00.30]:[24.00]],0,$X$1+13),raw[Source.Name],$A$136,raw[LOKASI],$A73),0)</f>
        <v>980</v>
      </c>
      <c r="P73">
        <f>IFERROR(SUMIFS(INDEX(raw[[00.30]:[24.00]],0,$X$1+14),raw[Source.Name],$A$136,raw[LOKASI],$A73),0)</f>
        <v>980</v>
      </c>
      <c r="Q73">
        <f>IFERROR(SUMIFS(INDEX(raw[[00.30]:[24.00]],0,$X$1+15),raw[Source.Name],$A$136,raw[LOKASI],$A73),0)</f>
        <v>980</v>
      </c>
      <c r="R73">
        <f>IFERROR(SUMIFS(INDEX(raw[[00.30]:[24.00]],0,$X$1+16),raw[Source.Name],$A$136,raw[LOKASI],$A73),0)</f>
        <v>980</v>
      </c>
      <c r="S73">
        <f>IFERROR(SUMIFS(INDEX(raw[[00.30]:[24.00]],0,$X$1+17),raw[Source.Name],$A$136,raw[LOKASI],$A73),0)</f>
        <v>980</v>
      </c>
      <c r="T73">
        <f>IFERROR(SUMIFS(INDEX(raw[[00.30]:[24.00]],0,$X$1+18),raw[Source.Name],$A$136,raw[LOKASI],$A73),0)</f>
        <v>980</v>
      </c>
      <c r="U73">
        <f>IFERROR(SUMIFS(INDEX(raw[[00.30]:[24.00]],0,$X$1+19),raw[Source.Name],$A$136,raw[LOKASI],$A73),0)</f>
        <v>980</v>
      </c>
      <c r="V73">
        <f>IFERROR(SUMIFS(INDEX(raw[[00.30]:[24.00]],0,$X$1+20),raw[Source.Name],$A$136,raw[LOKASI],$A73),0)</f>
        <v>980</v>
      </c>
      <c r="AB73" t="s">
        <v>124</v>
      </c>
      <c r="AC73">
        <v>400</v>
      </c>
    </row>
    <row r="74" spans="1:35" x14ac:dyDescent="0.3">
      <c r="A74" s="1" t="s">
        <v>34</v>
      </c>
      <c r="B74" s="3">
        <f t="shared" si="3"/>
        <v>0</v>
      </c>
      <c r="C74">
        <f>IFERROR(SUMIFS(INDEX(raw[[00.30]:[24.00]],0,$X$1+1),raw[Source.Name],$A$136,raw[LOKASI],$A74),0)</f>
        <v>980</v>
      </c>
      <c r="D74">
        <f>IFERROR(SUMIFS(INDEX(raw[[00.30]:[24.00]],0,$X$1+2),raw[Source.Name],$A$136,raw[LOKASI],$A74),0)</f>
        <v>980</v>
      </c>
      <c r="E74">
        <f>IFERROR(SUMIFS(INDEX(raw[[00.30]:[24.00]],0,$X$1+3),raw[Source.Name],$A$136,raw[LOKASI],$A74),0)</f>
        <v>980</v>
      </c>
      <c r="F74">
        <f>IFERROR(SUMIFS(INDEX(raw[[00.30]:[24.00]],0,$X$1+4),raw[Source.Name],$A$136,raw[LOKASI],$A74),0)</f>
        <v>980</v>
      </c>
      <c r="G74">
        <f>IFERROR(SUMIFS(INDEX(raw[[00.30]:[24.00]],0,$X$1+5),raw[Source.Name],$A$136,raw[LOKASI],$A74),0)</f>
        <v>980</v>
      </c>
      <c r="H74">
        <f>IFERROR(SUMIFS(INDEX(raw[[00.30]:[24.00]],0,$X$1+6),raw[Source.Name],$A$136,raw[LOKASI],$A74),0)</f>
        <v>980</v>
      </c>
      <c r="I74">
        <f>IFERROR(SUMIFS(INDEX(raw[[00.30]:[24.00]],0,$X$1+7),raw[Source.Name],$A$136,raw[LOKASI],$A74),0)</f>
        <v>980</v>
      </c>
      <c r="J74">
        <f>IFERROR(SUMIFS(INDEX(raw[[00.30]:[24.00]],0,$X$1+8),raw[Source.Name],$A$136,raw[LOKASI],$A74),0)</f>
        <v>980</v>
      </c>
      <c r="K74">
        <f>IFERROR(SUMIFS(INDEX(raw[[00.30]:[24.00]],0,$X$1+9),raw[Source.Name],$A$136,raw[LOKASI],$A74),0)</f>
        <v>980</v>
      </c>
      <c r="L74">
        <f>IFERROR(SUMIFS(INDEX(raw[[00.30]:[24.00]],0,$X$1+10),raw[Source.Name],$A$136,raw[LOKASI],$A74),0)</f>
        <v>980</v>
      </c>
      <c r="M74">
        <f>IFERROR(SUMIFS(INDEX(raw[[00.30]:[24.00]],0,$X$1+11),raw[Source.Name],$A$136,raw[LOKASI],$A74),0)</f>
        <v>980</v>
      </c>
      <c r="N74">
        <f>IFERROR(SUMIFS(INDEX(raw[[00.30]:[24.00]],0,$X$1+12),raw[Source.Name],$A$136,raw[LOKASI],$A74),0)</f>
        <v>980</v>
      </c>
      <c r="O74">
        <f>IFERROR(SUMIFS(INDEX(raw[[00.30]:[24.00]],0,$X$1+13),raw[Source.Name],$A$136,raw[LOKASI],$A74),0)</f>
        <v>980</v>
      </c>
      <c r="P74">
        <f>IFERROR(SUMIFS(INDEX(raw[[00.30]:[24.00]],0,$X$1+14),raw[Source.Name],$A$136,raw[LOKASI],$A74),0)</f>
        <v>980</v>
      </c>
      <c r="Q74">
        <f>IFERROR(SUMIFS(INDEX(raw[[00.30]:[24.00]],0,$X$1+15),raw[Source.Name],$A$136,raw[LOKASI],$A74),0)</f>
        <v>980</v>
      </c>
      <c r="R74">
        <f>IFERROR(SUMIFS(INDEX(raw[[00.30]:[24.00]],0,$X$1+16),raw[Source.Name],$A$136,raw[LOKASI],$A74),0)</f>
        <v>980</v>
      </c>
      <c r="S74">
        <f>IFERROR(SUMIFS(INDEX(raw[[00.30]:[24.00]],0,$X$1+17),raw[Source.Name],$A$136,raw[LOKASI],$A74),0)</f>
        <v>980</v>
      </c>
      <c r="T74">
        <f>IFERROR(SUMIFS(INDEX(raw[[00.30]:[24.00]],0,$X$1+18),raw[Source.Name],$A$136,raw[LOKASI],$A74),0)</f>
        <v>980</v>
      </c>
      <c r="U74">
        <f>IFERROR(SUMIFS(INDEX(raw[[00.30]:[24.00]],0,$X$1+19),raw[Source.Name],$A$136,raw[LOKASI],$A74),0)</f>
        <v>980</v>
      </c>
      <c r="V74">
        <f>IFERROR(SUMIFS(INDEX(raw[[00.30]:[24.00]],0,$X$1+20),raw[Source.Name],$A$136,raw[LOKASI],$A74),0)</f>
        <v>980</v>
      </c>
      <c r="AB74" t="s">
        <v>125</v>
      </c>
    </row>
    <row r="75" spans="1:35" x14ac:dyDescent="0.3">
      <c r="A75" s="1" t="s">
        <v>31</v>
      </c>
      <c r="B75" s="3">
        <f t="shared" si="3"/>
        <v>1</v>
      </c>
      <c r="C75">
        <f>IFERROR(SUMIFS(INDEX(raw[[00.30]:[24.00]],0,$X$1+1),raw[Source.Name],$A$136,raw[LOKASI],$A75),0)</f>
        <v>612.5</v>
      </c>
      <c r="D75">
        <f>IFERROR(SUMIFS(INDEX(raw[[00.30]:[24.00]],0,$X$1+2),raw[Source.Name],$A$136,raw[LOKASI],$A75),0)</f>
        <v>612.5</v>
      </c>
      <c r="E75">
        <f>IFERROR(SUMIFS(INDEX(raw[[00.30]:[24.00]],0,$X$1+3),raw[Source.Name],$A$136,raw[LOKASI],$A75),0)</f>
        <v>612.5</v>
      </c>
      <c r="F75">
        <f>IFERROR(SUMIFS(INDEX(raw[[00.30]:[24.00]],0,$X$1+4),raw[Source.Name],$A$136,raw[LOKASI],$A75),0)</f>
        <v>612.5</v>
      </c>
      <c r="G75">
        <f>IFERROR(SUMIFS(INDEX(raw[[00.30]:[24.00]],0,$X$1+5),raw[Source.Name],$A$136,raw[LOKASI],$A75),0)</f>
        <v>612.5</v>
      </c>
      <c r="H75">
        <f>IFERROR(SUMIFS(INDEX(raw[[00.30]:[24.00]],0,$X$1+6),raw[Source.Name],$A$136,raw[LOKASI],$A75),0)</f>
        <v>612.5</v>
      </c>
      <c r="I75">
        <f>IFERROR(SUMIFS(INDEX(raw[[00.30]:[24.00]],0,$X$1+7),raw[Source.Name],$A$136,raw[LOKASI],$A75),0)</f>
        <v>612.5</v>
      </c>
      <c r="J75">
        <f>IFERROR(SUMIFS(INDEX(raw[[00.30]:[24.00]],0,$X$1+8),raw[Source.Name],$A$136,raw[LOKASI],$A75),0)</f>
        <v>612.5</v>
      </c>
      <c r="K75">
        <f>IFERROR(SUMIFS(INDEX(raw[[00.30]:[24.00]],0,$X$1+9),raw[Source.Name],$A$136,raw[LOKASI],$A75),0)</f>
        <v>612.5</v>
      </c>
      <c r="L75">
        <f>IFERROR(SUMIFS(INDEX(raw[[00.30]:[24.00]],0,$X$1+10),raw[Source.Name],$A$136,raw[LOKASI],$A75),0)</f>
        <v>612.5</v>
      </c>
      <c r="M75">
        <f>IFERROR(SUMIFS(INDEX(raw[[00.30]:[24.00]],0,$X$1+11),raw[Source.Name],$A$136,raw[LOKASI],$A75),0)</f>
        <v>612.5</v>
      </c>
      <c r="N75">
        <f>IFERROR(SUMIFS(INDEX(raw[[00.30]:[24.00]],0,$X$1+12),raw[Source.Name],$A$136,raw[LOKASI],$A75),0)</f>
        <v>612.5</v>
      </c>
      <c r="O75">
        <f>IFERROR(SUMIFS(INDEX(raw[[00.30]:[24.00]],0,$X$1+13),raw[Source.Name],$A$136,raw[LOKASI],$A75),0)</f>
        <v>612.5</v>
      </c>
      <c r="P75">
        <f>IFERROR(SUMIFS(INDEX(raw[[00.30]:[24.00]],0,$X$1+14),raw[Source.Name],$A$136,raw[LOKASI],$A75),0)</f>
        <v>612.5</v>
      </c>
      <c r="Q75">
        <f>IFERROR(SUMIFS(INDEX(raw[[00.30]:[24.00]],0,$X$1+15),raw[Source.Name],$A$136,raw[LOKASI],$A75),0)</f>
        <v>612.5</v>
      </c>
      <c r="R75">
        <f>IFERROR(SUMIFS(INDEX(raw[[00.30]:[24.00]],0,$X$1+16),raw[Source.Name],$A$136,raw[LOKASI],$A75),0)</f>
        <v>612.5</v>
      </c>
      <c r="S75">
        <f>IFERROR(SUMIFS(INDEX(raw[[00.30]:[24.00]],0,$X$1+17),raw[Source.Name],$A$136,raw[LOKASI],$A75),0)</f>
        <v>612.5</v>
      </c>
      <c r="T75">
        <f>IFERROR(SUMIFS(INDEX(raw[[00.30]:[24.00]],0,$X$1+18),raw[Source.Name],$A$136,raw[LOKASI],$A75),0)</f>
        <v>612.5</v>
      </c>
      <c r="U75">
        <f>IFERROR(SUMIFS(INDEX(raw[[00.30]:[24.00]],0,$X$1+19),raw[Source.Name],$A$136,raw[LOKASI],$A75),0)</f>
        <v>612.5</v>
      </c>
      <c r="V75">
        <f>IFERROR(SUMIFS(INDEX(raw[[00.30]:[24.00]],0,$X$1+20),raw[Source.Name],$A$136,raw[LOKASI],$A75),0)</f>
        <v>612.5</v>
      </c>
      <c r="AB75" t="s">
        <v>126</v>
      </c>
      <c r="AC75" t="s">
        <v>127</v>
      </c>
      <c r="AD75">
        <v>800</v>
      </c>
    </row>
    <row r="76" spans="1:35" x14ac:dyDescent="0.3">
      <c r="A76" s="1" t="s">
        <v>52</v>
      </c>
      <c r="B76" s="3">
        <f t="shared" si="3"/>
        <v>0</v>
      </c>
      <c r="C76">
        <f>IFERROR(SUMIFS(INDEX(raw[[00.30]:[24.00]],0,$X$1+1),raw[Source.Name],$A$136,raw[LOKASI],$A76),0)</f>
        <v>647.58000000000004</v>
      </c>
      <c r="D76">
        <f>IFERROR(SUMIFS(INDEX(raw[[00.30]:[24.00]],0,$X$1+2),raw[Source.Name],$A$136,raw[LOKASI],$A76),0)</f>
        <v>647.58000000000004</v>
      </c>
      <c r="E76">
        <f>IFERROR(SUMIFS(INDEX(raw[[00.30]:[24.00]],0,$X$1+3),raw[Source.Name],$A$136,raw[LOKASI],$A76),0)</f>
        <v>647.58000000000004</v>
      </c>
      <c r="F76">
        <f>IFERROR(SUMIFS(INDEX(raw[[00.30]:[24.00]],0,$X$1+4),raw[Source.Name],$A$136,raw[LOKASI],$A76),0)</f>
        <v>647.58000000000004</v>
      </c>
      <c r="G76">
        <f>IFERROR(SUMIFS(INDEX(raw[[00.30]:[24.00]],0,$X$1+5),raw[Source.Name],$A$136,raw[LOKASI],$A76),0)</f>
        <v>647.58000000000004</v>
      </c>
      <c r="H76">
        <f>IFERROR(SUMIFS(INDEX(raw[[00.30]:[24.00]],0,$X$1+6),raw[Source.Name],$A$136,raw[LOKASI],$A76),0)</f>
        <v>647.58000000000004</v>
      </c>
      <c r="I76">
        <f>IFERROR(SUMIFS(INDEX(raw[[00.30]:[24.00]],0,$X$1+7),raw[Source.Name],$A$136,raw[LOKASI],$A76),0)</f>
        <v>647.58000000000004</v>
      </c>
      <c r="J76">
        <f>IFERROR(SUMIFS(INDEX(raw[[00.30]:[24.00]],0,$X$1+8),raw[Source.Name],$A$136,raw[LOKASI],$A76),0)</f>
        <v>647.58000000000004</v>
      </c>
      <c r="K76">
        <f>IFERROR(SUMIFS(INDEX(raw[[00.30]:[24.00]],0,$X$1+9),raw[Source.Name],$A$136,raw[LOKASI],$A76),0)</f>
        <v>647.58000000000004</v>
      </c>
      <c r="L76">
        <f>IFERROR(SUMIFS(INDEX(raw[[00.30]:[24.00]],0,$X$1+10),raw[Source.Name],$A$136,raw[LOKASI],$A76),0)</f>
        <v>647.58000000000004</v>
      </c>
      <c r="M76">
        <f>IFERROR(SUMIFS(INDEX(raw[[00.30]:[24.00]],0,$X$1+11),raw[Source.Name],$A$136,raw[LOKASI],$A76),0)</f>
        <v>647.58000000000004</v>
      </c>
      <c r="N76">
        <f>IFERROR(SUMIFS(INDEX(raw[[00.30]:[24.00]],0,$X$1+12),raw[Source.Name],$A$136,raw[LOKASI],$A76),0)</f>
        <v>647.58000000000004</v>
      </c>
      <c r="O76">
        <f>IFERROR(SUMIFS(INDEX(raw[[00.30]:[24.00]],0,$X$1+13),raw[Source.Name],$A$136,raw[LOKASI],$A76),0)</f>
        <v>647.58000000000004</v>
      </c>
      <c r="P76">
        <f>IFERROR(SUMIFS(INDEX(raw[[00.30]:[24.00]],0,$X$1+14),raw[Source.Name],$A$136,raw[LOKASI],$A76),0)</f>
        <v>647.58000000000004</v>
      </c>
      <c r="Q76">
        <f>IFERROR(SUMIFS(INDEX(raw[[00.30]:[24.00]],0,$X$1+15),raw[Source.Name],$A$136,raw[LOKASI],$A76),0)</f>
        <v>647.58000000000004</v>
      </c>
      <c r="R76">
        <f>IFERROR(SUMIFS(INDEX(raw[[00.30]:[24.00]],0,$X$1+16),raw[Source.Name],$A$136,raw[LOKASI],$A76),0)</f>
        <v>647.58000000000004</v>
      </c>
      <c r="S76">
        <f>IFERROR(SUMIFS(INDEX(raw[[00.30]:[24.00]],0,$X$1+17),raw[Source.Name],$A$136,raw[LOKASI],$A76),0)</f>
        <v>647.58000000000004</v>
      </c>
      <c r="T76">
        <f>IFERROR(SUMIFS(INDEX(raw[[00.30]:[24.00]],0,$X$1+18),raw[Source.Name],$A$136,raw[LOKASI],$A76),0)</f>
        <v>647.58000000000004</v>
      </c>
      <c r="U76">
        <f>IFERROR(SUMIFS(INDEX(raw[[00.30]:[24.00]],0,$X$1+19),raw[Source.Name],$A$136,raw[LOKASI],$A76),0)</f>
        <v>647.58000000000004</v>
      </c>
      <c r="V76">
        <f>IFERROR(SUMIFS(INDEX(raw[[00.30]:[24.00]],0,$X$1+20),raw[Source.Name],$A$136,raw[LOKASI],$A76),0)</f>
        <v>647.58000000000004</v>
      </c>
    </row>
    <row r="77" spans="1:35" x14ac:dyDescent="0.3">
      <c r="A77" s="1" t="s">
        <v>53</v>
      </c>
      <c r="B77" s="3">
        <f t="shared" si="3"/>
        <v>0</v>
      </c>
      <c r="C77">
        <f>IFERROR(SUMIFS(INDEX(raw[[00.30]:[24.00]],0,$X$1+1),raw[Source.Name],$A$136,raw[LOKASI],$A77),0)</f>
        <v>647.58000000000004</v>
      </c>
      <c r="D77">
        <f>IFERROR(SUMIFS(INDEX(raw[[00.30]:[24.00]],0,$X$1+2),raw[Source.Name],$A$136,raw[LOKASI],$A77),0)</f>
        <v>647.58000000000004</v>
      </c>
      <c r="E77">
        <f>IFERROR(SUMIFS(INDEX(raw[[00.30]:[24.00]],0,$X$1+3),raw[Source.Name],$A$136,raw[LOKASI],$A77),0)</f>
        <v>647.58000000000004</v>
      </c>
      <c r="F77">
        <f>IFERROR(SUMIFS(INDEX(raw[[00.30]:[24.00]],0,$X$1+4),raw[Source.Name],$A$136,raw[LOKASI],$A77),0)</f>
        <v>647.58000000000004</v>
      </c>
      <c r="G77">
        <f>IFERROR(SUMIFS(INDEX(raw[[00.30]:[24.00]],0,$X$1+5),raw[Source.Name],$A$136,raw[LOKASI],$A77),0)</f>
        <v>647.58000000000004</v>
      </c>
      <c r="H77">
        <f>IFERROR(SUMIFS(INDEX(raw[[00.30]:[24.00]],0,$X$1+6),raw[Source.Name],$A$136,raw[LOKASI],$A77),0)</f>
        <v>647.58000000000004</v>
      </c>
      <c r="I77">
        <f>IFERROR(SUMIFS(INDEX(raw[[00.30]:[24.00]],0,$X$1+7),raw[Source.Name],$A$136,raw[LOKASI],$A77),0)</f>
        <v>647.58000000000004</v>
      </c>
      <c r="J77">
        <f>IFERROR(SUMIFS(INDEX(raw[[00.30]:[24.00]],0,$X$1+8),raw[Source.Name],$A$136,raw[LOKASI],$A77),0)</f>
        <v>647.58000000000004</v>
      </c>
      <c r="K77">
        <f>IFERROR(SUMIFS(INDEX(raw[[00.30]:[24.00]],0,$X$1+9),raw[Source.Name],$A$136,raw[LOKASI],$A77),0)</f>
        <v>647.58000000000004</v>
      </c>
      <c r="L77">
        <f>IFERROR(SUMIFS(INDEX(raw[[00.30]:[24.00]],0,$X$1+10),raw[Source.Name],$A$136,raw[LOKASI],$A77),0)</f>
        <v>647.58000000000004</v>
      </c>
      <c r="M77">
        <f>IFERROR(SUMIFS(INDEX(raw[[00.30]:[24.00]],0,$X$1+11),raw[Source.Name],$A$136,raw[LOKASI],$A77),0)</f>
        <v>647.58000000000004</v>
      </c>
      <c r="N77">
        <f>IFERROR(SUMIFS(INDEX(raw[[00.30]:[24.00]],0,$X$1+12),raw[Source.Name],$A$136,raw[LOKASI],$A77),0)</f>
        <v>647.58000000000004</v>
      </c>
      <c r="O77">
        <f>IFERROR(SUMIFS(INDEX(raw[[00.30]:[24.00]],0,$X$1+13),raw[Source.Name],$A$136,raw[LOKASI],$A77),0)</f>
        <v>647.58000000000004</v>
      </c>
      <c r="P77">
        <f>IFERROR(SUMIFS(INDEX(raw[[00.30]:[24.00]],0,$X$1+14),raw[Source.Name],$A$136,raw[LOKASI],$A77),0)</f>
        <v>647.58000000000004</v>
      </c>
      <c r="Q77">
        <f>IFERROR(SUMIFS(INDEX(raw[[00.30]:[24.00]],0,$X$1+15),raw[Source.Name],$A$136,raw[LOKASI],$A77),0)</f>
        <v>647.58000000000004</v>
      </c>
      <c r="R77">
        <f>IFERROR(SUMIFS(INDEX(raw[[00.30]:[24.00]],0,$X$1+16),raw[Source.Name],$A$136,raw[LOKASI],$A77),0)</f>
        <v>647.58000000000004</v>
      </c>
      <c r="S77">
        <f>IFERROR(SUMIFS(INDEX(raw[[00.30]:[24.00]],0,$X$1+17),raw[Source.Name],$A$136,raw[LOKASI],$A77),0)</f>
        <v>647.58000000000004</v>
      </c>
      <c r="T77">
        <f>IFERROR(SUMIFS(INDEX(raw[[00.30]:[24.00]],0,$X$1+18),raw[Source.Name],$A$136,raw[LOKASI],$A77),0)</f>
        <v>647.58000000000004</v>
      </c>
      <c r="U77">
        <f>IFERROR(SUMIFS(INDEX(raw[[00.30]:[24.00]],0,$X$1+19),raw[Source.Name],$A$136,raw[LOKASI],$A77),0)</f>
        <v>647.58000000000004</v>
      </c>
      <c r="V77">
        <f>IFERROR(SUMIFS(INDEX(raw[[00.30]:[24.00]],0,$X$1+20),raw[Source.Name],$A$136,raw[LOKASI],$A77),0)</f>
        <v>647.58000000000004</v>
      </c>
    </row>
    <row r="78" spans="1:35" x14ac:dyDescent="0.3">
      <c r="A78" s="1" t="s">
        <v>25</v>
      </c>
      <c r="B78" s="3">
        <f t="shared" si="3"/>
        <v>0</v>
      </c>
      <c r="C78">
        <f>IFERROR(SUMIFS(INDEX(raw[[00.30]:[24.00]],0,$X$1+1),raw[Source.Name],$A$136,raw[LOKASI],$A78),0)</f>
        <v>490</v>
      </c>
      <c r="D78">
        <f>IFERROR(SUMIFS(INDEX(raw[[00.30]:[24.00]],0,$X$1+2),raw[Source.Name],$A$136,raw[LOKASI],$A78),0)</f>
        <v>490</v>
      </c>
      <c r="E78">
        <f>IFERROR(SUMIFS(INDEX(raw[[00.30]:[24.00]],0,$X$1+3),raw[Source.Name],$A$136,raw[LOKASI],$A78),0)</f>
        <v>490</v>
      </c>
      <c r="F78">
        <f>IFERROR(SUMIFS(INDEX(raw[[00.30]:[24.00]],0,$X$1+4),raw[Source.Name],$A$136,raw[LOKASI],$A78),0)</f>
        <v>490</v>
      </c>
      <c r="G78">
        <f>IFERROR(SUMIFS(INDEX(raw[[00.30]:[24.00]],0,$X$1+5),raw[Source.Name],$A$136,raw[LOKASI],$A78),0)</f>
        <v>490</v>
      </c>
      <c r="H78">
        <f>IFERROR(SUMIFS(INDEX(raw[[00.30]:[24.00]],0,$X$1+6),raw[Source.Name],$A$136,raw[LOKASI],$A78),0)</f>
        <v>490</v>
      </c>
      <c r="I78">
        <f>IFERROR(SUMIFS(INDEX(raw[[00.30]:[24.00]],0,$X$1+7),raw[Source.Name],$A$136,raw[LOKASI],$A78),0)</f>
        <v>490</v>
      </c>
      <c r="J78">
        <f>IFERROR(SUMIFS(INDEX(raw[[00.30]:[24.00]],0,$X$1+8),raw[Source.Name],$A$136,raw[LOKASI],$A78),0)</f>
        <v>490</v>
      </c>
      <c r="K78">
        <f>IFERROR(SUMIFS(INDEX(raw[[00.30]:[24.00]],0,$X$1+9),raw[Source.Name],$A$136,raw[LOKASI],$A78),0)</f>
        <v>490</v>
      </c>
      <c r="L78">
        <f>IFERROR(SUMIFS(INDEX(raw[[00.30]:[24.00]],0,$X$1+10),raw[Source.Name],$A$136,raw[LOKASI],$A78),0)</f>
        <v>490</v>
      </c>
      <c r="M78">
        <f>IFERROR(SUMIFS(INDEX(raw[[00.30]:[24.00]],0,$X$1+11),raw[Source.Name],$A$136,raw[LOKASI],$A78),0)</f>
        <v>490</v>
      </c>
      <c r="N78">
        <f>IFERROR(SUMIFS(INDEX(raw[[00.30]:[24.00]],0,$X$1+12),raw[Source.Name],$A$136,raw[LOKASI],$A78),0)</f>
        <v>490</v>
      </c>
      <c r="O78">
        <f>IFERROR(SUMIFS(INDEX(raw[[00.30]:[24.00]],0,$X$1+13),raw[Source.Name],$A$136,raw[LOKASI],$A78),0)</f>
        <v>490</v>
      </c>
      <c r="P78">
        <f>IFERROR(SUMIFS(INDEX(raw[[00.30]:[24.00]],0,$X$1+14),raw[Source.Name],$A$136,raw[LOKASI],$A78),0)</f>
        <v>490</v>
      </c>
      <c r="Q78">
        <f>IFERROR(SUMIFS(INDEX(raw[[00.30]:[24.00]],0,$X$1+15),raw[Source.Name],$A$136,raw[LOKASI],$A78),0)</f>
        <v>490</v>
      </c>
      <c r="R78">
        <f>IFERROR(SUMIFS(INDEX(raw[[00.30]:[24.00]],0,$X$1+16),raw[Source.Name],$A$136,raw[LOKASI],$A78),0)</f>
        <v>490</v>
      </c>
      <c r="S78">
        <f>IFERROR(SUMIFS(INDEX(raw[[00.30]:[24.00]],0,$X$1+17),raw[Source.Name],$A$136,raw[LOKASI],$A78),0)</f>
        <v>490</v>
      </c>
      <c r="T78">
        <f>IFERROR(SUMIFS(INDEX(raw[[00.30]:[24.00]],0,$X$1+18),raw[Source.Name],$A$136,raw[LOKASI],$A78),0)</f>
        <v>490</v>
      </c>
      <c r="U78">
        <f>IFERROR(SUMIFS(INDEX(raw[[00.30]:[24.00]],0,$X$1+19),raw[Source.Name],$A$136,raw[LOKASI],$A78),0)</f>
        <v>490</v>
      </c>
      <c r="V78">
        <f>IFERROR(SUMIFS(INDEX(raw[[00.30]:[24.00]],0,$X$1+20),raw[Source.Name],$A$136,raw[LOKASI],$A78),0)</f>
        <v>490</v>
      </c>
      <c r="AE78">
        <v>270</v>
      </c>
      <c r="AF78">
        <v>20</v>
      </c>
    </row>
    <row r="79" spans="1:35" x14ac:dyDescent="0.3">
      <c r="A79" s="1" t="s">
        <v>38</v>
      </c>
      <c r="B79" s="3">
        <f t="shared" si="3"/>
        <v>0</v>
      </c>
      <c r="C79">
        <f>IFERROR(SUMIFS(INDEX(raw[[00.30]:[24.00]],0,$X$1+1),raw[Source.Name],$A$136,raw[LOKASI],$A79),0)</f>
        <v>882</v>
      </c>
      <c r="D79">
        <f>IFERROR(SUMIFS(INDEX(raw[[00.30]:[24.00]],0,$X$1+2),raw[Source.Name],$A$136,raw[LOKASI],$A79),0)</f>
        <v>882</v>
      </c>
      <c r="E79">
        <f>IFERROR(SUMIFS(INDEX(raw[[00.30]:[24.00]],0,$X$1+3),raw[Source.Name],$A$136,raw[LOKASI],$A79),0)</f>
        <v>882</v>
      </c>
      <c r="F79">
        <f>IFERROR(SUMIFS(INDEX(raw[[00.30]:[24.00]],0,$X$1+4),raw[Source.Name],$A$136,raw[LOKASI],$A79),0)</f>
        <v>882</v>
      </c>
      <c r="G79">
        <f>IFERROR(SUMIFS(INDEX(raw[[00.30]:[24.00]],0,$X$1+5),raw[Source.Name],$A$136,raw[LOKASI],$A79),0)</f>
        <v>882</v>
      </c>
      <c r="H79">
        <f>IFERROR(SUMIFS(INDEX(raw[[00.30]:[24.00]],0,$X$1+6),raw[Source.Name],$A$136,raw[LOKASI],$A79),0)</f>
        <v>882</v>
      </c>
      <c r="I79">
        <f>IFERROR(SUMIFS(INDEX(raw[[00.30]:[24.00]],0,$X$1+7),raw[Source.Name],$A$136,raw[LOKASI],$A79),0)</f>
        <v>882</v>
      </c>
      <c r="J79">
        <f>IFERROR(SUMIFS(INDEX(raw[[00.30]:[24.00]],0,$X$1+8),raw[Source.Name],$A$136,raw[LOKASI],$A79),0)</f>
        <v>882</v>
      </c>
      <c r="K79">
        <f>IFERROR(SUMIFS(INDEX(raw[[00.30]:[24.00]],0,$X$1+9),raw[Source.Name],$A$136,raw[LOKASI],$A79),0)</f>
        <v>882</v>
      </c>
      <c r="L79">
        <f>IFERROR(SUMIFS(INDEX(raw[[00.30]:[24.00]],0,$X$1+10),raw[Source.Name],$A$136,raw[LOKASI],$A79),0)</f>
        <v>882</v>
      </c>
      <c r="M79">
        <f>IFERROR(SUMIFS(INDEX(raw[[00.30]:[24.00]],0,$X$1+11),raw[Source.Name],$A$136,raw[LOKASI],$A79),0)</f>
        <v>882</v>
      </c>
      <c r="N79">
        <f>IFERROR(SUMIFS(INDEX(raw[[00.30]:[24.00]],0,$X$1+12),raw[Source.Name],$A$136,raw[LOKASI],$A79),0)</f>
        <v>882</v>
      </c>
      <c r="O79">
        <f>IFERROR(SUMIFS(INDEX(raw[[00.30]:[24.00]],0,$X$1+13),raw[Source.Name],$A$136,raw[LOKASI],$A79),0)</f>
        <v>882</v>
      </c>
      <c r="P79">
        <f>IFERROR(SUMIFS(INDEX(raw[[00.30]:[24.00]],0,$X$1+14),raw[Source.Name],$A$136,raw[LOKASI],$A79),0)</f>
        <v>882</v>
      </c>
      <c r="Q79">
        <f>IFERROR(SUMIFS(INDEX(raw[[00.30]:[24.00]],0,$X$1+15),raw[Source.Name],$A$136,raw[LOKASI],$A79),0)</f>
        <v>882</v>
      </c>
      <c r="R79">
        <f>IFERROR(SUMIFS(INDEX(raw[[00.30]:[24.00]],0,$X$1+16),raw[Source.Name],$A$136,raw[LOKASI],$A79),0)</f>
        <v>882</v>
      </c>
      <c r="S79">
        <f>IFERROR(SUMIFS(INDEX(raw[[00.30]:[24.00]],0,$X$1+17),raw[Source.Name],$A$136,raw[LOKASI],$A79),0)</f>
        <v>882</v>
      </c>
      <c r="T79">
        <f>IFERROR(SUMIFS(INDEX(raw[[00.30]:[24.00]],0,$X$1+18),raw[Source.Name],$A$136,raw[LOKASI],$A79),0)</f>
        <v>882</v>
      </c>
      <c r="U79">
        <f>IFERROR(SUMIFS(INDEX(raw[[00.30]:[24.00]],0,$X$1+19),raw[Source.Name],$A$136,raw[LOKASI],$A79),0)</f>
        <v>882</v>
      </c>
      <c r="V79">
        <f>IFERROR(SUMIFS(INDEX(raw[[00.30]:[24.00]],0,$X$1+20),raw[Source.Name],$A$136,raw[LOKASI],$A79),0)</f>
        <v>882</v>
      </c>
    </row>
    <row r="80" spans="1:35" x14ac:dyDescent="0.3">
      <c r="A80" s="1" t="s">
        <v>39</v>
      </c>
      <c r="B80" s="3">
        <f t="shared" si="3"/>
        <v>0</v>
      </c>
      <c r="C80">
        <f>IFERROR(SUMIFS(INDEX(raw[[00.30]:[24.00]],0,$X$1+1),raw[Source.Name],$A$136,raw[LOKASI],$A80),0)</f>
        <v>931</v>
      </c>
      <c r="D80">
        <f>IFERROR(SUMIFS(INDEX(raw[[00.30]:[24.00]],0,$X$1+2),raw[Source.Name],$A$136,raw[LOKASI],$A80),0)</f>
        <v>931</v>
      </c>
      <c r="E80">
        <f>IFERROR(SUMIFS(INDEX(raw[[00.30]:[24.00]],0,$X$1+3),raw[Source.Name],$A$136,raw[LOKASI],$A80),0)</f>
        <v>931</v>
      </c>
      <c r="F80">
        <f>IFERROR(SUMIFS(INDEX(raw[[00.30]:[24.00]],0,$X$1+4),raw[Source.Name],$A$136,raw[LOKASI],$A80),0)</f>
        <v>931</v>
      </c>
      <c r="G80">
        <f>IFERROR(SUMIFS(INDEX(raw[[00.30]:[24.00]],0,$X$1+5),raw[Source.Name],$A$136,raw[LOKASI],$A80),0)</f>
        <v>931</v>
      </c>
      <c r="H80">
        <f>IFERROR(SUMIFS(INDEX(raw[[00.30]:[24.00]],0,$X$1+6),raw[Source.Name],$A$136,raw[LOKASI],$A80),0)</f>
        <v>931</v>
      </c>
      <c r="I80">
        <f>IFERROR(SUMIFS(INDEX(raw[[00.30]:[24.00]],0,$X$1+7),raw[Source.Name],$A$136,raw[LOKASI],$A80),0)</f>
        <v>931</v>
      </c>
      <c r="J80">
        <f>IFERROR(SUMIFS(INDEX(raw[[00.30]:[24.00]],0,$X$1+8),raw[Source.Name],$A$136,raw[LOKASI],$A80),0)</f>
        <v>931</v>
      </c>
      <c r="K80">
        <f>IFERROR(SUMIFS(INDEX(raw[[00.30]:[24.00]],0,$X$1+9),raw[Source.Name],$A$136,raw[LOKASI],$A80),0)</f>
        <v>931</v>
      </c>
      <c r="L80">
        <f>IFERROR(SUMIFS(INDEX(raw[[00.30]:[24.00]],0,$X$1+10),raw[Source.Name],$A$136,raw[LOKASI],$A80),0)</f>
        <v>931</v>
      </c>
      <c r="M80">
        <f>IFERROR(SUMIFS(INDEX(raw[[00.30]:[24.00]],0,$X$1+11),raw[Source.Name],$A$136,raw[LOKASI],$A80),0)</f>
        <v>931</v>
      </c>
      <c r="N80">
        <f>IFERROR(SUMIFS(INDEX(raw[[00.30]:[24.00]],0,$X$1+12),raw[Source.Name],$A$136,raw[LOKASI],$A80),0)</f>
        <v>931</v>
      </c>
      <c r="O80">
        <f>IFERROR(SUMIFS(INDEX(raw[[00.30]:[24.00]],0,$X$1+13),raw[Source.Name],$A$136,raw[LOKASI],$A80),0)</f>
        <v>931</v>
      </c>
      <c r="P80">
        <f>IFERROR(SUMIFS(INDEX(raw[[00.30]:[24.00]],0,$X$1+14),raw[Source.Name],$A$136,raw[LOKASI],$A80),0)</f>
        <v>931</v>
      </c>
      <c r="Q80">
        <f>IFERROR(SUMIFS(INDEX(raw[[00.30]:[24.00]],0,$X$1+15),raw[Source.Name],$A$136,raw[LOKASI],$A80),0)</f>
        <v>931</v>
      </c>
      <c r="R80">
        <f>IFERROR(SUMIFS(INDEX(raw[[00.30]:[24.00]],0,$X$1+16),raw[Source.Name],$A$136,raw[LOKASI],$A80),0)</f>
        <v>931</v>
      </c>
      <c r="S80">
        <f>IFERROR(SUMIFS(INDEX(raw[[00.30]:[24.00]],0,$X$1+17),raw[Source.Name],$A$136,raw[LOKASI],$A80),0)</f>
        <v>931</v>
      </c>
      <c r="T80">
        <f>IFERROR(SUMIFS(INDEX(raw[[00.30]:[24.00]],0,$X$1+18),raw[Source.Name],$A$136,raw[LOKASI],$A80),0)</f>
        <v>931</v>
      </c>
      <c r="U80">
        <f>IFERROR(SUMIFS(INDEX(raw[[00.30]:[24.00]],0,$X$1+19),raw[Source.Name],$A$136,raw[LOKASI],$A80),0)</f>
        <v>931</v>
      </c>
      <c r="V80">
        <f>IFERROR(SUMIFS(INDEX(raw[[00.30]:[24.00]],0,$X$1+20),raw[Source.Name],$A$136,raw[LOKASI],$A80),0)</f>
        <v>931</v>
      </c>
      <c r="AB80" t="s">
        <v>128</v>
      </c>
      <c r="AC80" t="s">
        <v>36</v>
      </c>
      <c r="AD80">
        <v>2</v>
      </c>
      <c r="AE80" t="s">
        <v>129</v>
      </c>
      <c r="AF80" t="s">
        <v>130</v>
      </c>
      <c r="AH80" t="s">
        <v>131</v>
      </c>
      <c r="AI80" t="s">
        <v>132</v>
      </c>
    </row>
    <row r="81" spans="1:41" x14ac:dyDescent="0.3">
      <c r="A81" s="1" t="s">
        <v>41</v>
      </c>
      <c r="B81" s="3">
        <f t="shared" si="3"/>
        <v>0</v>
      </c>
      <c r="C81">
        <f>IFERROR(SUMIFS(INDEX(raw[[00.30]:[24.00]],0,$X$1+1),raw[Source.Name],$A$136,raw[LOKASI],$A81),0)</f>
        <v>980</v>
      </c>
      <c r="D81">
        <f>IFERROR(SUMIFS(INDEX(raw[[00.30]:[24.00]],0,$X$1+2),raw[Source.Name],$A$136,raw[LOKASI],$A81),0)</f>
        <v>980</v>
      </c>
      <c r="E81">
        <f>IFERROR(SUMIFS(INDEX(raw[[00.30]:[24.00]],0,$X$1+3),raw[Source.Name],$A$136,raw[LOKASI],$A81),0)</f>
        <v>980</v>
      </c>
      <c r="F81">
        <f>IFERROR(SUMIFS(INDEX(raw[[00.30]:[24.00]],0,$X$1+4),raw[Source.Name],$A$136,raw[LOKASI],$A81),0)</f>
        <v>980</v>
      </c>
      <c r="G81">
        <f>IFERROR(SUMIFS(INDEX(raw[[00.30]:[24.00]],0,$X$1+5),raw[Source.Name],$A$136,raw[LOKASI],$A81),0)</f>
        <v>980</v>
      </c>
      <c r="H81">
        <f>IFERROR(SUMIFS(INDEX(raw[[00.30]:[24.00]],0,$X$1+6),raw[Source.Name],$A$136,raw[LOKASI],$A81),0)</f>
        <v>980</v>
      </c>
      <c r="I81">
        <f>IFERROR(SUMIFS(INDEX(raw[[00.30]:[24.00]],0,$X$1+7),raw[Source.Name],$A$136,raw[LOKASI],$A81),0)</f>
        <v>980</v>
      </c>
      <c r="J81">
        <f>IFERROR(SUMIFS(INDEX(raw[[00.30]:[24.00]],0,$X$1+8),raw[Source.Name],$A$136,raw[LOKASI],$A81),0)</f>
        <v>980</v>
      </c>
      <c r="K81">
        <f>IFERROR(SUMIFS(INDEX(raw[[00.30]:[24.00]],0,$X$1+9),raw[Source.Name],$A$136,raw[LOKASI],$A81),0)</f>
        <v>980</v>
      </c>
      <c r="L81">
        <f>IFERROR(SUMIFS(INDEX(raw[[00.30]:[24.00]],0,$X$1+10),raw[Source.Name],$A$136,raw[LOKASI],$A81),0)</f>
        <v>980</v>
      </c>
      <c r="M81">
        <f>IFERROR(SUMIFS(INDEX(raw[[00.30]:[24.00]],0,$X$1+11),raw[Source.Name],$A$136,raw[LOKASI],$A81),0)</f>
        <v>980</v>
      </c>
      <c r="N81">
        <f>IFERROR(SUMIFS(INDEX(raw[[00.30]:[24.00]],0,$X$1+12),raw[Source.Name],$A$136,raw[LOKASI],$A81),0)</f>
        <v>980</v>
      </c>
      <c r="O81">
        <f>IFERROR(SUMIFS(INDEX(raw[[00.30]:[24.00]],0,$X$1+13),raw[Source.Name],$A$136,raw[LOKASI],$A81),0)</f>
        <v>980</v>
      </c>
      <c r="P81">
        <f>IFERROR(SUMIFS(INDEX(raw[[00.30]:[24.00]],0,$X$1+14),raw[Source.Name],$A$136,raw[LOKASI],$A81),0)</f>
        <v>980</v>
      </c>
      <c r="Q81">
        <f>IFERROR(SUMIFS(INDEX(raw[[00.30]:[24.00]],0,$X$1+15),raw[Source.Name],$A$136,raw[LOKASI],$A81),0)</f>
        <v>980</v>
      </c>
      <c r="R81">
        <f>IFERROR(SUMIFS(INDEX(raw[[00.30]:[24.00]],0,$X$1+16),raw[Source.Name],$A$136,raw[LOKASI],$A81),0)</f>
        <v>980</v>
      </c>
      <c r="S81">
        <f>IFERROR(SUMIFS(INDEX(raw[[00.30]:[24.00]],0,$X$1+17),raw[Source.Name],$A$136,raw[LOKASI],$A81),0)</f>
        <v>980</v>
      </c>
      <c r="T81">
        <f>IFERROR(SUMIFS(INDEX(raw[[00.30]:[24.00]],0,$X$1+18),raw[Source.Name],$A$136,raw[LOKASI],$A81),0)</f>
        <v>980</v>
      </c>
      <c r="U81">
        <f>IFERROR(SUMIFS(INDEX(raw[[00.30]:[24.00]],0,$X$1+19),raw[Source.Name],$A$136,raw[LOKASI],$A81),0)</f>
        <v>980</v>
      </c>
      <c r="V81">
        <f>IFERROR(SUMIFS(INDEX(raw[[00.30]:[24.00]],0,$X$1+20),raw[Source.Name],$A$136,raw[LOKASI],$A81),0)</f>
        <v>980</v>
      </c>
      <c r="Y81" s="19" t="s">
        <v>133</v>
      </c>
      <c r="Z81" s="19" t="s">
        <v>134</v>
      </c>
      <c r="AA81" t="s">
        <v>95</v>
      </c>
      <c r="AB81" t="s">
        <v>135</v>
      </c>
      <c r="AC81" t="s">
        <v>136</v>
      </c>
      <c r="AD81" s="2">
        <f>70*AD80+35*AD80</f>
        <v>210</v>
      </c>
      <c r="AE81">
        <v>470</v>
      </c>
      <c r="AH81">
        <v>98</v>
      </c>
      <c r="AI81">
        <v>30</v>
      </c>
    </row>
    <row r="82" spans="1:41" x14ac:dyDescent="0.3">
      <c r="A82" s="1" t="s">
        <v>45</v>
      </c>
      <c r="B82" s="3">
        <f t="shared" si="3"/>
        <v>0</v>
      </c>
      <c r="C82">
        <f>IFERROR(SUMIFS(INDEX(raw[[00.30]:[24.00]],0,$X$1+1),raw[Source.Name],$A$136,raw[LOKASI],$A82),0)</f>
        <v>980</v>
      </c>
      <c r="D82">
        <f>IFERROR(SUMIFS(INDEX(raw[[00.30]:[24.00]],0,$X$1+2),raw[Source.Name],$A$136,raw[LOKASI],$A82),0)</f>
        <v>980</v>
      </c>
      <c r="E82">
        <f>IFERROR(SUMIFS(INDEX(raw[[00.30]:[24.00]],0,$X$1+3),raw[Source.Name],$A$136,raw[LOKASI],$A82),0)</f>
        <v>980</v>
      </c>
      <c r="F82">
        <f>IFERROR(SUMIFS(INDEX(raw[[00.30]:[24.00]],0,$X$1+4),raw[Source.Name],$A$136,raw[LOKASI],$A82),0)</f>
        <v>980</v>
      </c>
      <c r="G82">
        <f>IFERROR(SUMIFS(INDEX(raw[[00.30]:[24.00]],0,$X$1+5),raw[Source.Name],$A$136,raw[LOKASI],$A82),0)</f>
        <v>980</v>
      </c>
      <c r="H82">
        <f>IFERROR(SUMIFS(INDEX(raw[[00.30]:[24.00]],0,$X$1+6),raw[Source.Name],$A$136,raw[LOKASI],$A82),0)</f>
        <v>980</v>
      </c>
      <c r="I82">
        <f>IFERROR(SUMIFS(INDEX(raw[[00.30]:[24.00]],0,$X$1+7),raw[Source.Name],$A$136,raw[LOKASI],$A82),0)</f>
        <v>980</v>
      </c>
      <c r="J82">
        <f>IFERROR(SUMIFS(INDEX(raw[[00.30]:[24.00]],0,$X$1+8),raw[Source.Name],$A$136,raw[LOKASI],$A82),0)</f>
        <v>980</v>
      </c>
      <c r="K82">
        <f>IFERROR(SUMIFS(INDEX(raw[[00.30]:[24.00]],0,$X$1+9),raw[Source.Name],$A$136,raw[LOKASI],$A82),0)</f>
        <v>980</v>
      </c>
      <c r="L82">
        <f>IFERROR(SUMIFS(INDEX(raw[[00.30]:[24.00]],0,$X$1+10),raw[Source.Name],$A$136,raw[LOKASI],$A82),0)</f>
        <v>980</v>
      </c>
      <c r="M82">
        <f>IFERROR(SUMIFS(INDEX(raw[[00.30]:[24.00]],0,$X$1+11),raw[Source.Name],$A$136,raw[LOKASI],$A82),0)</f>
        <v>980</v>
      </c>
      <c r="N82">
        <f>IFERROR(SUMIFS(INDEX(raw[[00.30]:[24.00]],0,$X$1+12),raw[Source.Name],$A$136,raw[LOKASI],$A82),0)</f>
        <v>980</v>
      </c>
      <c r="O82">
        <f>IFERROR(SUMIFS(INDEX(raw[[00.30]:[24.00]],0,$X$1+13),raw[Source.Name],$A$136,raw[LOKASI],$A82),0)</f>
        <v>980</v>
      </c>
      <c r="P82">
        <f>IFERROR(SUMIFS(INDEX(raw[[00.30]:[24.00]],0,$X$1+14),raw[Source.Name],$A$136,raw[LOKASI],$A82),0)</f>
        <v>980</v>
      </c>
      <c r="Q82">
        <f>IFERROR(SUMIFS(INDEX(raw[[00.30]:[24.00]],0,$X$1+15),raw[Source.Name],$A$136,raw[LOKASI],$A82),0)</f>
        <v>980</v>
      </c>
      <c r="R82">
        <f>IFERROR(SUMIFS(INDEX(raw[[00.30]:[24.00]],0,$X$1+16),raw[Source.Name],$A$136,raw[LOKASI],$A82),0)</f>
        <v>980</v>
      </c>
      <c r="S82">
        <f>IFERROR(SUMIFS(INDEX(raw[[00.30]:[24.00]],0,$X$1+17),raw[Source.Name],$A$136,raw[LOKASI],$A82),0)</f>
        <v>980</v>
      </c>
      <c r="T82">
        <f>IFERROR(SUMIFS(INDEX(raw[[00.30]:[24.00]],0,$X$1+18),raw[Source.Name],$A$136,raw[LOKASI],$A82),0)</f>
        <v>980</v>
      </c>
      <c r="U82">
        <f>IFERROR(SUMIFS(INDEX(raw[[00.30]:[24.00]],0,$X$1+19),raw[Source.Name],$A$136,raw[LOKASI],$A82),0)</f>
        <v>980</v>
      </c>
      <c r="V82">
        <f>IFERROR(SUMIFS(INDEX(raw[[00.30]:[24.00]],0,$X$1+20),raw[Source.Name],$A$136,raw[LOKASI],$A82),0)</f>
        <v>980</v>
      </c>
      <c r="Y82" s="19" t="s">
        <v>137</v>
      </c>
      <c r="Z82" s="19" t="s">
        <v>138</v>
      </c>
      <c r="AA82" t="s">
        <v>101</v>
      </c>
      <c r="AB82" t="s">
        <v>139</v>
      </c>
      <c r="AC82" t="s">
        <v>139</v>
      </c>
      <c r="AD82">
        <v>30</v>
      </c>
      <c r="AE82">
        <v>80</v>
      </c>
      <c r="AH82">
        <v>93</v>
      </c>
      <c r="AI82">
        <v>35</v>
      </c>
      <c r="AJ82" t="s">
        <v>140</v>
      </c>
    </row>
    <row r="83" spans="1:41" x14ac:dyDescent="0.3">
      <c r="A83" t="s">
        <v>66</v>
      </c>
      <c r="B83" s="3">
        <f t="shared" si="3"/>
        <v>0</v>
      </c>
      <c r="C83">
        <f>IFERROR(SUMIFS(INDEX(raw[[00.30]:[24.00]],0,$X$1+1),raw[Source.Name],$A$136,raw[LOKASI],$A83),0)</f>
        <v>921.2</v>
      </c>
      <c r="D83">
        <f>IFERROR(SUMIFS(INDEX(raw[[00.30]:[24.00]],0,$X$1+2),raw[Source.Name],$A$136,raw[LOKASI],$A83),0)</f>
        <v>921.2</v>
      </c>
      <c r="E83">
        <f>IFERROR(SUMIFS(INDEX(raw[[00.30]:[24.00]],0,$X$1+3),raw[Source.Name],$A$136,raw[LOKASI],$A83),0)</f>
        <v>921.2</v>
      </c>
      <c r="F83">
        <f>IFERROR(SUMIFS(INDEX(raw[[00.30]:[24.00]],0,$X$1+4),raw[Source.Name],$A$136,raw[LOKASI],$A83),0)</f>
        <v>921.2</v>
      </c>
      <c r="G83">
        <f>IFERROR(SUMIFS(INDEX(raw[[00.30]:[24.00]],0,$X$1+5),raw[Source.Name],$A$136,raw[LOKASI],$A83),0)</f>
        <v>921.2</v>
      </c>
      <c r="H83">
        <f>IFERROR(SUMIFS(INDEX(raw[[00.30]:[24.00]],0,$X$1+6),raw[Source.Name],$A$136,raw[LOKASI],$A83),0)</f>
        <v>921.2</v>
      </c>
      <c r="I83">
        <f>IFERROR(SUMIFS(INDEX(raw[[00.30]:[24.00]],0,$X$1+7),raw[Source.Name],$A$136,raw[LOKASI],$A83),0)</f>
        <v>921.2</v>
      </c>
      <c r="J83">
        <f>IFERROR(SUMIFS(INDEX(raw[[00.30]:[24.00]],0,$X$1+8),raw[Source.Name],$A$136,raw[LOKASI],$A83),0)</f>
        <v>921.2</v>
      </c>
      <c r="K83">
        <f>IFERROR(SUMIFS(INDEX(raw[[00.30]:[24.00]],0,$X$1+9),raw[Source.Name],$A$136,raw[LOKASI],$A83),0)</f>
        <v>921.2</v>
      </c>
      <c r="L83">
        <f>IFERROR(SUMIFS(INDEX(raw[[00.30]:[24.00]],0,$X$1+10),raw[Source.Name],$A$136,raw[LOKASI],$A83),0)</f>
        <v>921.2</v>
      </c>
      <c r="M83">
        <f>IFERROR(SUMIFS(INDEX(raw[[00.30]:[24.00]],0,$X$1+11),raw[Source.Name],$A$136,raw[LOKASI],$A83),0)</f>
        <v>921.2</v>
      </c>
      <c r="N83">
        <f>IFERROR(SUMIFS(INDEX(raw[[00.30]:[24.00]],0,$X$1+12),raw[Source.Name],$A$136,raw[LOKASI],$A83),0)</f>
        <v>921.2</v>
      </c>
      <c r="O83">
        <f>IFERROR(SUMIFS(INDEX(raw[[00.30]:[24.00]],0,$X$1+13),raw[Source.Name],$A$136,raw[LOKASI],$A83),0)</f>
        <v>921.2</v>
      </c>
      <c r="P83">
        <f>IFERROR(SUMIFS(INDEX(raw[[00.30]:[24.00]],0,$X$1+14),raw[Source.Name],$A$136,raw[LOKASI],$A83),0)</f>
        <v>921.2</v>
      </c>
      <c r="Q83">
        <f>IFERROR(SUMIFS(INDEX(raw[[00.30]:[24.00]],0,$X$1+15),raw[Source.Name],$A$136,raw[LOKASI],$A83),0)</f>
        <v>921.2</v>
      </c>
      <c r="R83">
        <f>IFERROR(SUMIFS(INDEX(raw[[00.30]:[24.00]],0,$X$1+16),raw[Source.Name],$A$136,raw[LOKASI],$A83),0)</f>
        <v>921.2</v>
      </c>
      <c r="S83">
        <f>IFERROR(SUMIFS(INDEX(raw[[00.30]:[24.00]],0,$X$1+17),raw[Source.Name],$A$136,raw[LOKASI],$A83),0)</f>
        <v>921.2</v>
      </c>
      <c r="T83">
        <f>IFERROR(SUMIFS(INDEX(raw[[00.30]:[24.00]],0,$X$1+18),raw[Source.Name],$A$136,raw[LOKASI],$A83),0)</f>
        <v>921.2</v>
      </c>
      <c r="U83">
        <f>IFERROR(SUMIFS(INDEX(raw[[00.30]:[24.00]],0,$X$1+19),raw[Source.Name],$A$136,raw[LOKASI],$A83),0)</f>
        <v>921.2</v>
      </c>
      <c r="V83">
        <f>IFERROR(SUMIFS(INDEX(raw[[00.30]:[24.00]],0,$X$1+20),raw[Source.Name],$A$136,raw[LOKASI],$A83),0)</f>
        <v>921.2</v>
      </c>
      <c r="Y83" t="s">
        <v>141</v>
      </c>
      <c r="Z83" t="s">
        <v>142</v>
      </c>
      <c r="AA83" t="s">
        <v>109</v>
      </c>
      <c r="AB83" t="s">
        <v>139</v>
      </c>
      <c r="AC83" t="s">
        <v>139</v>
      </c>
      <c r="AH83">
        <v>93</v>
      </c>
      <c r="AI83">
        <v>35</v>
      </c>
    </row>
    <row r="84" spans="1:41" x14ac:dyDescent="0.3">
      <c r="A84" t="s">
        <v>68</v>
      </c>
      <c r="B84" s="3">
        <f t="shared" si="3"/>
        <v>0</v>
      </c>
      <c r="C84">
        <f>IFERROR(SUMIFS(INDEX(raw[[00.30]:[24.00]],0,$X$1+1),raw[Source.Name],$A$136,raw[LOKASI],$A84),0)</f>
        <v>0</v>
      </c>
      <c r="D84">
        <f>IFERROR(SUMIFS(INDEX(raw[[00.30]:[24.00]],0,$X$1+2),raw[Source.Name],$A$136,raw[LOKASI],$A84),0)</f>
        <v>0</v>
      </c>
      <c r="E84">
        <f>IFERROR(SUMIFS(INDEX(raw[[00.30]:[24.00]],0,$X$1+3),raw[Source.Name],$A$136,raw[LOKASI],$A84),0)</f>
        <v>0</v>
      </c>
      <c r="F84">
        <f>IFERROR(SUMIFS(INDEX(raw[[00.30]:[24.00]],0,$X$1+4),raw[Source.Name],$A$136,raw[LOKASI],$A84),0)</f>
        <v>0</v>
      </c>
      <c r="G84">
        <f>IFERROR(SUMIFS(INDEX(raw[[00.30]:[24.00]],0,$X$1+5),raw[Source.Name],$A$136,raw[LOKASI],$A84),0)</f>
        <v>0</v>
      </c>
      <c r="H84">
        <f>IFERROR(SUMIFS(INDEX(raw[[00.30]:[24.00]],0,$X$1+6),raw[Source.Name],$A$136,raw[LOKASI],$A84),0)</f>
        <v>0</v>
      </c>
      <c r="I84">
        <f>IFERROR(SUMIFS(INDEX(raw[[00.30]:[24.00]],0,$X$1+7),raw[Source.Name],$A$136,raw[LOKASI],$A84),0)</f>
        <v>0</v>
      </c>
      <c r="J84">
        <f>IFERROR(SUMIFS(INDEX(raw[[00.30]:[24.00]],0,$X$1+8),raw[Source.Name],$A$136,raw[LOKASI],$A84),0)</f>
        <v>0</v>
      </c>
      <c r="K84">
        <f>IFERROR(SUMIFS(INDEX(raw[[00.30]:[24.00]],0,$X$1+9),raw[Source.Name],$A$136,raw[LOKASI],$A84),0)</f>
        <v>0</v>
      </c>
      <c r="L84">
        <f>IFERROR(SUMIFS(INDEX(raw[[00.30]:[24.00]],0,$X$1+10),raw[Source.Name],$A$136,raw[LOKASI],$A84),0)</f>
        <v>0</v>
      </c>
      <c r="M84">
        <f>IFERROR(SUMIFS(INDEX(raw[[00.30]:[24.00]],0,$X$1+11),raw[Source.Name],$A$136,raw[LOKASI],$A84),0)</f>
        <v>0</v>
      </c>
      <c r="N84">
        <f>IFERROR(SUMIFS(INDEX(raw[[00.30]:[24.00]],0,$X$1+12),raw[Source.Name],$A$136,raw[LOKASI],$A84),0)</f>
        <v>0</v>
      </c>
      <c r="O84">
        <f>IFERROR(SUMIFS(INDEX(raw[[00.30]:[24.00]],0,$X$1+13),raw[Source.Name],$A$136,raw[LOKASI],$A84),0)</f>
        <v>0</v>
      </c>
      <c r="P84">
        <f>IFERROR(SUMIFS(INDEX(raw[[00.30]:[24.00]],0,$X$1+14),raw[Source.Name],$A$136,raw[LOKASI],$A84),0)</f>
        <v>0</v>
      </c>
      <c r="Q84">
        <f>IFERROR(SUMIFS(INDEX(raw[[00.30]:[24.00]],0,$X$1+15),raw[Source.Name],$A$136,raw[LOKASI],$A84),0)</f>
        <v>0</v>
      </c>
      <c r="R84">
        <f>IFERROR(SUMIFS(INDEX(raw[[00.30]:[24.00]],0,$X$1+16),raw[Source.Name],$A$136,raw[LOKASI],$A84),0)</f>
        <v>0</v>
      </c>
      <c r="S84">
        <f>IFERROR(SUMIFS(INDEX(raw[[00.30]:[24.00]],0,$X$1+17),raw[Source.Name],$A$136,raw[LOKASI],$A84),0)</f>
        <v>0</v>
      </c>
      <c r="T84">
        <f>IFERROR(SUMIFS(INDEX(raw[[00.30]:[24.00]],0,$X$1+18),raw[Source.Name],$A$136,raw[LOKASI],$A84),0)</f>
        <v>0</v>
      </c>
      <c r="U84">
        <f>IFERROR(SUMIFS(INDEX(raw[[00.30]:[24.00]],0,$X$1+19),raw[Source.Name],$A$136,raw[LOKASI],$A84),0)</f>
        <v>0</v>
      </c>
      <c r="V84">
        <f>IFERROR(SUMIFS(INDEX(raw[[00.30]:[24.00]],0,$X$1+20),raw[Source.Name],$A$136,raw[LOKASI],$A84),0)</f>
        <v>0</v>
      </c>
      <c r="AA84" t="s">
        <v>143</v>
      </c>
      <c r="AB84" t="s">
        <v>139</v>
      </c>
      <c r="AC84" t="s">
        <v>139</v>
      </c>
      <c r="AH84">
        <v>137</v>
      </c>
      <c r="AI84">
        <v>90</v>
      </c>
    </row>
    <row r="85" spans="1:41" x14ac:dyDescent="0.3">
      <c r="A85" t="s">
        <v>144</v>
      </c>
      <c r="B85" s="3">
        <f>IF(VLOOKUP("PLTU Jawa Power #5",$A$7:$B$52,2,FALSE),1,0)</f>
        <v>1</v>
      </c>
      <c r="C85">
        <f>IFERROR(SUMIFS(INDEX(raw[[00.30]:[24.00]],0,$X$1+1),raw[Source.Name],$A$136,raw[LOKASI],"PLTU Jawa Power #5"),0)</f>
        <v>610</v>
      </c>
      <c r="D85">
        <f>IFERROR(SUMIFS(INDEX(raw[[00.30]:[24.00]],0,$X$1+2),raw[Source.Name],$A$136,raw[LOKASI],"PLTU Jawa Power #5"),0)</f>
        <v>610</v>
      </c>
      <c r="E85">
        <f>IFERROR(SUMIFS(INDEX(raw[[00.30]:[24.00]],0,$X$1+3),raw[Source.Name],$A$136,raw[LOKASI],"PLTU Jawa Power #5"),0)</f>
        <v>610</v>
      </c>
      <c r="F85">
        <f>IFERROR(SUMIFS(INDEX(raw[[00.30]:[24.00]],0,$X$1+4),raw[Source.Name],$A$136,raw[LOKASI],"PLTU Jawa Power #5"),0)</f>
        <v>610</v>
      </c>
      <c r="G85">
        <f>IFERROR(SUMIFS(INDEX(raw[[00.30]:[24.00]],0,$X$1+5),raw[Source.Name],$A$136,raw[LOKASI],"PLTU Jawa Power #5"),0)</f>
        <v>610</v>
      </c>
      <c r="H85">
        <f>IFERROR(SUMIFS(INDEX(raw[[00.30]:[24.00]],0,$X$1+6),raw[Source.Name],$A$136,raw[LOKASI],"PLTU Jawa Power #5"),0)</f>
        <v>610</v>
      </c>
      <c r="I85">
        <f>IFERROR(SUMIFS(INDEX(raw[[00.30]:[24.00]],0,$X$1+7),raw[Source.Name],$A$136,raw[LOKASI],"PLTU Jawa Power #5"),0)</f>
        <v>610</v>
      </c>
      <c r="J85">
        <f>IFERROR(SUMIFS(INDEX(raw[[00.30]:[24.00]],0,$X$1+8),raw[Source.Name],$A$136,raw[LOKASI],"PLTU Jawa Power #5"),0)</f>
        <v>610</v>
      </c>
      <c r="K85">
        <f>IFERROR(SUMIFS(INDEX(raw[[00.30]:[24.00]],0,$X$1+9),raw[Source.Name],$A$136,raw[LOKASI],"PLTU Jawa Power #5"),0)</f>
        <v>610</v>
      </c>
      <c r="L85">
        <f>IFERROR(SUMIFS(INDEX(raw[[00.30]:[24.00]],0,$X$1+10),raw[Source.Name],$A$136,raw[LOKASI],"PLTU Jawa Power #5"),0)</f>
        <v>610</v>
      </c>
      <c r="M85">
        <f>IFERROR(SUMIFS(INDEX(raw[[00.30]:[24.00]],0,$X$1+11),raw[Source.Name],$A$136,raw[LOKASI],"PLTU Jawa Power #5"),0)</f>
        <v>610</v>
      </c>
      <c r="N85">
        <f>IFERROR(SUMIFS(INDEX(raw[[00.30]:[24.00]],0,$X$1+12),raw[Source.Name],$A$136,raw[LOKASI],"PLTU Jawa Power #5"),0)</f>
        <v>610</v>
      </c>
      <c r="O85">
        <f>IFERROR(SUMIFS(INDEX(raw[[00.30]:[24.00]],0,$X$1+13),raw[Source.Name],$A$136,raw[LOKASI],"PLTU Jawa Power #5"),0)</f>
        <v>610</v>
      </c>
      <c r="P85">
        <f>IFERROR(SUMIFS(INDEX(raw[[00.30]:[24.00]],0,$X$1+14),raw[Source.Name],$A$136,raw[LOKASI],"PLTU Jawa Power #5"),0)</f>
        <v>610</v>
      </c>
      <c r="Q85">
        <f>IFERROR(SUMIFS(INDEX(raw[[00.30]:[24.00]],0,$X$1+15),raw[Source.Name],$A$136,raw[LOKASI],"PLTU Jawa Power #5"),0)</f>
        <v>610</v>
      </c>
      <c r="R85">
        <f>IFERROR(SUMIFS(INDEX(raw[[00.30]:[24.00]],0,$X$1+16),raw[Source.Name],$A$136,raw[LOKASI],"PLTU Jawa Power #5"),0)</f>
        <v>610</v>
      </c>
      <c r="S85">
        <f>IFERROR(SUMIFS(INDEX(raw[[00.30]:[24.00]],0,$X$1+17),raw[Source.Name],$A$136,raw[LOKASI],"PLTU Jawa Power #5"),0)</f>
        <v>610</v>
      </c>
      <c r="T85">
        <f>IFERROR(SUMIFS(INDEX(raw[[00.30]:[24.00]],0,$X$1+18),raw[Source.Name],$A$136,raw[LOKASI],"PLTU Jawa Power #5"),0)</f>
        <v>610</v>
      </c>
      <c r="U85">
        <f>IFERROR(SUMIFS(INDEX(raw[[00.30]:[24.00]],0,$X$1+19),raw[Source.Name],$A$136,raw[LOKASI],"PLTU Jawa Power #5"),0)</f>
        <v>610</v>
      </c>
      <c r="V85">
        <f>IFERROR(SUMIFS(INDEX(raw[[00.30]:[24.00]],0,$X$1+20),raw[Source.Name],$A$136,raw[LOKASI],"PLTU Jawa Power #5"),0)</f>
        <v>610</v>
      </c>
      <c r="Y85" s="19"/>
      <c r="Z85" s="19"/>
      <c r="AA85" t="s">
        <v>145</v>
      </c>
      <c r="AB85" t="s">
        <v>139</v>
      </c>
      <c r="AC85" t="s">
        <v>146</v>
      </c>
      <c r="AD85" t="s">
        <v>147</v>
      </c>
      <c r="AE85">
        <v>125</v>
      </c>
      <c r="AH85">
        <v>140</v>
      </c>
      <c r="AI85">
        <v>80</v>
      </c>
      <c r="AJ85" t="s">
        <v>148</v>
      </c>
    </row>
    <row r="86" spans="1:41" x14ac:dyDescent="0.3">
      <c r="A86" t="s">
        <v>149</v>
      </c>
      <c r="B86" s="3">
        <f>IF(VLOOKUP("PLTU Jawa Power #6",$A$7:$B$52,2,FALSE),1,0)</f>
        <v>1</v>
      </c>
      <c r="C86">
        <f>IFERROR(SUMIFS(INDEX(raw[[00.30]:[24.00]],0,$X$1+1),raw[Source.Name],$A$136,raw[LOKASI],"PLTU Jawa Power #6"),0)</f>
        <v>0</v>
      </c>
      <c r="D86">
        <f>IFERROR(SUMIFS(INDEX(raw[[00.30]:[24.00]],0,$X$1+2),raw[Source.Name],$A$136,raw[LOKASI],"PLTU Jawa Power #6"),0)</f>
        <v>0</v>
      </c>
      <c r="E86">
        <f>IFERROR(SUMIFS(INDEX(raw[[00.30]:[24.00]],0,$X$1+3),raw[Source.Name],$A$136,raw[LOKASI],"PLTU Jawa Power #6"),0)</f>
        <v>0</v>
      </c>
      <c r="F86">
        <f>IFERROR(SUMIFS(INDEX(raw[[00.30]:[24.00]],0,$X$1+4),raw[Source.Name],$A$136,raw[LOKASI],"PLTU Jawa Power #6"),0)</f>
        <v>0</v>
      </c>
      <c r="G86">
        <f>IFERROR(SUMIFS(INDEX(raw[[00.30]:[24.00]],0,$X$1+5),raw[Source.Name],$A$136,raw[LOKASI],"PLTU Jawa Power #6"),0)</f>
        <v>0</v>
      </c>
      <c r="H86">
        <f>IFERROR(SUMIFS(INDEX(raw[[00.30]:[24.00]],0,$X$1+6),raw[Source.Name],$A$136,raw[LOKASI],"PLTU Jawa Power #6"),0)</f>
        <v>0</v>
      </c>
      <c r="I86">
        <f>IFERROR(SUMIFS(INDEX(raw[[00.30]:[24.00]],0,$X$1+7),raw[Source.Name],$A$136,raw[LOKASI],"PLTU Jawa Power #6"),0)</f>
        <v>0</v>
      </c>
      <c r="J86">
        <f>IFERROR(SUMIFS(INDEX(raw[[00.30]:[24.00]],0,$X$1+8),raw[Source.Name],$A$136,raw[LOKASI],"PLTU Jawa Power #6"),0)</f>
        <v>0</v>
      </c>
      <c r="K86">
        <f>IFERROR(SUMIFS(INDEX(raw[[00.30]:[24.00]],0,$X$1+9),raw[Source.Name],$A$136,raw[LOKASI],"PLTU Jawa Power #6"),0)</f>
        <v>0</v>
      </c>
      <c r="L86">
        <f>IFERROR(SUMIFS(INDEX(raw[[00.30]:[24.00]],0,$X$1+10),raw[Source.Name],$A$136,raw[LOKASI],"PLTU Jawa Power #6"),0)</f>
        <v>0</v>
      </c>
      <c r="M86">
        <f>IFERROR(SUMIFS(INDEX(raw[[00.30]:[24.00]],0,$X$1+11),raw[Source.Name],$A$136,raw[LOKASI],"PLTU Jawa Power #6"),0)</f>
        <v>0</v>
      </c>
      <c r="N86">
        <f>IFERROR(SUMIFS(INDEX(raw[[00.30]:[24.00]],0,$X$1+12),raw[Source.Name],$A$136,raw[LOKASI],"PLTU Jawa Power #6"),0)</f>
        <v>0</v>
      </c>
      <c r="O86">
        <f>IFERROR(SUMIFS(INDEX(raw[[00.30]:[24.00]],0,$X$1+13),raw[Source.Name],$A$136,raw[LOKASI],"PLTU Jawa Power #6"),0)</f>
        <v>0</v>
      </c>
      <c r="P86">
        <f>IFERROR(SUMIFS(INDEX(raw[[00.30]:[24.00]],0,$X$1+14),raw[Source.Name],$A$136,raw[LOKASI],"PLTU Jawa Power #6"),0)</f>
        <v>0</v>
      </c>
      <c r="Q86">
        <f>IFERROR(SUMIFS(INDEX(raw[[00.30]:[24.00]],0,$X$1+15),raw[Source.Name],$A$136,raw[LOKASI],"PLTU Jawa Power #6"),0)</f>
        <v>0</v>
      </c>
      <c r="R86">
        <f>IFERROR(SUMIFS(INDEX(raw[[00.30]:[24.00]],0,$X$1+16),raw[Source.Name],$A$136,raw[LOKASI],"PLTU Jawa Power #6"),0)</f>
        <v>0</v>
      </c>
      <c r="S86">
        <f>IFERROR(SUMIFS(INDEX(raw[[00.30]:[24.00]],0,$X$1+17),raw[Source.Name],$A$136,raw[LOKASI],"PLTU Jawa Power #6"),0)</f>
        <v>0</v>
      </c>
      <c r="T86">
        <f>IFERROR(SUMIFS(INDEX(raw[[00.30]:[24.00]],0,$X$1+18),raw[Source.Name],$A$136,raw[LOKASI],"PLTU Jawa Power #6"),0)</f>
        <v>0</v>
      </c>
      <c r="U86">
        <f>IFERROR(SUMIFS(INDEX(raw[[00.30]:[24.00]],0,$X$1+19),raw[Source.Name],$A$136,raw[LOKASI],"PLTU Jawa Power #6"),0)</f>
        <v>0</v>
      </c>
      <c r="V86">
        <f>IFERROR(SUMIFS(INDEX(raw[[00.30]:[24.00]],0,$X$1+20),raw[Source.Name],$A$136,raw[LOKASI],"PLTU Jawa Power #6"),0)</f>
        <v>0</v>
      </c>
      <c r="Y86" s="19" t="s">
        <v>150</v>
      </c>
      <c r="Z86" s="19"/>
      <c r="AA86" t="s">
        <v>97</v>
      </c>
      <c r="AB86" t="s">
        <v>135</v>
      </c>
      <c r="AH86">
        <v>90</v>
      </c>
      <c r="AI86">
        <v>80</v>
      </c>
      <c r="AJ86" t="s">
        <v>151</v>
      </c>
    </row>
    <row r="87" spans="1:41" x14ac:dyDescent="0.3">
      <c r="A87" s="1" t="s">
        <v>62</v>
      </c>
      <c r="B87" s="3">
        <f>IF(VLOOKUP(A87,$A$7:$B$52,2,FALSE),1,0)</f>
        <v>1</v>
      </c>
      <c r="C87">
        <f>IFERROR(SUMIFS(INDEX(raw[[00.30]:[24.00]],0,$X$1+1),raw[Source.Name],$A$136,raw[LOKASI],$A87),0)</f>
        <v>122.25</v>
      </c>
      <c r="D87">
        <f>IFERROR(SUMIFS(INDEX(raw[[00.30]:[24.00]],0,$X$1+2),raw[Source.Name],$A$136,raw[LOKASI],$A87),0)</f>
        <v>203.75</v>
      </c>
      <c r="E87">
        <f>IFERROR(SUMIFS(INDEX(raw[[00.30]:[24.00]],0,$X$1+3),raw[Source.Name],$A$136,raw[LOKASI],$A87),0)</f>
        <v>285.25</v>
      </c>
      <c r="F87">
        <f>IFERROR(SUMIFS(INDEX(raw[[00.30]:[24.00]],0,$X$1+4),raw[Source.Name],$A$136,raw[LOKASI],$A87),0)</f>
        <v>366.75</v>
      </c>
      <c r="G87">
        <f>IFERROR(SUMIFS(INDEX(raw[[00.30]:[24.00]],0,$X$1+5),raw[Source.Name],$A$136,raw[LOKASI],$A87),0)</f>
        <v>448.25</v>
      </c>
      <c r="H87">
        <f>IFERROR(SUMIFS(INDEX(raw[[00.30]:[24.00]],0,$X$1+6),raw[Source.Name],$A$136,raw[LOKASI],$A87),0)</f>
        <v>529.75</v>
      </c>
      <c r="I87">
        <f>IFERROR(SUMIFS(INDEX(raw[[00.30]:[24.00]],0,$X$1+7),raw[Source.Name],$A$136,raw[LOKASI],$A87),0)</f>
        <v>611.25</v>
      </c>
      <c r="J87">
        <f>IFERROR(SUMIFS(INDEX(raw[[00.30]:[24.00]],0,$X$1+8),raw[Source.Name],$A$136,raw[LOKASI],$A87),0)</f>
        <v>692.75</v>
      </c>
      <c r="K87">
        <f>IFERROR(SUMIFS(INDEX(raw[[00.30]:[24.00]],0,$X$1+9),raw[Source.Name],$A$136,raw[LOKASI],$A87),0)</f>
        <v>771.74</v>
      </c>
      <c r="L87">
        <f>IFERROR(SUMIFS(INDEX(raw[[00.30]:[24.00]],0,$X$1+10),raw[Source.Name],$A$136,raw[LOKASI],$A87),0)</f>
        <v>794.78</v>
      </c>
      <c r="M87">
        <f>IFERROR(SUMIFS(INDEX(raw[[00.30]:[24.00]],0,$X$1+11),raw[Source.Name],$A$136,raw[LOKASI],$A87),0)</f>
        <v>794.78</v>
      </c>
      <c r="N87">
        <f>IFERROR(SUMIFS(INDEX(raw[[00.30]:[24.00]],0,$X$1+12),raw[Source.Name],$A$136,raw[LOKASI],$A87),0)</f>
        <v>794.78</v>
      </c>
      <c r="O87">
        <f>IFERROR(SUMIFS(INDEX(raw[[00.30]:[24.00]],0,$X$1+13),raw[Source.Name],$A$136,raw[LOKASI],$A87),0)</f>
        <v>794.78</v>
      </c>
      <c r="P87">
        <f>IFERROR(SUMIFS(INDEX(raw[[00.30]:[24.00]],0,$X$1+14),raw[Source.Name],$A$136,raw[LOKASI],$A87),0)</f>
        <v>794.78</v>
      </c>
      <c r="Q87">
        <f>IFERROR(SUMIFS(INDEX(raw[[00.30]:[24.00]],0,$X$1+15),raw[Source.Name],$A$136,raw[LOKASI],$A87),0)</f>
        <v>794.78</v>
      </c>
      <c r="R87">
        <f>IFERROR(SUMIFS(INDEX(raw[[00.30]:[24.00]],0,$X$1+16),raw[Source.Name],$A$136,raw[LOKASI],$A87),0)</f>
        <v>794.78</v>
      </c>
      <c r="S87">
        <f>IFERROR(SUMIFS(INDEX(raw[[00.30]:[24.00]],0,$X$1+17),raw[Source.Name],$A$136,raw[LOKASI],$A87),0)</f>
        <v>794.78</v>
      </c>
      <c r="T87">
        <f>IFERROR(SUMIFS(INDEX(raw[[00.30]:[24.00]],0,$X$1+18),raw[Source.Name],$A$136,raw[LOKASI],$A87),0)</f>
        <v>794.78</v>
      </c>
      <c r="U87">
        <f>IFERROR(SUMIFS(INDEX(raw[[00.30]:[24.00]],0,$X$1+19),raw[Source.Name],$A$136,raw[LOKASI],$A87),0)</f>
        <v>794.78</v>
      </c>
      <c r="V87">
        <f>IFERROR(SUMIFS(INDEX(raw[[00.30]:[24.00]],0,$X$1+20),raw[Source.Name],$A$136,raw[LOKASI],$A87),0)</f>
        <v>794.78</v>
      </c>
      <c r="AA87" t="s">
        <v>100</v>
      </c>
      <c r="AH87">
        <v>235</v>
      </c>
      <c r="AI87">
        <v>127</v>
      </c>
      <c r="AJ87" t="s">
        <v>152</v>
      </c>
    </row>
    <row r="88" spans="1:41" x14ac:dyDescent="0.3">
      <c r="A88" s="1" t="s">
        <v>65</v>
      </c>
      <c r="B88" s="3">
        <f>IF(VLOOKUP(A88,$A$7:$B$52,2,FALSE),1,0)</f>
        <v>1</v>
      </c>
      <c r="C88">
        <f>IFERROR(SUMIFS(INDEX(raw[[00.30]:[24.00]],0,$X$1+1),raw[Source.Name],$A$136,raw[LOKASI],$A88),0)</f>
        <v>0</v>
      </c>
      <c r="D88">
        <f>IFERROR(SUMIFS(INDEX(raw[[00.30]:[24.00]],0,$X$1+2),raw[Source.Name],$A$136,raw[LOKASI],$A88),0)</f>
        <v>0</v>
      </c>
      <c r="E88">
        <f>IFERROR(SUMIFS(INDEX(raw[[00.30]:[24.00]],0,$X$1+3),raw[Source.Name],$A$136,raw[LOKASI],$A88),0)</f>
        <v>0</v>
      </c>
      <c r="F88">
        <f>IFERROR(SUMIFS(INDEX(raw[[00.30]:[24.00]],0,$X$1+4),raw[Source.Name],$A$136,raw[LOKASI],$A88),0)</f>
        <v>0</v>
      </c>
      <c r="G88">
        <f>IFERROR(SUMIFS(INDEX(raw[[00.30]:[24.00]],0,$X$1+5),raw[Source.Name],$A$136,raw[LOKASI],$A88),0)</f>
        <v>0</v>
      </c>
      <c r="H88">
        <f>IFERROR(SUMIFS(INDEX(raw[[00.30]:[24.00]],0,$X$1+6),raw[Source.Name],$A$136,raw[LOKASI],$A88),0)</f>
        <v>0</v>
      </c>
      <c r="I88">
        <f>IFERROR(SUMIFS(INDEX(raw[[00.30]:[24.00]],0,$X$1+7),raw[Source.Name],$A$136,raw[LOKASI],$A88),0)</f>
        <v>0</v>
      </c>
      <c r="J88">
        <f>IFERROR(SUMIFS(INDEX(raw[[00.30]:[24.00]],0,$X$1+8),raw[Source.Name],$A$136,raw[LOKASI],$A88),0)</f>
        <v>0</v>
      </c>
      <c r="K88">
        <f>IFERROR(SUMIFS(INDEX(raw[[00.30]:[24.00]],0,$X$1+9),raw[Source.Name],$A$136,raw[LOKASI],$A88),0)</f>
        <v>0</v>
      </c>
      <c r="L88">
        <f>IFERROR(SUMIFS(INDEX(raw[[00.30]:[24.00]],0,$X$1+10),raw[Source.Name],$A$136,raw[LOKASI],$A88),0)</f>
        <v>0</v>
      </c>
      <c r="M88">
        <f>IFERROR(SUMIFS(INDEX(raw[[00.30]:[24.00]],0,$X$1+11),raw[Source.Name],$A$136,raw[LOKASI],$A88),0)</f>
        <v>0</v>
      </c>
      <c r="N88">
        <f>IFERROR(SUMIFS(INDEX(raw[[00.30]:[24.00]],0,$X$1+12),raw[Source.Name],$A$136,raw[LOKASI],$A88),0)</f>
        <v>0</v>
      </c>
      <c r="O88">
        <f>IFERROR(SUMIFS(INDEX(raw[[00.30]:[24.00]],0,$X$1+13),raw[Source.Name],$A$136,raw[LOKASI],$A88),0)</f>
        <v>0</v>
      </c>
      <c r="P88">
        <f>IFERROR(SUMIFS(INDEX(raw[[00.30]:[24.00]],0,$X$1+14),raw[Source.Name],$A$136,raw[LOKASI],$A88),0)</f>
        <v>0</v>
      </c>
      <c r="Q88">
        <f>IFERROR(SUMIFS(INDEX(raw[[00.30]:[24.00]],0,$X$1+15),raw[Source.Name],$A$136,raw[LOKASI],$A88),0)</f>
        <v>0</v>
      </c>
      <c r="R88">
        <f>IFERROR(SUMIFS(INDEX(raw[[00.30]:[24.00]],0,$X$1+16),raw[Source.Name],$A$136,raw[LOKASI],$A88),0)</f>
        <v>0</v>
      </c>
      <c r="S88">
        <f>IFERROR(SUMIFS(INDEX(raw[[00.30]:[24.00]],0,$X$1+17),raw[Source.Name],$A$136,raw[LOKASI],$A88),0)</f>
        <v>0</v>
      </c>
      <c r="T88">
        <f>IFERROR(SUMIFS(INDEX(raw[[00.30]:[24.00]],0,$X$1+18),raw[Source.Name],$A$136,raw[LOKASI],$A88),0)</f>
        <v>0</v>
      </c>
      <c r="U88">
        <f>IFERROR(SUMIFS(INDEX(raw[[00.30]:[24.00]],0,$X$1+19),raw[Source.Name],$A$136,raw[LOKASI],$A88),0)</f>
        <v>0</v>
      </c>
      <c r="V88">
        <f>IFERROR(SUMIFS(INDEX(raw[[00.30]:[24.00]],0,$X$1+20),raw[Source.Name],$A$136,raw[LOKASI],$A88),0)</f>
        <v>0</v>
      </c>
      <c r="AA88" t="s">
        <v>103</v>
      </c>
      <c r="AH88">
        <v>330</v>
      </c>
      <c r="AI88">
        <v>150</v>
      </c>
    </row>
    <row r="89" spans="1:41" x14ac:dyDescent="0.3">
      <c r="A89" t="s">
        <v>153</v>
      </c>
      <c r="B89" s="3" t="e">
        <f>IF(VLOOKUP(A89,$A$7:$B$52,2,FALSE),1,0)</f>
        <v>#N/A</v>
      </c>
      <c r="C89">
        <f>IFERROR(SUMIFS(INDEX(raw[[00.30]:[24.00]],0,$X$1+1),raw[Source.Name],$A$136,raw[LOKASI],"PLTU SRLYA #5"),0)</f>
        <v>300</v>
      </c>
      <c r="D89">
        <f>IFERROR(SUMIFS(INDEX(raw[[00.30]:[24.00]],0,$X$1+2),raw[Source.Name],$A$136,raw[LOKASI],"PLTU SRLYA #5"),0)</f>
        <v>300</v>
      </c>
      <c r="E89">
        <f>IFERROR(SUMIFS(INDEX(raw[[00.30]:[24.00]],0,$X$1+3),raw[Source.Name],$A$136,raw[LOKASI],"PLTU SRLYA #5"),0)</f>
        <v>300</v>
      </c>
      <c r="F89">
        <f>IFERROR(SUMIFS(INDEX(raw[[00.30]:[24.00]],0,$X$1+4),raw[Source.Name],$A$136,raw[LOKASI],"PLTU SRLYA #5"),0)</f>
        <v>336.3</v>
      </c>
      <c r="G89">
        <f>IFERROR(SUMIFS(INDEX(raw[[00.30]:[24.00]],0,$X$1+5),raw[Source.Name],$A$136,raw[LOKASI],"PLTU SRLYA #5"),0)</f>
        <v>336.3</v>
      </c>
      <c r="H89">
        <f>IFERROR(SUMIFS(INDEX(raw[[00.30]:[24.00]],0,$X$1+6),raw[Source.Name],$A$136,raw[LOKASI],"PLTU SRLYA #5"),0)</f>
        <v>336.3</v>
      </c>
      <c r="I89">
        <f>IFERROR(SUMIFS(INDEX(raw[[00.30]:[24.00]],0,$X$1+7),raw[Source.Name],$A$136,raw[LOKASI],"PLTU SRLYA #5"),0)</f>
        <v>336.3</v>
      </c>
      <c r="J89">
        <f>IFERROR(SUMIFS(INDEX(raw[[00.30]:[24.00]],0,$X$1+8),raw[Source.Name],$A$136,raw[LOKASI],"PLTU SRLYA #5"),0)</f>
        <v>336.3</v>
      </c>
      <c r="K89">
        <f>IFERROR(SUMIFS(INDEX(raw[[00.30]:[24.00]],0,$X$1+9),raw[Source.Name],$A$136,raw[LOKASI],"PLTU SRLYA #5"),0)</f>
        <v>336.3</v>
      </c>
      <c r="L89">
        <f>IFERROR(SUMIFS(INDEX(raw[[00.30]:[24.00]],0,$X$1+10),raw[Source.Name],$A$136,raw[LOKASI],"PLTU SRLYA #5"),0)</f>
        <v>351</v>
      </c>
      <c r="M89">
        <f>IFERROR(SUMIFS(INDEX(raw[[00.30]:[24.00]],0,$X$1+11),raw[Source.Name],$A$136,raw[LOKASI],"PLTU SRLYA #5"),0)</f>
        <v>441</v>
      </c>
      <c r="N89">
        <f>IFERROR(SUMIFS(INDEX(raw[[00.30]:[24.00]],0,$X$1+12),raw[Source.Name],$A$136,raw[LOKASI],"PLTU SRLYA #5"),0)</f>
        <v>441</v>
      </c>
      <c r="O89">
        <f>IFERROR(SUMIFS(INDEX(raw[[00.30]:[24.00]],0,$X$1+13),raw[Source.Name],$A$136,raw[LOKASI],"PLTU SRLYA #5"),0)</f>
        <v>441</v>
      </c>
      <c r="P89">
        <f>IFERROR(SUMIFS(INDEX(raw[[00.30]:[24.00]],0,$X$1+14),raw[Source.Name],$A$136,raw[LOKASI],"PLTU SRLYA #5"),0)</f>
        <v>441</v>
      </c>
      <c r="Q89">
        <f>IFERROR(SUMIFS(INDEX(raw[[00.30]:[24.00]],0,$X$1+15),raw[Source.Name],$A$136,raw[LOKASI],"PLTU SRLYA #5"),0)</f>
        <v>441</v>
      </c>
      <c r="R89">
        <f>IFERROR(SUMIFS(INDEX(raw[[00.30]:[24.00]],0,$X$1+16),raw[Source.Name],$A$136,raw[LOKASI],"PLTU SRLYA #5"),0)</f>
        <v>441</v>
      </c>
      <c r="S89">
        <f>IFERROR(SUMIFS(INDEX(raw[[00.30]:[24.00]],0,$X$1+17),raw[Source.Name],$A$136,raw[LOKASI],"PLTU SRLYA #5"),0)</f>
        <v>441</v>
      </c>
      <c r="T89">
        <f>IFERROR(SUMIFS(INDEX(raw[[00.30]:[24.00]],0,$X$1+18),raw[Source.Name],$A$136,raw[LOKASI],"PLTU SRLYA #5"),0)</f>
        <v>441</v>
      </c>
      <c r="U89">
        <f>IFERROR(SUMIFS(INDEX(raw[[00.30]:[24.00]],0,$X$1+19),raw[Source.Name],$A$136,raw[LOKASI],"PLTU SRLYA #5"),0)</f>
        <v>441</v>
      </c>
      <c r="V89">
        <f>IFERROR(SUMIFS(INDEX(raw[[00.30]:[24.00]],0,$X$1+20),raw[Source.Name],$A$136,raw[LOKASI],"PLTU SRLYA #5"),0)</f>
        <v>441</v>
      </c>
      <c r="Y89" s="19" t="s">
        <v>154</v>
      </c>
      <c r="Z89" s="19"/>
      <c r="AA89" t="s">
        <v>155</v>
      </c>
      <c r="AH89">
        <v>125</v>
      </c>
      <c r="AI89">
        <v>80</v>
      </c>
      <c r="AJ89" t="s">
        <v>156</v>
      </c>
    </row>
    <row r="90" spans="1:41" x14ac:dyDescent="0.3">
      <c r="A90" t="s">
        <v>157</v>
      </c>
      <c r="B90" s="3" t="e">
        <f>IF(VLOOKUP(A90,$A$7:$B$52,2,FALSE),1,0)</f>
        <v>#N/A</v>
      </c>
      <c r="C90">
        <f>IFERROR(SUMIFS(INDEX(raw[[00.30]:[24.00]],0,$X$1+1),raw[Source.Name],$A$136,raw[LOKASI],"PLTU SRLYA #6"),0)</f>
        <v>300</v>
      </c>
      <c r="D90">
        <f>IFERROR(SUMIFS(INDEX(raw[[00.30]:[24.00]],0,$X$1+2),raw[Source.Name],$A$136,raw[LOKASI],"PLTU SRLYA #6"),0)</f>
        <v>300</v>
      </c>
      <c r="E90">
        <f>IFERROR(SUMIFS(INDEX(raw[[00.30]:[24.00]],0,$X$1+3),raw[Source.Name],$A$136,raw[LOKASI],"PLTU SRLYA #6"),0)</f>
        <v>300</v>
      </c>
      <c r="F90">
        <f>IFERROR(SUMIFS(INDEX(raw[[00.30]:[24.00]],0,$X$1+4),raw[Source.Name],$A$136,raw[LOKASI],"PLTU SRLYA #6"),0)</f>
        <v>441</v>
      </c>
      <c r="G90">
        <f>IFERROR(SUMIFS(INDEX(raw[[00.30]:[24.00]],0,$X$1+5),raw[Source.Name],$A$136,raw[LOKASI],"PLTU SRLYA #6"),0)</f>
        <v>441</v>
      </c>
      <c r="H90">
        <f>IFERROR(SUMIFS(INDEX(raw[[00.30]:[24.00]],0,$X$1+6),raw[Source.Name],$A$136,raw[LOKASI],"PLTU SRLYA #6"),0)</f>
        <v>441</v>
      </c>
      <c r="I90">
        <f>IFERROR(SUMIFS(INDEX(raw[[00.30]:[24.00]],0,$X$1+7),raw[Source.Name],$A$136,raw[LOKASI],"PLTU SRLYA #6"),0)</f>
        <v>441</v>
      </c>
      <c r="J90">
        <f>IFERROR(SUMIFS(INDEX(raw[[00.30]:[24.00]],0,$X$1+8),raw[Source.Name],$A$136,raw[LOKASI],"PLTU SRLYA #6"),0)</f>
        <v>441</v>
      </c>
      <c r="K90">
        <f>IFERROR(SUMIFS(INDEX(raw[[00.30]:[24.00]],0,$X$1+9),raw[Source.Name],$A$136,raw[LOKASI],"PLTU SRLYA #6"),0)</f>
        <v>441</v>
      </c>
      <c r="L90">
        <f>IFERROR(SUMIFS(INDEX(raw[[00.30]:[24.00]],0,$X$1+10),raw[Source.Name],$A$136,raw[LOKASI],"PLTU SRLYA #6"),0)</f>
        <v>300</v>
      </c>
      <c r="M90">
        <f>IFERROR(SUMIFS(INDEX(raw[[00.30]:[24.00]],0,$X$1+11),raw[Source.Name],$A$136,raw[LOKASI],"PLTU SRLYA #6"),0)</f>
        <v>300</v>
      </c>
      <c r="N90">
        <f>IFERROR(SUMIFS(INDEX(raw[[00.30]:[24.00]],0,$X$1+12),raw[Source.Name],$A$136,raw[LOKASI],"PLTU SRLYA #6"),0)</f>
        <v>441</v>
      </c>
      <c r="O90">
        <f>IFERROR(SUMIFS(INDEX(raw[[00.30]:[24.00]],0,$X$1+13),raw[Source.Name],$A$136,raw[LOKASI],"PLTU SRLYA #6"),0)</f>
        <v>441</v>
      </c>
      <c r="P90">
        <f>IFERROR(SUMIFS(INDEX(raw[[00.30]:[24.00]],0,$X$1+14),raw[Source.Name],$A$136,raw[LOKASI],"PLTU SRLYA #6"),0)</f>
        <v>441</v>
      </c>
      <c r="Q90">
        <f>IFERROR(SUMIFS(INDEX(raw[[00.30]:[24.00]],0,$X$1+15),raw[Source.Name],$A$136,raw[LOKASI],"PLTU SRLYA #6"),0)</f>
        <v>441</v>
      </c>
      <c r="R90">
        <f>IFERROR(SUMIFS(INDEX(raw[[00.30]:[24.00]],0,$X$1+16),raw[Source.Name],$A$136,raw[LOKASI],"PLTU SRLYA #6"),0)</f>
        <v>441</v>
      </c>
      <c r="S90">
        <f>IFERROR(SUMIFS(INDEX(raw[[00.30]:[24.00]],0,$X$1+17),raw[Source.Name],$A$136,raw[LOKASI],"PLTU SRLYA #6"),0)</f>
        <v>441</v>
      </c>
      <c r="T90">
        <f>IFERROR(SUMIFS(INDEX(raw[[00.30]:[24.00]],0,$X$1+18),raw[Source.Name],$A$136,raw[LOKASI],"PLTU SRLYA #6"),0)</f>
        <v>441</v>
      </c>
      <c r="U90">
        <f>IFERROR(SUMIFS(INDEX(raw[[00.30]:[24.00]],0,$X$1+19),raw[Source.Name],$A$136,raw[LOKASI],"PLTU SRLYA #6"),0)</f>
        <v>441</v>
      </c>
      <c r="V90">
        <f>IFERROR(SUMIFS(INDEX(raw[[00.30]:[24.00]],0,$X$1+20),raw[Source.Name],$A$136,raw[LOKASI],"PLTU SRLYA #6"),0)</f>
        <v>441</v>
      </c>
      <c r="AA90" t="s">
        <v>111</v>
      </c>
      <c r="AD90">
        <f>AD80*AG90</f>
        <v>360</v>
      </c>
      <c r="AE90">
        <f>AG90/2</f>
        <v>90</v>
      </c>
      <c r="AF90">
        <f>SUM(AD90:AE90)</f>
        <v>450</v>
      </c>
      <c r="AG90">
        <v>180</v>
      </c>
      <c r="AH90">
        <v>235</v>
      </c>
      <c r="AI90">
        <v>110</v>
      </c>
    </row>
    <row r="91" spans="1:41" x14ac:dyDescent="0.3">
      <c r="A91" t="s">
        <v>158</v>
      </c>
      <c r="B91" s="3" t="e">
        <f>IF(VLOOKUP(A91,$A$7:$B$52,2,FALSE),1,0)</f>
        <v>#N/A</v>
      </c>
      <c r="C91">
        <f>IFERROR(SUMIFS(INDEX(raw[[00.30]:[24.00]],0,$X$1+1),raw[Source.Name],$A$136,raw[LOKASI],"PLTU SRLYA #7"),0)</f>
        <v>300</v>
      </c>
      <c r="D91">
        <f>IFERROR(SUMIFS(INDEX(raw[[00.30]:[24.00]],0,$X$1+2),raw[Source.Name],$A$136,raw[LOKASI],"PLTU SRLYA #7"),0)</f>
        <v>300</v>
      </c>
      <c r="E91">
        <f>IFERROR(SUMIFS(INDEX(raw[[00.30]:[24.00]],0,$X$1+3),raw[Source.Name],$A$136,raw[LOKASI],"PLTU SRLYA #7"),0)</f>
        <v>300</v>
      </c>
      <c r="F91">
        <f>IFERROR(SUMIFS(INDEX(raw[[00.30]:[24.00]],0,$X$1+4),raw[Source.Name],$A$136,raw[LOKASI],"PLTU SRLYA #7"),0)</f>
        <v>441</v>
      </c>
      <c r="G91">
        <f>IFERROR(SUMIFS(INDEX(raw[[00.30]:[24.00]],0,$X$1+5),raw[Source.Name],$A$136,raw[LOKASI],"PLTU SRLYA #7"),0)</f>
        <v>441</v>
      </c>
      <c r="H91">
        <f>IFERROR(SUMIFS(INDEX(raw[[00.30]:[24.00]],0,$X$1+6),raw[Source.Name],$A$136,raw[LOKASI],"PLTU SRLYA #7"),0)</f>
        <v>441</v>
      </c>
      <c r="I91">
        <f>IFERROR(SUMIFS(INDEX(raw[[00.30]:[24.00]],0,$X$1+7),raw[Source.Name],$A$136,raw[LOKASI],"PLTU SRLYA #7"),0)</f>
        <v>441</v>
      </c>
      <c r="J91">
        <f>IFERROR(SUMIFS(INDEX(raw[[00.30]:[24.00]],0,$X$1+8),raw[Source.Name],$A$136,raw[LOKASI],"PLTU SRLYA #7"),0)</f>
        <v>441</v>
      </c>
      <c r="K91">
        <f>IFERROR(SUMIFS(INDEX(raw[[00.30]:[24.00]],0,$X$1+9),raw[Source.Name],$A$136,raw[LOKASI],"PLTU SRLYA #7"),0)</f>
        <v>441</v>
      </c>
      <c r="L91">
        <f>IFERROR(SUMIFS(INDEX(raw[[00.30]:[24.00]],0,$X$1+10),raw[Source.Name],$A$136,raw[LOKASI],"PLTU SRLYA #7"),0)</f>
        <v>441</v>
      </c>
      <c r="M91">
        <f>IFERROR(SUMIFS(INDEX(raw[[00.30]:[24.00]],0,$X$1+11),raw[Source.Name],$A$136,raw[LOKASI],"PLTU SRLYA #7"),0)</f>
        <v>351</v>
      </c>
      <c r="N91">
        <f>IFERROR(SUMIFS(INDEX(raw[[00.30]:[24.00]],0,$X$1+12),raw[Source.Name],$A$136,raw[LOKASI],"PLTU SRLYA #7"),0)</f>
        <v>441</v>
      </c>
      <c r="O91">
        <f>IFERROR(SUMIFS(INDEX(raw[[00.30]:[24.00]],0,$X$1+13),raw[Source.Name],$A$136,raw[LOKASI],"PLTU SRLYA #7"),0)</f>
        <v>441</v>
      </c>
      <c r="P91">
        <f>IFERROR(SUMIFS(INDEX(raw[[00.30]:[24.00]],0,$X$1+14),raw[Source.Name],$A$136,raw[LOKASI],"PLTU SRLYA #7"),0)</f>
        <v>441</v>
      </c>
      <c r="Q91">
        <f>IFERROR(SUMIFS(INDEX(raw[[00.30]:[24.00]],0,$X$1+15),raw[Source.Name],$A$136,raw[LOKASI],"PLTU SRLYA #7"),0)</f>
        <v>441</v>
      </c>
      <c r="R91">
        <f>IFERROR(SUMIFS(INDEX(raw[[00.30]:[24.00]],0,$X$1+16),raw[Source.Name],$A$136,raw[LOKASI],"PLTU SRLYA #7"),0)</f>
        <v>441</v>
      </c>
      <c r="S91">
        <f>IFERROR(SUMIFS(INDEX(raw[[00.30]:[24.00]],0,$X$1+17),raw[Source.Name],$A$136,raw[LOKASI],"PLTU SRLYA #7"),0)</f>
        <v>441</v>
      </c>
      <c r="T91">
        <f>IFERROR(SUMIFS(INDEX(raw[[00.30]:[24.00]],0,$X$1+18),raw[Source.Name],$A$136,raw[LOKASI],"PLTU SRLYA #7"),0)</f>
        <v>441</v>
      </c>
      <c r="U91">
        <f>IFERROR(SUMIFS(INDEX(raw[[00.30]:[24.00]],0,$X$1+19),raw[Source.Name],$A$136,raw[LOKASI],"PLTU SRLYA #7"),0)</f>
        <v>441</v>
      </c>
      <c r="V91">
        <f>IFERROR(SUMIFS(INDEX(raw[[00.30]:[24.00]],0,$X$1+20),raw[Source.Name],$A$136,raw[LOKASI],"PLTU SRLYA #7"),0)</f>
        <v>441</v>
      </c>
      <c r="AA91" t="s">
        <v>112</v>
      </c>
      <c r="AD91" s="2">
        <f>AD80*AG91</f>
        <v>500</v>
      </c>
      <c r="AE91" s="2">
        <f>AD91/2</f>
        <v>250</v>
      </c>
      <c r="AF91" s="2">
        <f>SUM(AD91:AE91)</f>
        <v>750</v>
      </c>
      <c r="AG91">
        <v>250</v>
      </c>
      <c r="AH91">
        <v>283</v>
      </c>
      <c r="AI91">
        <v>150</v>
      </c>
      <c r="AJ91">
        <v>520</v>
      </c>
      <c r="AK91">
        <v>850</v>
      </c>
      <c r="AM91" t="s">
        <v>159</v>
      </c>
      <c r="AN91" t="s">
        <v>42</v>
      </c>
    </row>
    <row r="92" spans="1:41" x14ac:dyDescent="0.3">
      <c r="A92" t="s">
        <v>160</v>
      </c>
      <c r="B92" s="3">
        <f>IF(VLOOKUP("PLTU PACITAN #1",$A$7:$B$52,2,FALSE),1,0)</f>
        <v>0</v>
      </c>
      <c r="C92">
        <f>IFERROR(SUMIFS(INDEX(raw[[00.30]:[24.00]],0,$X$1+1),raw[Source.Name],$A$136,raw[LOKASI],"PLTU PACITAN #1"),0)</f>
        <v>200</v>
      </c>
      <c r="D92">
        <f>IFERROR(SUMIFS(INDEX(raw[[00.30]:[24.00]],0,$X$1+2),raw[Source.Name],$A$136,raw[LOKASI],"PLTU PACITAN #1"),0)</f>
        <v>200</v>
      </c>
      <c r="E92">
        <f>IFERROR(SUMIFS(INDEX(raw[[00.30]:[24.00]],0,$X$1+3),raw[Source.Name],$A$136,raw[LOKASI],"PLTU PACITAN #1"),0)</f>
        <v>200</v>
      </c>
      <c r="F92">
        <f>IFERROR(SUMIFS(INDEX(raw[[00.30]:[24.00]],0,$X$1+4),raw[Source.Name],$A$136,raw[LOKASI],"PLTU PACITAN #1"),0)</f>
        <v>200</v>
      </c>
      <c r="G92">
        <f>IFERROR(SUMIFS(INDEX(raw[[00.30]:[24.00]],0,$X$1+5),raw[Source.Name],$A$136,raw[LOKASI],"PLTU PACITAN #1"),0)</f>
        <v>200</v>
      </c>
      <c r="H92">
        <f>IFERROR(SUMIFS(INDEX(raw[[00.30]:[24.00]],0,$X$1+6),raw[Source.Name],$A$136,raw[LOKASI],"PLTU PACITAN #1"),0)</f>
        <v>200</v>
      </c>
      <c r="I92">
        <f>IFERROR(SUMIFS(INDEX(raw[[00.30]:[24.00]],0,$X$1+7),raw[Source.Name],$A$136,raw[LOKASI],"PLTU PACITAN #1"),0)</f>
        <v>200</v>
      </c>
      <c r="J92">
        <f>IFERROR(SUMIFS(INDEX(raw[[00.30]:[24.00]],0,$X$1+8),raw[Source.Name],$A$136,raw[LOKASI],"PLTU PACITAN #1"),0)</f>
        <v>200</v>
      </c>
      <c r="K92">
        <f>IFERROR(SUMIFS(INDEX(raw[[00.30]:[24.00]],0,$X$1+9),raw[Source.Name],$A$136,raw[LOKASI],"PLTU PACITAN #1"),0)</f>
        <v>200</v>
      </c>
      <c r="L92">
        <f>IFERROR(SUMIFS(INDEX(raw[[00.30]:[24.00]],0,$X$1+10),raw[Source.Name],$A$136,raw[LOKASI],"PLTU PACITAN #1"),0)</f>
        <v>200</v>
      </c>
      <c r="M92">
        <f>IFERROR(SUMIFS(INDEX(raw[[00.30]:[24.00]],0,$X$1+11),raw[Source.Name],$A$136,raw[LOKASI],"PLTU PACITAN #1"),0)</f>
        <v>200</v>
      </c>
      <c r="N92">
        <f>IFERROR(SUMIFS(INDEX(raw[[00.30]:[24.00]],0,$X$1+12),raw[Source.Name],$A$136,raw[LOKASI],"PLTU PACITAN #1"),0)</f>
        <v>200</v>
      </c>
      <c r="O92">
        <f>IFERROR(SUMIFS(INDEX(raw[[00.30]:[24.00]],0,$X$1+13),raw[Source.Name],$A$136,raw[LOKASI],"PLTU PACITAN #1"),0)</f>
        <v>200</v>
      </c>
      <c r="P92">
        <f>IFERROR(SUMIFS(INDEX(raw[[00.30]:[24.00]],0,$X$1+14),raw[Source.Name],$A$136,raw[LOKASI],"PLTU PACITAN #1"),0)</f>
        <v>200</v>
      </c>
      <c r="Q92">
        <f>IFERROR(SUMIFS(INDEX(raw[[00.30]:[24.00]],0,$X$1+15),raw[Source.Name],$A$136,raw[LOKASI],"PLTU PACITAN #1"),0)</f>
        <v>200</v>
      </c>
      <c r="R92">
        <f>IFERROR(SUMIFS(INDEX(raw[[00.30]:[24.00]],0,$X$1+16),raw[Source.Name],$A$136,raw[LOKASI],"PLTU PACITAN #1"),0)</f>
        <v>200</v>
      </c>
      <c r="S92">
        <f>IFERROR(SUMIFS(INDEX(raw[[00.30]:[24.00]],0,$X$1+17),raw[Source.Name],$A$136,raw[LOKASI],"PLTU PACITAN #1"),0)</f>
        <v>200</v>
      </c>
      <c r="T92">
        <f>IFERROR(SUMIFS(INDEX(raw[[00.30]:[24.00]],0,$X$1+18),raw[Source.Name],$A$136,raw[LOKASI],"PLTU PACITAN #1"),0)</f>
        <v>200</v>
      </c>
      <c r="U92">
        <f>IFERROR(SUMIFS(INDEX(raw[[00.30]:[24.00]],0,$X$1+19),raw[Source.Name],$A$136,raw[LOKASI],"PLTU PACITAN #1"),0)</f>
        <v>200</v>
      </c>
      <c r="V92">
        <f>IFERROR(SUMIFS(INDEX(raw[[00.30]:[24.00]],0,$X$1+20),raw[Source.Name],$A$136,raw[LOKASI],"PLTU PACITAN #1"),0)</f>
        <v>200</v>
      </c>
      <c r="AA92" t="s">
        <v>161</v>
      </c>
      <c r="AD92" s="2">
        <f>AG92*AD80+20</f>
        <v>220</v>
      </c>
      <c r="AE92" s="2">
        <f>AD92/2</f>
        <v>110</v>
      </c>
      <c r="AF92" s="2">
        <f>SUM(AD92:AE92)</f>
        <v>330</v>
      </c>
      <c r="AG92">
        <v>100</v>
      </c>
      <c r="AH92">
        <v>100</v>
      </c>
      <c r="AI92">
        <v>50</v>
      </c>
      <c r="AM92">
        <v>90</v>
      </c>
      <c r="AN92">
        <v>100</v>
      </c>
      <c r="AO92">
        <v>100</v>
      </c>
    </row>
    <row r="93" spans="1:41" x14ac:dyDescent="0.3">
      <c r="A93" t="s">
        <v>162</v>
      </c>
      <c r="B93" s="3">
        <f>IF(VLOOKUP("PLTU PACITAN #2",$A$7:$B$52,2,FALSE),1,0)</f>
        <v>0</v>
      </c>
      <c r="C93">
        <f>IFERROR(SUMIFS(INDEX(raw[[00.30]:[24.00]],0,$X$1+1),raw[Source.Name],$A$136,raw[LOKASI],"PLTU PACITAN #2"),0)</f>
        <v>0</v>
      </c>
      <c r="D93">
        <f>IFERROR(SUMIFS(INDEX(raw[[00.30]:[24.00]],0,$X$1+2),raw[Source.Name],$A$136,raw[LOKASI],"PLTU PACITAN #2"),0)</f>
        <v>0</v>
      </c>
      <c r="E93">
        <f>IFERROR(SUMIFS(INDEX(raw[[00.30]:[24.00]],0,$X$1+3),raw[Source.Name],$A$136,raw[LOKASI],"PLTU PACITAN #2"),0)</f>
        <v>0</v>
      </c>
      <c r="F93">
        <f>IFERROR(SUMIFS(INDEX(raw[[00.30]:[24.00]],0,$X$1+4),raw[Source.Name],$A$136,raw[LOKASI],"PLTU PACITAN #2"),0)</f>
        <v>0</v>
      </c>
      <c r="G93">
        <f>IFERROR(SUMIFS(INDEX(raw[[00.30]:[24.00]],0,$X$1+5),raw[Source.Name],$A$136,raw[LOKASI],"PLTU PACITAN #2"),0)</f>
        <v>0</v>
      </c>
      <c r="H93">
        <f>IFERROR(SUMIFS(INDEX(raw[[00.30]:[24.00]],0,$X$1+6),raw[Source.Name],$A$136,raw[LOKASI],"PLTU PACITAN #2"),0)</f>
        <v>0</v>
      </c>
      <c r="I93">
        <f>IFERROR(SUMIFS(INDEX(raw[[00.30]:[24.00]],0,$X$1+7),raw[Source.Name],$A$136,raw[LOKASI],"PLTU PACITAN #2"),0)</f>
        <v>0</v>
      </c>
      <c r="J93">
        <f>IFERROR(SUMIFS(INDEX(raw[[00.30]:[24.00]],0,$X$1+8),raw[Source.Name],$A$136,raw[LOKASI],"PLTU PACITAN #2"),0)</f>
        <v>0</v>
      </c>
      <c r="K93">
        <f>IFERROR(SUMIFS(INDEX(raw[[00.30]:[24.00]],0,$X$1+9),raw[Source.Name],$A$136,raw[LOKASI],"PLTU PACITAN #2"),0)</f>
        <v>0</v>
      </c>
      <c r="L93">
        <f>IFERROR(SUMIFS(INDEX(raw[[00.30]:[24.00]],0,$X$1+10),raw[Source.Name],$A$136,raw[LOKASI],"PLTU PACITAN #2"),0)</f>
        <v>0</v>
      </c>
      <c r="M93">
        <f>IFERROR(SUMIFS(INDEX(raw[[00.30]:[24.00]],0,$X$1+11),raw[Source.Name],$A$136,raw[LOKASI],"PLTU PACITAN #2"),0)</f>
        <v>0</v>
      </c>
      <c r="N93">
        <f>IFERROR(SUMIFS(INDEX(raw[[00.30]:[24.00]],0,$X$1+12),raw[Source.Name],$A$136,raw[LOKASI],"PLTU PACITAN #2"),0)</f>
        <v>0</v>
      </c>
      <c r="O93">
        <f>IFERROR(SUMIFS(INDEX(raw[[00.30]:[24.00]],0,$X$1+13),raw[Source.Name],$A$136,raw[LOKASI],"PLTU PACITAN #2"),0)</f>
        <v>0</v>
      </c>
      <c r="P93">
        <f>IFERROR(SUMIFS(INDEX(raw[[00.30]:[24.00]],0,$X$1+14),raw[Source.Name],$A$136,raw[LOKASI],"PLTU PACITAN #2"),0)</f>
        <v>0</v>
      </c>
      <c r="Q93">
        <f>IFERROR(SUMIFS(INDEX(raw[[00.30]:[24.00]],0,$X$1+15),raw[Source.Name],$A$136,raw[LOKASI],"PLTU PACITAN #2"),0)</f>
        <v>0</v>
      </c>
      <c r="R93">
        <f>IFERROR(SUMIFS(INDEX(raw[[00.30]:[24.00]],0,$X$1+16),raw[Source.Name],$A$136,raw[LOKASI],"PLTU PACITAN #2"),0)</f>
        <v>0</v>
      </c>
      <c r="S93">
        <f>IFERROR(SUMIFS(INDEX(raw[[00.30]:[24.00]],0,$X$1+17),raw[Source.Name],$A$136,raw[LOKASI],"PLTU PACITAN #2"),0)</f>
        <v>0</v>
      </c>
      <c r="T93">
        <f>IFERROR(SUMIFS(INDEX(raw[[00.30]:[24.00]],0,$X$1+18),raw[Source.Name],$A$136,raw[LOKASI],"PLTU PACITAN #2"),0)</f>
        <v>0</v>
      </c>
      <c r="U93">
        <f>IFERROR(SUMIFS(INDEX(raw[[00.30]:[24.00]],0,$X$1+19),raw[Source.Name],$A$136,raw[LOKASI],"PLTU PACITAN #2"),0)</f>
        <v>0</v>
      </c>
      <c r="V93">
        <f>IFERROR(SUMIFS(INDEX(raw[[00.30]:[24.00]],0,$X$1+20),raw[Source.Name],$A$136,raw[LOKASI],"PLTU PACITAN #2"),0)</f>
        <v>0</v>
      </c>
      <c r="AA93" t="s">
        <v>163</v>
      </c>
      <c r="AN93">
        <v>30</v>
      </c>
      <c r="AO93">
        <v>23</v>
      </c>
    </row>
    <row r="94" spans="1:41" x14ac:dyDescent="0.3">
      <c r="A94" t="s">
        <v>164</v>
      </c>
      <c r="B94" s="3">
        <f>IF(VLOOKUP("PLTU CEPR #1",$A$7:$B$52,2,FALSE),1,0)</f>
        <v>0</v>
      </c>
      <c r="C94">
        <f>IFERROR(SUMIFS(INDEX(raw[[00.30]:[24.00]],0,$X$1+1),raw[Source.Name],$A$136,raw[LOKASI],"PLTU CEPR #1"),0)</f>
        <v>905.52</v>
      </c>
      <c r="D94">
        <f>IFERROR(SUMIFS(INDEX(raw[[00.30]:[24.00]],0,$X$1+2),raw[Source.Name],$A$136,raw[LOKASI],"PLTU CEPR #1"),0)</f>
        <v>905.52</v>
      </c>
      <c r="E94">
        <f>IFERROR(SUMIFS(INDEX(raw[[00.30]:[24.00]],0,$X$1+3),raw[Source.Name],$A$136,raw[LOKASI],"PLTU CEPR #1"),0)</f>
        <v>905.52</v>
      </c>
      <c r="F94">
        <f>IFERROR(SUMIFS(INDEX(raw[[00.30]:[24.00]],0,$X$1+4),raw[Source.Name],$A$136,raw[LOKASI],"PLTU CEPR #1"),0)</f>
        <v>905.52</v>
      </c>
      <c r="G94">
        <f>IFERROR(SUMIFS(INDEX(raw[[00.30]:[24.00]],0,$X$1+5),raw[Source.Name],$A$136,raw[LOKASI],"PLTU CEPR #1"),0)</f>
        <v>905.52</v>
      </c>
      <c r="H94">
        <f>IFERROR(SUMIFS(INDEX(raw[[00.30]:[24.00]],0,$X$1+6),raw[Source.Name],$A$136,raw[LOKASI],"PLTU CEPR #1"),0)</f>
        <v>905.52</v>
      </c>
      <c r="I94">
        <f>IFERROR(SUMIFS(INDEX(raw[[00.30]:[24.00]],0,$X$1+7),raw[Source.Name],$A$136,raw[LOKASI],"PLTU CEPR #1"),0)</f>
        <v>905.52</v>
      </c>
      <c r="J94">
        <f>IFERROR(SUMIFS(INDEX(raw[[00.30]:[24.00]],0,$X$1+8),raw[Source.Name],$A$136,raw[LOKASI],"PLTU CEPR #1"),0)</f>
        <v>905.52</v>
      </c>
      <c r="K94">
        <f>IFERROR(SUMIFS(INDEX(raw[[00.30]:[24.00]],0,$X$1+9),raw[Source.Name],$A$136,raw[LOKASI],"PLTU CEPR #1"),0)</f>
        <v>905.52</v>
      </c>
      <c r="L94">
        <f>IFERROR(SUMIFS(INDEX(raw[[00.30]:[24.00]],0,$X$1+10),raw[Source.Name],$A$136,raw[LOKASI],"PLTU CEPR #1"),0)</f>
        <v>905.52</v>
      </c>
      <c r="M94">
        <f>IFERROR(SUMIFS(INDEX(raw[[00.30]:[24.00]],0,$X$1+11),raw[Source.Name],$A$136,raw[LOKASI],"PLTU CEPR #1"),0)</f>
        <v>905.52</v>
      </c>
      <c r="N94">
        <f>IFERROR(SUMIFS(INDEX(raw[[00.30]:[24.00]],0,$X$1+12),raw[Source.Name],$A$136,raw[LOKASI],"PLTU CEPR #1"),0)</f>
        <v>905.52</v>
      </c>
      <c r="O94">
        <f>IFERROR(SUMIFS(INDEX(raw[[00.30]:[24.00]],0,$X$1+13),raw[Source.Name],$A$136,raw[LOKASI],"PLTU CEPR #1"),0)</f>
        <v>905.52</v>
      </c>
      <c r="P94">
        <f>IFERROR(SUMIFS(INDEX(raw[[00.30]:[24.00]],0,$X$1+14),raw[Source.Name],$A$136,raw[LOKASI],"PLTU CEPR #1"),0)</f>
        <v>905.52</v>
      </c>
      <c r="Q94">
        <f>IFERROR(SUMIFS(INDEX(raw[[00.30]:[24.00]],0,$X$1+15),raw[Source.Name],$A$136,raw[LOKASI],"PLTU CEPR #1"),0)</f>
        <v>905.52</v>
      </c>
      <c r="R94">
        <f>IFERROR(SUMIFS(INDEX(raw[[00.30]:[24.00]],0,$X$1+16),raw[Source.Name],$A$136,raw[LOKASI],"PLTU CEPR #1"),0)</f>
        <v>905.52</v>
      </c>
      <c r="S94">
        <f>IFERROR(SUMIFS(INDEX(raw[[00.30]:[24.00]],0,$X$1+17),raw[Source.Name],$A$136,raw[LOKASI],"PLTU CEPR #1"),0)</f>
        <v>905.52</v>
      </c>
      <c r="T94">
        <f>IFERROR(SUMIFS(INDEX(raw[[00.30]:[24.00]],0,$X$1+18),raw[Source.Name],$A$136,raw[LOKASI],"PLTU CEPR #1"),0)</f>
        <v>905.52</v>
      </c>
      <c r="U94">
        <f>IFERROR(SUMIFS(INDEX(raw[[00.30]:[24.00]],0,$X$1+19),raw[Source.Name],$A$136,raw[LOKASI],"PLTU CEPR #1"),0)</f>
        <v>905.52</v>
      </c>
      <c r="V94">
        <f>IFERROR(SUMIFS(INDEX(raw[[00.30]:[24.00]],0,$X$1+20),raw[Source.Name],$A$136,raw[LOKASI],"PLTU CEPR #1"),0)</f>
        <v>905.52</v>
      </c>
      <c r="Y94" t="s">
        <v>165</v>
      </c>
      <c r="AB94" t="s">
        <v>166</v>
      </c>
      <c r="AL94" t="s">
        <v>167</v>
      </c>
    </row>
    <row r="95" spans="1:41" x14ac:dyDescent="0.3">
      <c r="A95" s="1" t="s">
        <v>54</v>
      </c>
      <c r="B95" s="3">
        <f t="shared" ref="B95:B101" si="4">IF(VLOOKUP(A95,$A$7:$B$52,2,FALSE),1,0)</f>
        <v>0</v>
      </c>
      <c r="C95">
        <f>IFERROR(SUMIFS(INDEX(raw[[00.30]:[24.00]],0,$X$1+1),raw[Source.Name],$A$136,raw[LOKASI],$A95),0)</f>
        <v>275</v>
      </c>
      <c r="D95">
        <f>IFERROR(SUMIFS(INDEX(raw[[00.30]:[24.00]],0,$X$1+2),raw[Source.Name],$A$136,raw[LOKASI],$A95),0)</f>
        <v>275</v>
      </c>
      <c r="E95">
        <f>IFERROR(SUMIFS(INDEX(raw[[00.30]:[24.00]],0,$X$1+3),raw[Source.Name],$A$136,raw[LOKASI],$A95),0)</f>
        <v>275</v>
      </c>
      <c r="F95">
        <f>IFERROR(SUMIFS(INDEX(raw[[00.30]:[24.00]],0,$X$1+4),raw[Source.Name],$A$136,raw[LOKASI],$A95),0)</f>
        <v>275</v>
      </c>
      <c r="G95">
        <f>IFERROR(SUMIFS(INDEX(raw[[00.30]:[24.00]],0,$X$1+5),raw[Source.Name],$A$136,raw[LOKASI],$A95),0)</f>
        <v>275</v>
      </c>
      <c r="H95">
        <f>IFERROR(SUMIFS(INDEX(raw[[00.30]:[24.00]],0,$X$1+6),raw[Source.Name],$A$136,raw[LOKASI],$A95),0)</f>
        <v>275</v>
      </c>
      <c r="I95">
        <f>IFERROR(SUMIFS(INDEX(raw[[00.30]:[24.00]],0,$X$1+7),raw[Source.Name],$A$136,raw[LOKASI],$A95),0)</f>
        <v>275</v>
      </c>
      <c r="J95">
        <f>IFERROR(SUMIFS(INDEX(raw[[00.30]:[24.00]],0,$X$1+8),raw[Source.Name],$A$136,raw[LOKASI],$A95),0)</f>
        <v>275</v>
      </c>
      <c r="K95">
        <f>IFERROR(SUMIFS(INDEX(raw[[00.30]:[24.00]],0,$X$1+9),raw[Source.Name],$A$136,raw[LOKASI],$A95),0)</f>
        <v>275</v>
      </c>
      <c r="L95">
        <f>IFERROR(SUMIFS(INDEX(raw[[00.30]:[24.00]],0,$X$1+10),raw[Source.Name],$A$136,raw[LOKASI],$A95),0)</f>
        <v>275</v>
      </c>
      <c r="M95">
        <f>IFERROR(SUMIFS(INDEX(raw[[00.30]:[24.00]],0,$X$1+11),raw[Source.Name],$A$136,raw[LOKASI],$A95),0)</f>
        <v>275</v>
      </c>
      <c r="N95">
        <f>IFERROR(SUMIFS(INDEX(raw[[00.30]:[24.00]],0,$X$1+12),raw[Source.Name],$A$136,raw[LOKASI],$A95),0)</f>
        <v>340</v>
      </c>
      <c r="O95">
        <f>IFERROR(SUMIFS(INDEX(raw[[00.30]:[24.00]],0,$X$1+13),raw[Source.Name],$A$136,raw[LOKASI],$A95),0)</f>
        <v>340</v>
      </c>
      <c r="P95">
        <f>IFERROR(SUMIFS(INDEX(raw[[00.30]:[24.00]],0,$X$1+14),raw[Source.Name],$A$136,raw[LOKASI],$A95),0)</f>
        <v>340</v>
      </c>
      <c r="Q95">
        <f>IFERROR(SUMIFS(INDEX(raw[[00.30]:[24.00]],0,$X$1+15),raw[Source.Name],$A$136,raw[LOKASI],$A95),0)</f>
        <v>340</v>
      </c>
      <c r="R95">
        <f>IFERROR(SUMIFS(INDEX(raw[[00.30]:[24.00]],0,$X$1+16),raw[Source.Name],$A$136,raw[LOKASI],$A95),0)</f>
        <v>340</v>
      </c>
      <c r="S95">
        <f>IFERROR(SUMIFS(INDEX(raw[[00.30]:[24.00]],0,$X$1+17),raw[Source.Name],$A$136,raw[LOKASI],$A95),0)</f>
        <v>340</v>
      </c>
      <c r="T95">
        <f>IFERROR(SUMIFS(INDEX(raw[[00.30]:[24.00]],0,$X$1+18),raw[Source.Name],$A$136,raw[LOKASI],$A95),0)</f>
        <v>340</v>
      </c>
      <c r="U95">
        <f>IFERROR(SUMIFS(INDEX(raw[[00.30]:[24.00]],0,$X$1+19),raw[Source.Name],$A$136,raw[LOKASI],$A95),0)</f>
        <v>340</v>
      </c>
      <c r="V95">
        <f>IFERROR(SUMIFS(INDEX(raw[[00.30]:[24.00]],0,$X$1+20),raw[Source.Name],$A$136,raw[LOKASI],$A95),0)</f>
        <v>340</v>
      </c>
      <c r="Y95" s="26" t="s">
        <v>168</v>
      </c>
      <c r="AN95">
        <f>AN92/AN93</f>
        <v>3.3333333333333335</v>
      </c>
    </row>
    <row r="96" spans="1:41" x14ac:dyDescent="0.3">
      <c r="A96" s="1" t="s">
        <v>57</v>
      </c>
      <c r="B96" s="3">
        <f t="shared" si="4"/>
        <v>0</v>
      </c>
      <c r="C96">
        <f>IFERROR(SUMIFS(INDEX(raw[[00.30]:[24.00]],0,$X$1+1),raw[Source.Name],$A$136,raw[LOKASI],$A96),0)</f>
        <v>275</v>
      </c>
      <c r="D96">
        <f>IFERROR(SUMIFS(INDEX(raw[[00.30]:[24.00]],0,$X$1+2),raw[Source.Name],$A$136,raw[LOKASI],$A96),0)</f>
        <v>275</v>
      </c>
      <c r="E96">
        <f>IFERROR(SUMIFS(INDEX(raw[[00.30]:[24.00]],0,$X$1+3),raw[Source.Name],$A$136,raw[LOKASI],$A96),0)</f>
        <v>275</v>
      </c>
      <c r="F96">
        <f>IFERROR(SUMIFS(INDEX(raw[[00.30]:[24.00]],0,$X$1+4),raw[Source.Name],$A$136,raw[LOKASI],$A96),0)</f>
        <v>275</v>
      </c>
      <c r="G96">
        <f>IFERROR(SUMIFS(INDEX(raw[[00.30]:[24.00]],0,$X$1+5),raw[Source.Name],$A$136,raw[LOKASI],$A96),0)</f>
        <v>275</v>
      </c>
      <c r="H96">
        <f>IFERROR(SUMIFS(INDEX(raw[[00.30]:[24.00]],0,$X$1+6),raw[Source.Name],$A$136,raw[LOKASI],$A96),0)</f>
        <v>275</v>
      </c>
      <c r="I96">
        <f>IFERROR(SUMIFS(INDEX(raw[[00.30]:[24.00]],0,$X$1+7),raw[Source.Name],$A$136,raw[LOKASI],$A96),0)</f>
        <v>275</v>
      </c>
      <c r="J96">
        <f>IFERROR(SUMIFS(INDEX(raw[[00.30]:[24.00]],0,$X$1+8),raw[Source.Name],$A$136,raw[LOKASI],$A96),0)</f>
        <v>275</v>
      </c>
      <c r="K96">
        <f>IFERROR(SUMIFS(INDEX(raw[[00.30]:[24.00]],0,$X$1+9),raw[Source.Name],$A$136,raw[LOKASI],$A96),0)</f>
        <v>275</v>
      </c>
      <c r="L96">
        <f>IFERROR(SUMIFS(INDEX(raw[[00.30]:[24.00]],0,$X$1+10),raw[Source.Name],$A$136,raw[LOKASI],$A96),0)</f>
        <v>275</v>
      </c>
      <c r="M96">
        <f>IFERROR(SUMIFS(INDEX(raw[[00.30]:[24.00]],0,$X$1+11),raw[Source.Name],$A$136,raw[LOKASI],$A96),0)</f>
        <v>275</v>
      </c>
      <c r="N96">
        <f>IFERROR(SUMIFS(INDEX(raw[[00.30]:[24.00]],0,$X$1+12),raw[Source.Name],$A$136,raw[LOKASI],$A96),0)</f>
        <v>340</v>
      </c>
      <c r="O96">
        <f>IFERROR(SUMIFS(INDEX(raw[[00.30]:[24.00]],0,$X$1+13),raw[Source.Name],$A$136,raw[LOKASI],$A96),0)</f>
        <v>340</v>
      </c>
      <c r="P96">
        <f>IFERROR(SUMIFS(INDEX(raw[[00.30]:[24.00]],0,$X$1+14),raw[Source.Name],$A$136,raw[LOKASI],$A96),0)</f>
        <v>340</v>
      </c>
      <c r="Q96">
        <f>IFERROR(SUMIFS(INDEX(raw[[00.30]:[24.00]],0,$X$1+15),raw[Source.Name],$A$136,raw[LOKASI],$A96),0)</f>
        <v>340</v>
      </c>
      <c r="R96">
        <f>IFERROR(SUMIFS(INDEX(raw[[00.30]:[24.00]],0,$X$1+16),raw[Source.Name],$A$136,raw[LOKASI],$A96),0)</f>
        <v>340</v>
      </c>
      <c r="S96">
        <f>IFERROR(SUMIFS(INDEX(raw[[00.30]:[24.00]],0,$X$1+17),raw[Source.Name],$A$136,raw[LOKASI],$A96),0)</f>
        <v>340</v>
      </c>
      <c r="T96">
        <f>IFERROR(SUMIFS(INDEX(raw[[00.30]:[24.00]],0,$X$1+18),raw[Source.Name],$A$136,raw[LOKASI],$A96),0)</f>
        <v>340</v>
      </c>
      <c r="U96">
        <f>IFERROR(SUMIFS(INDEX(raw[[00.30]:[24.00]],0,$X$1+19),raw[Source.Name],$A$136,raw[LOKASI],$A96),0)</f>
        <v>340</v>
      </c>
      <c r="V96">
        <f>IFERROR(SUMIFS(INDEX(raw[[00.30]:[24.00]],0,$X$1+20),raw[Source.Name],$A$136,raw[LOKASI],$A96),0)</f>
        <v>340</v>
      </c>
      <c r="Y96" t="s">
        <v>169</v>
      </c>
      <c r="Z96" t="s">
        <v>170</v>
      </c>
    </row>
    <row r="97" spans="1:26" x14ac:dyDescent="0.3">
      <c r="A97" t="s">
        <v>171</v>
      </c>
      <c r="B97" s="3" t="e">
        <f t="shared" si="4"/>
        <v>#N/A</v>
      </c>
      <c r="C97">
        <f>IFERROR(SUMIFS(INDEX(raw[[00.30]:[24.00]],0,$X$1+1),raw[Source.Name],$A$136,raw[LOKASI],"PLTU CELUKAN BAWANG #1"),0)</f>
        <v>125</v>
      </c>
      <c r="D97">
        <f>IFERROR(SUMIFS(INDEX(raw[[00.30]:[24.00]],0,$X$1+2),raw[Source.Name],$A$136,raw[LOKASI],"PLTU CELUKAN BAWANG #1"),0)</f>
        <v>125</v>
      </c>
      <c r="E97">
        <f>IFERROR(SUMIFS(INDEX(raw[[00.30]:[24.00]],0,$X$1+3),raw[Source.Name],$A$136,raw[LOKASI],"PLTU CELUKAN BAWANG #1"),0)</f>
        <v>125</v>
      </c>
      <c r="F97">
        <f>IFERROR(SUMIFS(INDEX(raw[[00.30]:[24.00]],0,$X$1+4),raw[Source.Name],$A$136,raw[LOKASI],"PLTU CELUKAN BAWANG #1"),0)</f>
        <v>125</v>
      </c>
      <c r="G97">
        <f>IFERROR(SUMIFS(INDEX(raw[[00.30]:[24.00]],0,$X$1+5),raw[Source.Name],$A$136,raw[LOKASI],"PLTU CELUKAN BAWANG #1"),0)</f>
        <v>125</v>
      </c>
      <c r="H97">
        <f>IFERROR(SUMIFS(INDEX(raw[[00.30]:[24.00]],0,$X$1+6),raw[Source.Name],$A$136,raw[LOKASI],"PLTU CELUKAN BAWANG #1"),0)</f>
        <v>125</v>
      </c>
      <c r="I97">
        <f>IFERROR(SUMIFS(INDEX(raw[[00.30]:[24.00]],0,$X$1+7),raw[Source.Name],$A$136,raw[LOKASI],"PLTU CELUKAN BAWANG #1"),0)</f>
        <v>125</v>
      </c>
      <c r="J97">
        <f>IFERROR(SUMIFS(INDEX(raw[[00.30]:[24.00]],0,$X$1+8),raw[Source.Name],$A$136,raw[LOKASI],"PLTU CELUKAN BAWANG #1"),0)</f>
        <v>125</v>
      </c>
      <c r="K97">
        <f>IFERROR(SUMIFS(INDEX(raw[[00.30]:[24.00]],0,$X$1+9),raw[Source.Name],$A$136,raw[LOKASI],"PLTU CELUKAN BAWANG #1"),0)</f>
        <v>125</v>
      </c>
      <c r="L97">
        <f>IFERROR(SUMIFS(INDEX(raw[[00.30]:[24.00]],0,$X$1+10),raw[Source.Name],$A$136,raw[LOKASI],"PLTU CELUKAN BAWANG #1"),0)</f>
        <v>125</v>
      </c>
      <c r="M97">
        <f>IFERROR(SUMIFS(INDEX(raw[[00.30]:[24.00]],0,$X$1+11),raw[Source.Name],$A$136,raw[LOKASI],"PLTU CELUKAN BAWANG #1"),0)</f>
        <v>125</v>
      </c>
      <c r="N97">
        <f>IFERROR(SUMIFS(INDEX(raw[[00.30]:[24.00]],0,$X$1+12),raw[Source.Name],$A$136,raw[LOKASI],"PLTU CELUKAN BAWANG #1"),0)</f>
        <v>125</v>
      </c>
      <c r="O97">
        <f>IFERROR(SUMIFS(INDEX(raw[[00.30]:[24.00]],0,$X$1+13),raw[Source.Name],$A$136,raw[LOKASI],"PLTU CELUKAN BAWANG #1"),0)</f>
        <v>125</v>
      </c>
      <c r="P97">
        <f>IFERROR(SUMIFS(INDEX(raw[[00.30]:[24.00]],0,$X$1+14),raw[Source.Name],$A$136,raw[LOKASI],"PLTU CELUKAN BAWANG #1"),0)</f>
        <v>125</v>
      </c>
      <c r="Q97">
        <f>IFERROR(SUMIFS(INDEX(raw[[00.30]:[24.00]],0,$X$1+15),raw[Source.Name],$A$136,raw[LOKASI],"PLTU CELUKAN BAWANG #1"),0)</f>
        <v>125</v>
      </c>
      <c r="R97">
        <f>IFERROR(SUMIFS(INDEX(raw[[00.30]:[24.00]],0,$X$1+16),raw[Source.Name],$A$136,raw[LOKASI],"PLTU CELUKAN BAWANG #1"),0)</f>
        <v>125</v>
      </c>
      <c r="S97">
        <f>IFERROR(SUMIFS(INDEX(raw[[00.30]:[24.00]],0,$X$1+17),raw[Source.Name],$A$136,raw[LOKASI],"PLTU CELUKAN BAWANG #1"),0)</f>
        <v>125</v>
      </c>
      <c r="T97">
        <f>IFERROR(SUMIFS(INDEX(raw[[00.30]:[24.00]],0,$X$1+18),raw[Source.Name],$A$136,raw[LOKASI],"PLTU CELUKAN BAWANG #1"),0)</f>
        <v>125</v>
      </c>
      <c r="U97">
        <f>IFERROR(SUMIFS(INDEX(raw[[00.30]:[24.00]],0,$X$1+19),raw[Source.Name],$A$136,raw[LOKASI],"PLTU CELUKAN BAWANG #1"),0)</f>
        <v>125</v>
      </c>
      <c r="V97">
        <f>IFERROR(SUMIFS(INDEX(raw[[00.30]:[24.00]],0,$X$1+20),raw[Source.Name],$A$136,raw[LOKASI],"PLTU CELUKAN BAWANG #1"),0)</f>
        <v>125</v>
      </c>
      <c r="Z97" t="s">
        <v>172</v>
      </c>
    </row>
    <row r="98" spans="1:26" x14ac:dyDescent="0.3">
      <c r="A98" t="s">
        <v>173</v>
      </c>
      <c r="B98" s="3" t="e">
        <f t="shared" si="4"/>
        <v>#N/A</v>
      </c>
      <c r="C98">
        <f>IFERROR(SUMIFS(INDEX(raw[[00.30]:[24.00]],0,$X$1+1),raw[Source.Name],$A$136,raw[LOKASI],"PLTU CELUKAN BAWANG #2"),0)</f>
        <v>125</v>
      </c>
      <c r="D98">
        <f>IFERROR(SUMIFS(INDEX(raw[[00.30]:[24.00]],0,$X$1+2),raw[Source.Name],$A$136,raw[LOKASI],"PLTU CELUKAN BAWANG #2"),0)</f>
        <v>125</v>
      </c>
      <c r="E98">
        <f>IFERROR(SUMIFS(INDEX(raw[[00.30]:[24.00]],0,$X$1+3),raw[Source.Name],$A$136,raw[LOKASI],"PLTU CELUKAN BAWANG #2"),0)</f>
        <v>125</v>
      </c>
      <c r="F98">
        <f>IFERROR(SUMIFS(INDEX(raw[[00.30]:[24.00]],0,$X$1+4),raw[Source.Name],$A$136,raw[LOKASI],"PLTU CELUKAN BAWANG #2"),0)</f>
        <v>125</v>
      </c>
      <c r="G98">
        <f>IFERROR(SUMIFS(INDEX(raw[[00.30]:[24.00]],0,$X$1+5),raw[Source.Name],$A$136,raw[LOKASI],"PLTU CELUKAN BAWANG #2"),0)</f>
        <v>125</v>
      </c>
      <c r="H98">
        <f>IFERROR(SUMIFS(INDEX(raw[[00.30]:[24.00]],0,$X$1+6),raw[Source.Name],$A$136,raw[LOKASI],"PLTU CELUKAN BAWANG #2"),0)</f>
        <v>125</v>
      </c>
      <c r="I98">
        <f>IFERROR(SUMIFS(INDEX(raw[[00.30]:[24.00]],0,$X$1+7),raw[Source.Name],$A$136,raw[LOKASI],"PLTU CELUKAN BAWANG #2"),0)</f>
        <v>125</v>
      </c>
      <c r="J98">
        <f>IFERROR(SUMIFS(INDEX(raw[[00.30]:[24.00]],0,$X$1+8),raw[Source.Name],$A$136,raw[LOKASI],"PLTU CELUKAN BAWANG #2"),0)</f>
        <v>125</v>
      </c>
      <c r="K98">
        <f>IFERROR(SUMIFS(INDEX(raw[[00.30]:[24.00]],0,$X$1+9),raw[Source.Name],$A$136,raw[LOKASI],"PLTU CELUKAN BAWANG #2"),0)</f>
        <v>125</v>
      </c>
      <c r="L98">
        <f>IFERROR(SUMIFS(INDEX(raw[[00.30]:[24.00]],0,$X$1+10),raw[Source.Name],$A$136,raw[LOKASI],"PLTU CELUKAN BAWANG #2"),0)</f>
        <v>125</v>
      </c>
      <c r="M98">
        <f>IFERROR(SUMIFS(INDEX(raw[[00.30]:[24.00]],0,$X$1+11),raw[Source.Name],$A$136,raw[LOKASI],"PLTU CELUKAN BAWANG #2"),0)</f>
        <v>125</v>
      </c>
      <c r="N98">
        <f>IFERROR(SUMIFS(INDEX(raw[[00.30]:[24.00]],0,$X$1+12),raw[Source.Name],$A$136,raw[LOKASI],"PLTU CELUKAN BAWANG #2"),0)</f>
        <v>125</v>
      </c>
      <c r="O98">
        <f>IFERROR(SUMIFS(INDEX(raw[[00.30]:[24.00]],0,$X$1+13),raw[Source.Name],$A$136,raw[LOKASI],"PLTU CELUKAN BAWANG #2"),0)</f>
        <v>125</v>
      </c>
      <c r="P98">
        <f>IFERROR(SUMIFS(INDEX(raw[[00.30]:[24.00]],0,$X$1+14),raw[Source.Name],$A$136,raw[LOKASI],"PLTU CELUKAN BAWANG #2"),0)</f>
        <v>125</v>
      </c>
      <c r="Q98">
        <f>IFERROR(SUMIFS(INDEX(raw[[00.30]:[24.00]],0,$X$1+15),raw[Source.Name],$A$136,raw[LOKASI],"PLTU CELUKAN BAWANG #2"),0)</f>
        <v>125</v>
      </c>
      <c r="R98">
        <f>IFERROR(SUMIFS(INDEX(raw[[00.30]:[24.00]],0,$X$1+16),raw[Source.Name],$A$136,raw[LOKASI],"PLTU CELUKAN BAWANG #2"),0)</f>
        <v>125</v>
      </c>
      <c r="S98">
        <f>IFERROR(SUMIFS(INDEX(raw[[00.30]:[24.00]],0,$X$1+17),raw[Source.Name],$A$136,raw[LOKASI],"PLTU CELUKAN BAWANG #2"),0)</f>
        <v>125</v>
      </c>
      <c r="T98">
        <f>IFERROR(SUMIFS(INDEX(raw[[00.30]:[24.00]],0,$X$1+18),raw[Source.Name],$A$136,raw[LOKASI],"PLTU CELUKAN BAWANG #2"),0)</f>
        <v>125</v>
      </c>
      <c r="U98">
        <f>IFERROR(SUMIFS(INDEX(raw[[00.30]:[24.00]],0,$X$1+19),raw[Source.Name],$A$136,raw[LOKASI],"PLTU CELUKAN BAWANG #2"),0)</f>
        <v>125</v>
      </c>
      <c r="V98">
        <f>IFERROR(SUMIFS(INDEX(raw[[00.30]:[24.00]],0,$X$1+20),raw[Source.Name],$A$136,raw[LOKASI],"PLTU CELUKAN BAWANG #2"),0)</f>
        <v>125</v>
      </c>
      <c r="Z98" t="s">
        <v>174</v>
      </c>
    </row>
    <row r="99" spans="1:26" x14ac:dyDescent="0.3">
      <c r="A99" t="s">
        <v>175</v>
      </c>
      <c r="B99" s="3" t="e">
        <f t="shared" si="4"/>
        <v>#N/A</v>
      </c>
      <c r="C99">
        <f>IFERROR(SUMIFS(INDEX(raw[[00.30]:[24.00]],0,$X$1+1),raw[Source.Name],$A$136,raw[LOKASI],"PLTU CELUKAN BAWANG #3"),0)</f>
        <v>99</v>
      </c>
      <c r="D99">
        <f>IFERROR(SUMIFS(INDEX(raw[[00.30]:[24.00]],0,$X$1+2),raw[Source.Name],$A$136,raw[LOKASI],"PLTU CELUKAN BAWANG #3"),0)</f>
        <v>102.5</v>
      </c>
      <c r="E99">
        <f>IFERROR(SUMIFS(INDEX(raw[[00.30]:[24.00]],0,$X$1+3),raw[Source.Name],$A$136,raw[LOKASI],"PLTU CELUKAN BAWANG #3"),0)</f>
        <v>130</v>
      </c>
      <c r="F99">
        <f>IFERROR(SUMIFS(INDEX(raw[[00.30]:[24.00]],0,$X$1+4),raw[Source.Name],$A$136,raw[LOKASI],"PLTU CELUKAN BAWANG #3"),0)</f>
        <v>130</v>
      </c>
      <c r="G99">
        <f>IFERROR(SUMIFS(INDEX(raw[[00.30]:[24.00]],0,$X$1+5),raw[Source.Name],$A$136,raw[LOKASI],"PLTU CELUKAN BAWANG #3"),0)</f>
        <v>130</v>
      </c>
      <c r="H99">
        <f>IFERROR(SUMIFS(INDEX(raw[[00.30]:[24.00]],0,$X$1+6),raw[Source.Name],$A$136,raw[LOKASI],"PLTU CELUKAN BAWANG #3"),0)</f>
        <v>130</v>
      </c>
      <c r="I99">
        <f>IFERROR(SUMIFS(INDEX(raw[[00.30]:[24.00]],0,$X$1+7),raw[Source.Name],$A$136,raw[LOKASI],"PLTU CELUKAN BAWANG #3"),0)</f>
        <v>130</v>
      </c>
      <c r="J99">
        <f>IFERROR(SUMIFS(INDEX(raw[[00.30]:[24.00]],0,$X$1+8),raw[Source.Name],$A$136,raw[LOKASI],"PLTU CELUKAN BAWANG #3"),0)</f>
        <v>130</v>
      </c>
      <c r="K99">
        <f>IFERROR(SUMIFS(INDEX(raw[[00.30]:[24.00]],0,$X$1+9),raw[Source.Name],$A$136,raw[LOKASI],"PLTU CELUKAN BAWANG #3"),0)</f>
        <v>130</v>
      </c>
      <c r="L99">
        <f>IFERROR(SUMIFS(INDEX(raw[[00.30]:[24.00]],0,$X$1+10),raw[Source.Name],$A$136,raw[LOKASI],"PLTU CELUKAN BAWANG #3"),0)</f>
        <v>130</v>
      </c>
      <c r="M99">
        <f>IFERROR(SUMIFS(INDEX(raw[[00.30]:[24.00]],0,$X$1+11),raw[Source.Name],$A$136,raw[LOKASI],"PLTU CELUKAN BAWANG #3"),0)</f>
        <v>130</v>
      </c>
      <c r="N99">
        <f>IFERROR(SUMIFS(INDEX(raw[[00.30]:[24.00]],0,$X$1+12),raw[Source.Name],$A$136,raw[LOKASI],"PLTU CELUKAN BAWANG #3"),0)</f>
        <v>130</v>
      </c>
      <c r="O99">
        <f>IFERROR(SUMIFS(INDEX(raw[[00.30]:[24.00]],0,$X$1+13),raw[Source.Name],$A$136,raw[LOKASI],"PLTU CELUKAN BAWANG #3"),0)</f>
        <v>130</v>
      </c>
      <c r="P99">
        <f>IFERROR(SUMIFS(INDEX(raw[[00.30]:[24.00]],0,$X$1+14),raw[Source.Name],$A$136,raw[LOKASI],"PLTU CELUKAN BAWANG #3"),0)</f>
        <v>130</v>
      </c>
      <c r="Q99">
        <f>IFERROR(SUMIFS(INDEX(raw[[00.30]:[24.00]],0,$X$1+15),raw[Source.Name],$A$136,raw[LOKASI],"PLTU CELUKAN BAWANG #3"),0)</f>
        <v>130</v>
      </c>
      <c r="R99">
        <f>IFERROR(SUMIFS(INDEX(raw[[00.30]:[24.00]],0,$X$1+16),raw[Source.Name],$A$136,raw[LOKASI],"PLTU CELUKAN BAWANG #3"),0)</f>
        <v>130</v>
      </c>
      <c r="S99">
        <f>IFERROR(SUMIFS(INDEX(raw[[00.30]:[24.00]],0,$X$1+17),raw[Source.Name],$A$136,raw[LOKASI],"PLTU CELUKAN BAWANG #3"),0)</f>
        <v>130</v>
      </c>
      <c r="T99">
        <f>IFERROR(SUMIFS(INDEX(raw[[00.30]:[24.00]],0,$X$1+18),raw[Source.Name],$A$136,raw[LOKASI],"PLTU CELUKAN BAWANG #3"),0)</f>
        <v>130</v>
      </c>
      <c r="U99">
        <f>IFERROR(SUMIFS(INDEX(raw[[00.30]:[24.00]],0,$X$1+19),raw[Source.Name],$A$136,raw[LOKASI],"PLTU CELUKAN BAWANG #3"),0)</f>
        <v>130</v>
      </c>
      <c r="V99">
        <f>IFERROR(SUMIFS(INDEX(raw[[00.30]:[24.00]],0,$X$1+20),raw[Source.Name],$A$136,raw[LOKASI],"PLTU CELUKAN BAWANG #3"),0)</f>
        <v>130</v>
      </c>
      <c r="Z99" t="s">
        <v>176</v>
      </c>
    </row>
    <row r="100" spans="1:26" x14ac:dyDescent="0.3">
      <c r="A100" s="1" t="s">
        <v>77</v>
      </c>
      <c r="B100" s="3">
        <f t="shared" si="4"/>
        <v>1</v>
      </c>
      <c r="C100">
        <f>IFERROR(SUMIFS(INDEX(raw[[00.30]:[24.00]],0,$X$1+1),raw[Source.Name],$A$136,raw[LOKASI],$A100),0)</f>
        <v>597.79999999999995</v>
      </c>
      <c r="D100">
        <f>IFERROR(SUMIFS(INDEX(raw[[00.30]:[24.00]],0,$X$1+2),raw[Source.Name],$A$136,raw[LOKASI],$A100),0)</f>
        <v>597.79999999999995</v>
      </c>
      <c r="E100">
        <f>IFERROR(SUMIFS(INDEX(raw[[00.30]:[24.00]],0,$X$1+3),raw[Source.Name],$A$136,raw[LOKASI],$A100),0)</f>
        <v>597.79999999999995</v>
      </c>
      <c r="F100">
        <f>IFERROR(SUMIFS(INDEX(raw[[00.30]:[24.00]],0,$X$1+4),raw[Source.Name],$A$136,raw[LOKASI],$A100),0)</f>
        <v>597.79999999999995</v>
      </c>
      <c r="G100">
        <f>IFERROR(SUMIFS(INDEX(raw[[00.30]:[24.00]],0,$X$1+5),raw[Source.Name],$A$136,raw[LOKASI],$A100),0)</f>
        <v>597.79999999999995</v>
      </c>
      <c r="H100">
        <f>IFERROR(SUMIFS(INDEX(raw[[00.30]:[24.00]],0,$X$1+6),raw[Source.Name],$A$136,raw[LOKASI],$A100),0)</f>
        <v>597.79999999999995</v>
      </c>
      <c r="I100">
        <f>IFERROR(SUMIFS(INDEX(raw[[00.30]:[24.00]],0,$X$1+7),raw[Source.Name],$A$136,raw[LOKASI],$A100),0)</f>
        <v>597.79999999999995</v>
      </c>
      <c r="J100">
        <f>IFERROR(SUMIFS(INDEX(raw[[00.30]:[24.00]],0,$X$1+8),raw[Source.Name],$A$136,raw[LOKASI],$A100),0)</f>
        <v>597.79999999999995</v>
      </c>
      <c r="K100">
        <f>IFERROR(SUMIFS(INDEX(raw[[00.30]:[24.00]],0,$X$1+9),raw[Source.Name],$A$136,raw[LOKASI],$A100),0)</f>
        <v>597.79999999999995</v>
      </c>
      <c r="L100">
        <f>IFERROR(SUMIFS(INDEX(raw[[00.30]:[24.00]],0,$X$1+10),raw[Source.Name],$A$136,raw[LOKASI],$A100),0)</f>
        <v>597.79999999999995</v>
      </c>
      <c r="M100">
        <f>IFERROR(SUMIFS(INDEX(raw[[00.30]:[24.00]],0,$X$1+11),raw[Source.Name],$A$136,raw[LOKASI],$A100),0)</f>
        <v>597.79999999999995</v>
      </c>
      <c r="N100">
        <f>IFERROR(SUMIFS(INDEX(raw[[00.30]:[24.00]],0,$X$1+12),raw[Source.Name],$A$136,raw[LOKASI],$A100),0)</f>
        <v>597.79999999999995</v>
      </c>
      <c r="O100">
        <f>IFERROR(SUMIFS(INDEX(raw[[00.30]:[24.00]],0,$X$1+13),raw[Source.Name],$A$136,raw[LOKASI],$A100),0)</f>
        <v>597.79999999999995</v>
      </c>
      <c r="P100">
        <f>IFERROR(SUMIFS(INDEX(raw[[00.30]:[24.00]],0,$X$1+14),raw[Source.Name],$A$136,raw[LOKASI],$A100),0)</f>
        <v>597.79999999999995</v>
      </c>
      <c r="Q100">
        <f>IFERROR(SUMIFS(INDEX(raw[[00.30]:[24.00]],0,$X$1+15),raw[Source.Name],$A$136,raw[LOKASI],$A100),0)</f>
        <v>597.79999999999995</v>
      </c>
      <c r="R100">
        <f>IFERROR(SUMIFS(INDEX(raw[[00.30]:[24.00]],0,$X$1+16),raw[Source.Name],$A$136,raw[LOKASI],$A100),0)</f>
        <v>597.79999999999995</v>
      </c>
      <c r="S100">
        <f>IFERROR(SUMIFS(INDEX(raw[[00.30]:[24.00]],0,$X$1+17),raw[Source.Name],$A$136,raw[LOKASI],$A100),0)</f>
        <v>597.79999999999995</v>
      </c>
      <c r="T100">
        <f>IFERROR(SUMIFS(INDEX(raw[[00.30]:[24.00]],0,$X$1+18),raw[Source.Name],$A$136,raw[LOKASI],$A100),0)</f>
        <v>597.79999999999995</v>
      </c>
      <c r="U100">
        <f>IFERROR(SUMIFS(INDEX(raw[[00.30]:[24.00]],0,$X$1+19),raw[Source.Name],$A$136,raw[LOKASI],$A100),0)</f>
        <v>597.79999999999995</v>
      </c>
      <c r="V100">
        <f>IFERROR(SUMIFS(INDEX(raw[[00.30]:[24.00]],0,$X$1+20),raw[Source.Name],$A$136,raw[LOKASI],$A100),0)</f>
        <v>597.79999999999995</v>
      </c>
    </row>
    <row r="101" spans="1:26" x14ac:dyDescent="0.3">
      <c r="A101" s="1" t="s">
        <v>78</v>
      </c>
      <c r="B101" s="3">
        <f t="shared" si="4"/>
        <v>1</v>
      </c>
      <c r="C101">
        <f>IFERROR(SUMIFS(INDEX(raw[[00.30]:[24.00]],0,$X$1+1),raw[Source.Name],$A$136,raw[LOKASI],$A101),0)</f>
        <v>597.79999999999995</v>
      </c>
      <c r="D101">
        <f>IFERROR(SUMIFS(INDEX(raw[[00.30]:[24.00]],0,$X$1+2),raw[Source.Name],$A$136,raw[LOKASI],$A101),0)</f>
        <v>597.79999999999995</v>
      </c>
      <c r="E101">
        <f>IFERROR(SUMIFS(INDEX(raw[[00.30]:[24.00]],0,$X$1+3),raw[Source.Name],$A$136,raw[LOKASI],$A101),0)</f>
        <v>597.79999999999995</v>
      </c>
      <c r="F101">
        <f>IFERROR(SUMIFS(INDEX(raw[[00.30]:[24.00]],0,$X$1+4),raw[Source.Name],$A$136,raw[LOKASI],$A101),0)</f>
        <v>597.79999999999995</v>
      </c>
      <c r="G101">
        <f>IFERROR(SUMIFS(INDEX(raw[[00.30]:[24.00]],0,$X$1+5),raw[Source.Name],$A$136,raw[LOKASI],$A101),0)</f>
        <v>597.79999999999995</v>
      </c>
      <c r="H101">
        <f>IFERROR(SUMIFS(INDEX(raw[[00.30]:[24.00]],0,$X$1+6),raw[Source.Name],$A$136,raw[LOKASI],$A101),0)</f>
        <v>597.79999999999995</v>
      </c>
      <c r="I101">
        <f>IFERROR(SUMIFS(INDEX(raw[[00.30]:[24.00]],0,$X$1+7),raw[Source.Name],$A$136,raw[LOKASI],$A101),0)</f>
        <v>597.79999999999995</v>
      </c>
      <c r="J101">
        <f>IFERROR(SUMIFS(INDEX(raw[[00.30]:[24.00]],0,$X$1+8),raw[Source.Name],$A$136,raw[LOKASI],$A101),0)</f>
        <v>597.79999999999995</v>
      </c>
      <c r="K101">
        <f>IFERROR(SUMIFS(INDEX(raw[[00.30]:[24.00]],0,$X$1+9),raw[Source.Name],$A$136,raw[LOKASI],$A101),0)</f>
        <v>597.79999999999995</v>
      </c>
      <c r="L101">
        <f>IFERROR(SUMIFS(INDEX(raw[[00.30]:[24.00]],0,$X$1+10),raw[Source.Name],$A$136,raw[LOKASI],$A101),0)</f>
        <v>597.79999999999995</v>
      </c>
      <c r="M101">
        <f>IFERROR(SUMIFS(INDEX(raw[[00.30]:[24.00]],0,$X$1+11),raw[Source.Name],$A$136,raw[LOKASI],$A101),0)</f>
        <v>597.79999999999995</v>
      </c>
      <c r="N101">
        <f>IFERROR(SUMIFS(INDEX(raw[[00.30]:[24.00]],0,$X$1+12),raw[Source.Name],$A$136,raw[LOKASI],$A101),0)</f>
        <v>597.79999999999995</v>
      </c>
      <c r="O101">
        <f>IFERROR(SUMIFS(INDEX(raw[[00.30]:[24.00]],0,$X$1+13),raw[Source.Name],$A$136,raw[LOKASI],$A101),0)</f>
        <v>597.79999999999995</v>
      </c>
      <c r="P101">
        <f>IFERROR(SUMIFS(INDEX(raw[[00.30]:[24.00]],0,$X$1+14),raw[Source.Name],$A$136,raw[LOKASI],$A101),0)</f>
        <v>597.79999999999995</v>
      </c>
      <c r="Q101">
        <f>IFERROR(SUMIFS(INDEX(raw[[00.30]:[24.00]],0,$X$1+15),raw[Source.Name],$A$136,raw[LOKASI],$A101),0)</f>
        <v>597.79999999999995</v>
      </c>
      <c r="R101">
        <f>IFERROR(SUMIFS(INDEX(raw[[00.30]:[24.00]],0,$X$1+16),raw[Source.Name],$A$136,raw[LOKASI],$A101),0)</f>
        <v>597.79999999999995</v>
      </c>
      <c r="S101">
        <f>IFERROR(SUMIFS(INDEX(raw[[00.30]:[24.00]],0,$X$1+17),raw[Source.Name],$A$136,raw[LOKASI],$A101),0)</f>
        <v>597.79999999999995</v>
      </c>
      <c r="T101">
        <f>IFERROR(SUMIFS(INDEX(raw[[00.30]:[24.00]],0,$X$1+18),raw[Source.Name],$A$136,raw[LOKASI],$A101),0)</f>
        <v>597.79999999999995</v>
      </c>
      <c r="U101">
        <f>IFERROR(SUMIFS(INDEX(raw[[00.30]:[24.00]],0,$X$1+19),raw[Source.Name],$A$136,raw[LOKASI],$A101),0)</f>
        <v>597.79999999999995</v>
      </c>
      <c r="V101">
        <f>IFERROR(SUMIFS(INDEX(raw[[00.30]:[24.00]],0,$X$1+20),raw[Source.Name],$A$136,raw[LOKASI],$A101),0)</f>
        <v>597.79999999999995</v>
      </c>
    </row>
    <row r="102" spans="1:26" x14ac:dyDescent="0.3">
      <c r="A102" t="s">
        <v>177</v>
      </c>
      <c r="B102" s="3">
        <f>IF(VLOOKUP("PLTU REMBANG #10",$A$7:$B$52,2,FALSE),1,0)</f>
        <v>0</v>
      </c>
      <c r="C102">
        <f>IFERROR(SUMIFS(INDEX(raw[[00.30]:[24.00]],0,$X$1+1),raw[Source.Name],$A$136,raw[LOKASI],"PLTU REMBANG #20"),0)</f>
        <v>200</v>
      </c>
      <c r="D102">
        <f>IFERROR(SUMIFS(INDEX(raw[[00.30]:[24.00]],0,$X$1+2),raw[Source.Name],$A$136,raw[LOKASI],"PLTU REMBANG #20"),0)</f>
        <v>200</v>
      </c>
      <c r="E102">
        <f>IFERROR(SUMIFS(INDEX(raw[[00.30]:[24.00]],0,$X$1+3),raw[Source.Name],$A$136,raw[LOKASI],"PLTU REMBANG #20"),0)</f>
        <v>200</v>
      </c>
      <c r="F102">
        <f>IFERROR(SUMIFS(INDEX(raw[[00.30]:[24.00]],0,$X$1+4),raw[Source.Name],$A$136,raw[LOKASI],"PLTU REMBANG #20"),0)</f>
        <v>200</v>
      </c>
      <c r="G102">
        <f>IFERROR(SUMIFS(INDEX(raw[[00.30]:[24.00]],0,$X$1+5),raw[Source.Name],$A$136,raw[LOKASI],"PLTU REMBANG #20"),0)</f>
        <v>200</v>
      </c>
      <c r="H102">
        <f>IFERROR(SUMIFS(INDEX(raw[[00.30]:[24.00]],0,$X$1+6),raw[Source.Name],$A$136,raw[LOKASI],"PLTU REMBANG #20"),0)</f>
        <v>200</v>
      </c>
      <c r="I102">
        <f>IFERROR(SUMIFS(INDEX(raw[[00.30]:[24.00]],0,$X$1+7),raw[Source.Name],$A$136,raw[LOKASI],"PLTU REMBANG #20"),0)</f>
        <v>200</v>
      </c>
      <c r="J102">
        <f>IFERROR(SUMIFS(INDEX(raw[[00.30]:[24.00]],0,$X$1+8),raw[Source.Name],$A$136,raw[LOKASI],"PLTU REMBANG #20"),0)</f>
        <v>200</v>
      </c>
      <c r="K102">
        <f>IFERROR(SUMIFS(INDEX(raw[[00.30]:[24.00]],0,$X$1+9),raw[Source.Name],$A$136,raw[LOKASI],"PLTU REMBANG #20"),0)</f>
        <v>200</v>
      </c>
      <c r="L102">
        <f>IFERROR(SUMIFS(INDEX(raw[[00.30]:[24.00]],0,$X$1+10),raw[Source.Name],$A$136,raw[LOKASI],"PLTU REMBANG #20"),0)</f>
        <v>200</v>
      </c>
      <c r="M102">
        <f>IFERROR(SUMIFS(INDEX(raw[[00.30]:[24.00]],0,$X$1+11),raw[Source.Name],$A$136,raw[LOKASI],"PLTU REMBANG #20"),0)</f>
        <v>200</v>
      </c>
      <c r="N102">
        <f>IFERROR(SUMIFS(INDEX(raw[[00.30]:[24.00]],0,$X$1+12),raw[Source.Name],$A$136,raw[LOKASI],"PLTU REMBANG #20"),0)</f>
        <v>250</v>
      </c>
      <c r="O102">
        <f>IFERROR(SUMIFS(INDEX(raw[[00.30]:[24.00]],0,$X$1+13),raw[Source.Name],$A$136,raw[LOKASI],"PLTU REMBANG #20"),0)</f>
        <v>250</v>
      </c>
      <c r="P102">
        <f>IFERROR(SUMIFS(INDEX(raw[[00.30]:[24.00]],0,$X$1+14),raw[Source.Name],$A$136,raw[LOKASI],"PLTU REMBANG #20"),0)</f>
        <v>250</v>
      </c>
      <c r="Q102">
        <f>IFERROR(SUMIFS(INDEX(raw[[00.30]:[24.00]],0,$X$1+15),raw[Source.Name],$A$136,raw[LOKASI],"PLTU REMBANG #20"),0)</f>
        <v>250</v>
      </c>
      <c r="R102">
        <f>IFERROR(SUMIFS(INDEX(raw[[00.30]:[24.00]],0,$X$1+16),raw[Source.Name],$A$136,raw[LOKASI],"PLTU REMBANG #20"),0)</f>
        <v>250</v>
      </c>
      <c r="S102">
        <f>IFERROR(SUMIFS(INDEX(raw[[00.30]:[24.00]],0,$X$1+17),raw[Source.Name],$A$136,raw[LOKASI],"PLTU REMBANG #20"),0)</f>
        <v>250</v>
      </c>
      <c r="T102">
        <f>IFERROR(SUMIFS(INDEX(raw[[00.30]:[24.00]],0,$X$1+18),raw[Source.Name],$A$136,raw[LOKASI],"PLTU REMBANG #20"),0)</f>
        <v>250</v>
      </c>
      <c r="U102">
        <f>IFERROR(SUMIFS(INDEX(raw[[00.30]:[24.00]],0,$X$1+19),raw[Source.Name],$A$136,raw[LOKASI],"PLTU REMBANG #20"),0)</f>
        <v>250</v>
      </c>
      <c r="V102">
        <f>IFERROR(SUMIFS(INDEX(raw[[00.30]:[24.00]],0,$X$1+20),raw[Source.Name],$A$136,raw[LOKASI],"PLTU REMBANG #20"),0)</f>
        <v>270</v>
      </c>
    </row>
    <row r="103" spans="1:26" x14ac:dyDescent="0.3">
      <c r="A103" t="s">
        <v>178</v>
      </c>
      <c r="B103" s="3">
        <f>IF(VLOOKUP("PLTU REMBANG #20",$A$7:$B$52,2,FALSE),1,0)</f>
        <v>0</v>
      </c>
      <c r="C103">
        <f>IFERROR(SUMIFS(INDEX(raw[[00.30]:[24.00]],0,$X$1+1),raw[Source.Name],$A$136,raw[LOKASI],"PLTU REMBANG #10"),0)</f>
        <v>200</v>
      </c>
      <c r="D103">
        <f>IFERROR(SUMIFS(INDEX(raw[[00.30]:[24.00]],0,$X$1+2),raw[Source.Name],$A$136,raw[LOKASI],"PLTU REMBANG #10"),0)</f>
        <v>200</v>
      </c>
      <c r="E103">
        <f>IFERROR(SUMIFS(INDEX(raw[[00.30]:[24.00]],0,$X$1+3),raw[Source.Name],$A$136,raw[LOKASI],"PLTU REMBANG #10"),0)</f>
        <v>200</v>
      </c>
      <c r="F103">
        <f>IFERROR(SUMIFS(INDEX(raw[[00.30]:[24.00]],0,$X$1+4),raw[Source.Name],$A$136,raw[LOKASI],"PLTU REMBANG #10"),0)</f>
        <v>200</v>
      </c>
      <c r="G103">
        <f>IFERROR(SUMIFS(INDEX(raw[[00.30]:[24.00]],0,$X$1+5),raw[Source.Name],$A$136,raw[LOKASI],"PLTU REMBANG #10"),0)</f>
        <v>200</v>
      </c>
      <c r="H103">
        <f>IFERROR(SUMIFS(INDEX(raw[[00.30]:[24.00]],0,$X$1+6),raw[Source.Name],$A$136,raw[LOKASI],"PLTU REMBANG #10"),0)</f>
        <v>200</v>
      </c>
      <c r="I103">
        <f>IFERROR(SUMIFS(INDEX(raw[[00.30]:[24.00]],0,$X$1+7),raw[Source.Name],$A$136,raw[LOKASI],"PLTU REMBANG #10"),0)</f>
        <v>200</v>
      </c>
      <c r="J103">
        <f>IFERROR(SUMIFS(INDEX(raw[[00.30]:[24.00]],0,$X$1+8),raw[Source.Name],$A$136,raw[LOKASI],"PLTU REMBANG #10"),0)</f>
        <v>200</v>
      </c>
      <c r="K103">
        <f>IFERROR(SUMIFS(INDEX(raw[[00.30]:[24.00]],0,$X$1+9),raw[Source.Name],$A$136,raw[LOKASI],"PLTU REMBANG #10"),0)</f>
        <v>200</v>
      </c>
      <c r="L103">
        <f>IFERROR(SUMIFS(INDEX(raw[[00.30]:[24.00]],0,$X$1+10),raw[Source.Name],$A$136,raw[LOKASI],"PLTU REMBANG #10"),0)</f>
        <v>200</v>
      </c>
      <c r="M103">
        <f>IFERROR(SUMIFS(INDEX(raw[[00.30]:[24.00]],0,$X$1+11),raw[Source.Name],$A$136,raw[LOKASI],"PLTU REMBANG #10"),0)</f>
        <v>200</v>
      </c>
      <c r="N103">
        <f>IFERROR(SUMIFS(INDEX(raw[[00.30]:[24.00]],0,$X$1+12),raw[Source.Name],$A$136,raw[LOKASI],"PLTU REMBANG #10"),0)</f>
        <v>250</v>
      </c>
      <c r="O103">
        <f>IFERROR(SUMIFS(INDEX(raw[[00.30]:[24.00]],0,$X$1+13),raw[Source.Name],$A$136,raw[LOKASI],"PLTU REMBANG #10"),0)</f>
        <v>250</v>
      </c>
      <c r="P103">
        <f>IFERROR(SUMIFS(INDEX(raw[[00.30]:[24.00]],0,$X$1+14),raw[Source.Name],$A$136,raw[LOKASI],"PLTU REMBANG #10"),0)</f>
        <v>250</v>
      </c>
      <c r="Q103">
        <f>IFERROR(SUMIFS(INDEX(raw[[00.30]:[24.00]],0,$X$1+15),raw[Source.Name],$A$136,raw[LOKASI],"PLTU REMBANG #10"),0)</f>
        <v>250</v>
      </c>
      <c r="R103">
        <f>IFERROR(SUMIFS(INDEX(raw[[00.30]:[24.00]],0,$X$1+16),raw[Source.Name],$A$136,raw[LOKASI],"PLTU REMBANG #10"),0)</f>
        <v>250</v>
      </c>
      <c r="S103">
        <f>IFERROR(SUMIFS(INDEX(raw[[00.30]:[24.00]],0,$X$1+17),raw[Source.Name],$A$136,raw[LOKASI],"PLTU REMBANG #10"),0)</f>
        <v>250</v>
      </c>
      <c r="T103">
        <f>IFERROR(SUMIFS(INDEX(raw[[00.30]:[24.00]],0,$X$1+18),raw[Source.Name],$A$136,raw[LOKASI],"PLTU REMBANG #10"),0)</f>
        <v>250</v>
      </c>
      <c r="U103">
        <f>IFERROR(SUMIFS(INDEX(raw[[00.30]:[24.00]],0,$X$1+19),raw[Source.Name],$A$136,raw[LOKASI],"PLTU REMBANG #10"),0)</f>
        <v>250</v>
      </c>
      <c r="V103">
        <f>IFERROR(SUMIFS(INDEX(raw[[00.30]:[24.00]],0,$X$1+20),raw[Source.Name],$A$136,raw[LOKASI],"PLTU REMBANG #10"),0)</f>
        <v>270</v>
      </c>
    </row>
    <row r="104" spans="1:26" x14ac:dyDescent="0.3">
      <c r="A104" t="s">
        <v>179</v>
      </c>
      <c r="B104" s="3">
        <f>IF(VLOOKUP("PLTU IPP CIREBON #1",$A$7:$B$52,2,FALSE),1,0)</f>
        <v>1</v>
      </c>
      <c r="C104">
        <f>IFERROR(SUMIFS(INDEX(raw[[00.30]:[24.00]],0,$X$1+1),raw[Source.Name],$A$136,raw[LOKASI],"PLTU IPP CIREBON #1"),0)</f>
        <v>646.79999999999995</v>
      </c>
      <c r="D104">
        <f>IFERROR(SUMIFS(INDEX(raw[[00.30]:[24.00]],0,$X$1+2),raw[Source.Name],$A$136,raw[LOKASI],"PLTU IPP CIREBON #1"),0)</f>
        <v>646.79999999999995</v>
      </c>
      <c r="E104">
        <f>IFERROR(SUMIFS(INDEX(raw[[00.30]:[24.00]],0,$X$1+3),raw[Source.Name],$A$136,raw[LOKASI],"PLTU IPP CIREBON #1"),0)</f>
        <v>646.79999999999995</v>
      </c>
      <c r="F104">
        <f>IFERROR(SUMIFS(INDEX(raw[[00.30]:[24.00]],0,$X$1+4),raw[Source.Name],$A$136,raw[LOKASI],"PLTU IPP CIREBON #1"),0)</f>
        <v>646.79999999999995</v>
      </c>
      <c r="G104">
        <f>IFERROR(SUMIFS(INDEX(raw[[00.30]:[24.00]],0,$X$1+5),raw[Source.Name],$A$136,raw[LOKASI],"PLTU IPP CIREBON #1"),0)</f>
        <v>646.79999999999995</v>
      </c>
      <c r="H104">
        <f>IFERROR(SUMIFS(INDEX(raw[[00.30]:[24.00]],0,$X$1+6),raw[Source.Name],$A$136,raw[LOKASI],"PLTU IPP CIREBON #1"),0)</f>
        <v>646.79999999999995</v>
      </c>
      <c r="I104">
        <f>IFERROR(SUMIFS(INDEX(raw[[00.30]:[24.00]],0,$X$1+7),raw[Source.Name],$A$136,raw[LOKASI],"PLTU IPP CIREBON #1"),0)</f>
        <v>646.79999999999995</v>
      </c>
      <c r="J104">
        <f>IFERROR(SUMIFS(INDEX(raw[[00.30]:[24.00]],0,$X$1+8),raw[Source.Name],$A$136,raw[LOKASI],"PLTU IPP CIREBON #1"),0)</f>
        <v>646.79999999999995</v>
      </c>
      <c r="K104">
        <f>IFERROR(SUMIFS(INDEX(raw[[00.30]:[24.00]],0,$X$1+9),raw[Source.Name],$A$136,raw[LOKASI],"PLTU IPP CIREBON #1"),0)</f>
        <v>646.79999999999995</v>
      </c>
      <c r="L104">
        <f>IFERROR(SUMIFS(INDEX(raw[[00.30]:[24.00]],0,$X$1+10),raw[Source.Name],$A$136,raw[LOKASI],"PLTU IPP CIREBON #1"),0)</f>
        <v>646.79999999999995</v>
      </c>
      <c r="M104">
        <f>IFERROR(SUMIFS(INDEX(raw[[00.30]:[24.00]],0,$X$1+11),raw[Source.Name],$A$136,raw[LOKASI],"PLTU IPP CIREBON #1"),0)</f>
        <v>646.79999999999995</v>
      </c>
      <c r="N104">
        <f>IFERROR(SUMIFS(INDEX(raw[[00.30]:[24.00]],0,$X$1+12),raw[Source.Name],$A$136,raw[LOKASI],"PLTU IPP CIREBON #1"),0)</f>
        <v>646.79999999999995</v>
      </c>
      <c r="O104">
        <f>IFERROR(SUMIFS(INDEX(raw[[00.30]:[24.00]],0,$X$1+13),raw[Source.Name],$A$136,raw[LOKASI],"PLTU IPP CIREBON #1"),0)</f>
        <v>646.79999999999995</v>
      </c>
      <c r="P104">
        <f>IFERROR(SUMIFS(INDEX(raw[[00.30]:[24.00]],0,$X$1+14),raw[Source.Name],$A$136,raw[LOKASI],"PLTU IPP CIREBON #1"),0)</f>
        <v>646.79999999999995</v>
      </c>
      <c r="Q104">
        <f>IFERROR(SUMIFS(INDEX(raw[[00.30]:[24.00]],0,$X$1+15),raw[Source.Name],$A$136,raw[LOKASI],"PLTU IPP CIREBON #1"),0)</f>
        <v>646.79999999999995</v>
      </c>
      <c r="R104">
        <f>IFERROR(SUMIFS(INDEX(raw[[00.30]:[24.00]],0,$X$1+16),raw[Source.Name],$A$136,raw[LOKASI],"PLTU IPP CIREBON #1"),0)</f>
        <v>646.79999999999995</v>
      </c>
      <c r="S104">
        <f>IFERROR(SUMIFS(INDEX(raw[[00.30]:[24.00]],0,$X$1+17),raw[Source.Name],$A$136,raw[LOKASI],"PLTU IPP CIREBON #1"),0)</f>
        <v>646.79999999999995</v>
      </c>
      <c r="T104">
        <f>IFERROR(SUMIFS(INDEX(raw[[00.30]:[24.00]],0,$X$1+18),raw[Source.Name],$A$136,raw[LOKASI],"PLTU IPP CIREBON #1"),0)</f>
        <v>646.79999999999995</v>
      </c>
      <c r="U104">
        <f>IFERROR(SUMIFS(INDEX(raw[[00.30]:[24.00]],0,$X$1+19),raw[Source.Name],$A$136,raw[LOKASI],"PLTU IPP CIREBON #1"),0)</f>
        <v>646.79999999999995</v>
      </c>
      <c r="V104">
        <f>IFERROR(SUMIFS(INDEX(raw[[00.30]:[24.00]],0,$X$1+20),raw[Source.Name],$A$136,raw[LOKASI],"PLTU IPP CIREBON #1"),0)</f>
        <v>646.79999999999995</v>
      </c>
    </row>
    <row r="105" spans="1:26" x14ac:dyDescent="0.3">
      <c r="A105" t="s">
        <v>180</v>
      </c>
      <c r="B105" s="3">
        <f>IF(VLOOKUP("PLTU INDRAMAYU #1",$A$7:$B$52,2,FALSE),1,0)</f>
        <v>1</v>
      </c>
      <c r="C105">
        <f>IFERROR(SUMIFS(INDEX(raw[[00.30]:[24.00]],0,$X$1+1),raw[Source.Name],$A$136,raw[LOKASI],"PLTU INDRAMAYU #1"),0)</f>
        <v>249.25</v>
      </c>
      <c r="D105">
        <f>IFERROR(SUMIFS(INDEX(raw[[00.30]:[24.00]],0,$X$1+2),raw[Source.Name],$A$136,raw[LOKASI],"PLTU INDRAMAYU #1"),0)</f>
        <v>290</v>
      </c>
      <c r="E105">
        <f>IFERROR(SUMIFS(INDEX(raw[[00.30]:[24.00]],0,$X$1+3),raw[Source.Name],$A$136,raw[LOKASI],"PLTU INDRAMAYU #1"),0)</f>
        <v>290</v>
      </c>
      <c r="F105">
        <f>IFERROR(SUMIFS(INDEX(raw[[00.30]:[24.00]],0,$X$1+4),raw[Source.Name],$A$136,raw[LOKASI],"PLTU INDRAMAYU #1"),0)</f>
        <v>290</v>
      </c>
      <c r="G105">
        <f>IFERROR(SUMIFS(INDEX(raw[[00.30]:[24.00]],0,$X$1+5),raw[Source.Name],$A$136,raw[LOKASI],"PLTU INDRAMAYU #1"),0)</f>
        <v>290</v>
      </c>
      <c r="H105">
        <f>IFERROR(SUMIFS(INDEX(raw[[00.30]:[24.00]],0,$X$1+6),raw[Source.Name],$A$136,raw[LOKASI],"PLTU INDRAMAYU #1"),0)</f>
        <v>290</v>
      </c>
      <c r="I105">
        <f>IFERROR(SUMIFS(INDEX(raw[[00.30]:[24.00]],0,$X$1+7),raw[Source.Name],$A$136,raw[LOKASI],"PLTU INDRAMAYU #1"),0)</f>
        <v>290</v>
      </c>
      <c r="J105">
        <f>IFERROR(SUMIFS(INDEX(raw[[00.30]:[24.00]],0,$X$1+8),raw[Source.Name],$A$136,raw[LOKASI],"PLTU INDRAMAYU #1"),0)</f>
        <v>290</v>
      </c>
      <c r="K105">
        <f>IFERROR(SUMIFS(INDEX(raw[[00.30]:[24.00]],0,$X$1+9),raw[Source.Name],$A$136,raw[LOKASI],"PLTU INDRAMAYU #1"),0)</f>
        <v>290</v>
      </c>
      <c r="L105">
        <f>IFERROR(SUMIFS(INDEX(raw[[00.30]:[24.00]],0,$X$1+10),raw[Source.Name],$A$136,raw[LOKASI],"PLTU INDRAMAYU #1"),0)</f>
        <v>249.25</v>
      </c>
      <c r="M105">
        <f>IFERROR(SUMIFS(INDEX(raw[[00.30]:[24.00]],0,$X$1+11),raw[Source.Name],$A$136,raw[LOKASI],"PLTU INDRAMAYU #1"),0)</f>
        <v>249.25</v>
      </c>
      <c r="N105">
        <f>IFERROR(SUMIFS(INDEX(raw[[00.30]:[24.00]],0,$X$1+12),raw[Source.Name],$A$136,raw[LOKASI],"PLTU INDRAMAYU #1"),0)</f>
        <v>249.25</v>
      </c>
      <c r="O105">
        <f>IFERROR(SUMIFS(INDEX(raw[[00.30]:[24.00]],0,$X$1+13),raw[Source.Name],$A$136,raw[LOKASI],"PLTU INDRAMAYU #1"),0)</f>
        <v>290</v>
      </c>
      <c r="P105">
        <f>IFERROR(SUMIFS(INDEX(raw[[00.30]:[24.00]],0,$X$1+14),raw[Source.Name],$A$136,raw[LOKASI],"PLTU INDRAMAYU #1"),0)</f>
        <v>290</v>
      </c>
      <c r="Q105">
        <f>IFERROR(SUMIFS(INDEX(raw[[00.30]:[24.00]],0,$X$1+15),raw[Source.Name],$A$136,raw[LOKASI],"PLTU INDRAMAYU #1"),0)</f>
        <v>290</v>
      </c>
      <c r="R105">
        <f>IFERROR(SUMIFS(INDEX(raw[[00.30]:[24.00]],0,$X$1+16),raw[Source.Name],$A$136,raw[LOKASI],"PLTU INDRAMAYU #1"),0)</f>
        <v>290</v>
      </c>
      <c r="S105">
        <f>IFERROR(SUMIFS(INDEX(raw[[00.30]:[24.00]],0,$X$1+17),raw[Source.Name],$A$136,raw[LOKASI],"PLTU INDRAMAYU #1"),0)</f>
        <v>290</v>
      </c>
      <c r="T105">
        <f>IFERROR(SUMIFS(INDEX(raw[[00.30]:[24.00]],0,$X$1+18),raw[Source.Name],$A$136,raw[LOKASI],"PLTU INDRAMAYU #1"),0)</f>
        <v>290</v>
      </c>
      <c r="U105">
        <f>IFERROR(SUMIFS(INDEX(raw[[00.30]:[24.00]],0,$X$1+19),raw[Source.Name],$A$136,raw[LOKASI],"PLTU INDRAMAYU #1"),0)</f>
        <v>290</v>
      </c>
      <c r="V105">
        <f>IFERROR(SUMIFS(INDEX(raw[[00.30]:[24.00]],0,$X$1+20),raw[Source.Name],$A$136,raw[LOKASI],"PLTU INDRAMAYU #1"),0)</f>
        <v>290</v>
      </c>
    </row>
    <row r="106" spans="1:26" x14ac:dyDescent="0.3">
      <c r="A106" t="s">
        <v>181</v>
      </c>
      <c r="B106" s="3">
        <f>IF(VLOOKUP("PLTU INDRAMAYU #2",$A$7:$B$52,2,FALSE),1,0)</f>
        <v>1</v>
      </c>
      <c r="C106">
        <f>IFERROR(SUMIFS(INDEX(raw[[00.30]:[24.00]],0,$X$1+1),raw[Source.Name],$A$136,raw[LOKASI],"PLTU INDRAMAYU #2"),0)</f>
        <v>249.25</v>
      </c>
      <c r="D106">
        <f>IFERROR(SUMIFS(INDEX(raw[[00.30]:[24.00]],0,$X$1+2),raw[Source.Name],$A$136,raw[LOKASI],"PLTU INDRAMAYU #2"),0)</f>
        <v>290</v>
      </c>
      <c r="E106">
        <f>IFERROR(SUMIFS(INDEX(raw[[00.30]:[24.00]],0,$X$1+3),raw[Source.Name],$A$136,raw[LOKASI],"PLTU INDRAMAYU #2"),0)</f>
        <v>290</v>
      </c>
      <c r="F106">
        <f>IFERROR(SUMIFS(INDEX(raw[[00.30]:[24.00]],0,$X$1+4),raw[Source.Name],$A$136,raw[LOKASI],"PLTU INDRAMAYU #2"),0)</f>
        <v>290</v>
      </c>
      <c r="G106">
        <f>IFERROR(SUMIFS(INDEX(raw[[00.30]:[24.00]],0,$X$1+5),raw[Source.Name],$A$136,raw[LOKASI],"PLTU INDRAMAYU #2"),0)</f>
        <v>290</v>
      </c>
      <c r="H106">
        <f>IFERROR(SUMIFS(INDEX(raw[[00.30]:[24.00]],0,$X$1+6),raw[Source.Name],$A$136,raw[LOKASI],"PLTU INDRAMAYU #2"),0)</f>
        <v>290</v>
      </c>
      <c r="I106">
        <f>IFERROR(SUMIFS(INDEX(raw[[00.30]:[24.00]],0,$X$1+7),raw[Source.Name],$A$136,raw[LOKASI],"PLTU INDRAMAYU #2"),0)</f>
        <v>290</v>
      </c>
      <c r="J106">
        <f>IFERROR(SUMIFS(INDEX(raw[[00.30]:[24.00]],0,$X$1+8),raw[Source.Name],$A$136,raw[LOKASI],"PLTU INDRAMAYU #2"),0)</f>
        <v>290</v>
      </c>
      <c r="K106">
        <f>IFERROR(SUMIFS(INDEX(raw[[00.30]:[24.00]],0,$X$1+9),raw[Source.Name],$A$136,raw[LOKASI],"PLTU INDRAMAYU #2"),0)</f>
        <v>290</v>
      </c>
      <c r="L106">
        <f>IFERROR(SUMIFS(INDEX(raw[[00.30]:[24.00]],0,$X$1+10),raw[Source.Name],$A$136,raw[LOKASI],"PLTU INDRAMAYU #2"),0)</f>
        <v>249.25</v>
      </c>
      <c r="M106">
        <f>IFERROR(SUMIFS(INDEX(raw[[00.30]:[24.00]],0,$X$1+11),raw[Source.Name],$A$136,raw[LOKASI],"PLTU INDRAMAYU #2"),0)</f>
        <v>249.25</v>
      </c>
      <c r="N106">
        <f>IFERROR(SUMIFS(INDEX(raw[[00.30]:[24.00]],0,$X$1+12),raw[Source.Name],$A$136,raw[LOKASI],"PLTU INDRAMAYU #2"),0)</f>
        <v>249.25</v>
      </c>
      <c r="O106">
        <f>IFERROR(SUMIFS(INDEX(raw[[00.30]:[24.00]],0,$X$1+13),raw[Source.Name],$A$136,raw[LOKASI],"PLTU INDRAMAYU #2"),0)</f>
        <v>290</v>
      </c>
      <c r="P106">
        <f>IFERROR(SUMIFS(INDEX(raw[[00.30]:[24.00]],0,$X$1+14),raw[Source.Name],$A$136,raw[LOKASI],"PLTU INDRAMAYU #2"),0)</f>
        <v>290</v>
      </c>
      <c r="Q106">
        <f>IFERROR(SUMIFS(INDEX(raw[[00.30]:[24.00]],0,$X$1+15),raw[Source.Name],$A$136,raw[LOKASI],"PLTU INDRAMAYU #2"),0)</f>
        <v>290</v>
      </c>
      <c r="R106">
        <f>IFERROR(SUMIFS(INDEX(raw[[00.30]:[24.00]],0,$X$1+16),raw[Source.Name],$A$136,raw[LOKASI],"PLTU INDRAMAYU #2"),0)</f>
        <v>290</v>
      </c>
      <c r="S106">
        <f>IFERROR(SUMIFS(INDEX(raw[[00.30]:[24.00]],0,$X$1+17),raw[Source.Name],$A$136,raw[LOKASI],"PLTU INDRAMAYU #2"),0)</f>
        <v>290</v>
      </c>
      <c r="T106">
        <f>IFERROR(SUMIFS(INDEX(raw[[00.30]:[24.00]],0,$X$1+18),raw[Source.Name],$A$136,raw[LOKASI],"PLTU INDRAMAYU #2"),0)</f>
        <v>290</v>
      </c>
      <c r="U106">
        <f>IFERROR(SUMIFS(INDEX(raw[[00.30]:[24.00]],0,$X$1+19),raw[Source.Name],$A$136,raw[LOKASI],"PLTU INDRAMAYU #2"),0)</f>
        <v>290</v>
      </c>
      <c r="V106">
        <f>IFERROR(SUMIFS(INDEX(raw[[00.30]:[24.00]],0,$X$1+20),raw[Source.Name],$A$136,raw[LOKASI],"PLTU INDRAMAYU #2"),0)</f>
        <v>290</v>
      </c>
    </row>
    <row r="107" spans="1:26" x14ac:dyDescent="0.3">
      <c r="A107" t="s">
        <v>182</v>
      </c>
      <c r="B107" s="3">
        <f>IF(VLOOKUP("PLTU INDRAMAYU #3",$A$7:$B$52,2,FALSE),1,0)</f>
        <v>1</v>
      </c>
      <c r="C107">
        <f>IFERROR(SUMIFS(INDEX(raw[[00.30]:[24.00]],0,$X$1+1),raw[Source.Name],$A$136,raw[LOKASI],"PLTU INDRAMAYU #3"),0)</f>
        <v>249.25</v>
      </c>
      <c r="D107">
        <f>IFERROR(SUMIFS(INDEX(raw[[00.30]:[24.00]],0,$X$1+2),raw[Source.Name],$A$136,raw[LOKASI],"PLTU INDRAMAYU #3"),0)</f>
        <v>290</v>
      </c>
      <c r="E107">
        <f>IFERROR(SUMIFS(INDEX(raw[[00.30]:[24.00]],0,$X$1+3),raw[Source.Name],$A$136,raw[LOKASI],"PLTU INDRAMAYU #3"),0)</f>
        <v>290</v>
      </c>
      <c r="F107">
        <f>IFERROR(SUMIFS(INDEX(raw[[00.30]:[24.00]],0,$X$1+4),raw[Source.Name],$A$136,raw[LOKASI],"PLTU INDRAMAYU #3"),0)</f>
        <v>290</v>
      </c>
      <c r="G107">
        <f>IFERROR(SUMIFS(INDEX(raw[[00.30]:[24.00]],0,$X$1+5),raw[Source.Name],$A$136,raw[LOKASI],"PLTU INDRAMAYU #3"),0)</f>
        <v>290</v>
      </c>
      <c r="H107">
        <f>IFERROR(SUMIFS(INDEX(raw[[00.30]:[24.00]],0,$X$1+6),raw[Source.Name],$A$136,raw[LOKASI],"PLTU INDRAMAYU #3"),0)</f>
        <v>290</v>
      </c>
      <c r="I107">
        <f>IFERROR(SUMIFS(INDEX(raw[[00.30]:[24.00]],0,$X$1+7),raw[Source.Name],$A$136,raw[LOKASI],"PLTU INDRAMAYU #3"),0)</f>
        <v>290</v>
      </c>
      <c r="J107">
        <f>IFERROR(SUMIFS(INDEX(raw[[00.30]:[24.00]],0,$X$1+8),raw[Source.Name],$A$136,raw[LOKASI],"PLTU INDRAMAYU #3"),0)</f>
        <v>290</v>
      </c>
      <c r="K107">
        <f>IFERROR(SUMIFS(INDEX(raw[[00.30]:[24.00]],0,$X$1+9),raw[Source.Name],$A$136,raw[LOKASI],"PLTU INDRAMAYU #3"),0)</f>
        <v>290</v>
      </c>
      <c r="L107">
        <f>IFERROR(SUMIFS(INDEX(raw[[00.30]:[24.00]],0,$X$1+10),raw[Source.Name],$A$136,raw[LOKASI],"PLTU INDRAMAYU #3"),0)</f>
        <v>249.25</v>
      </c>
      <c r="M107">
        <f>IFERROR(SUMIFS(INDEX(raw[[00.30]:[24.00]],0,$X$1+11),raw[Source.Name],$A$136,raw[LOKASI],"PLTU INDRAMAYU #3"),0)</f>
        <v>249.25</v>
      </c>
      <c r="N107">
        <f>IFERROR(SUMIFS(INDEX(raw[[00.30]:[24.00]],0,$X$1+12),raw[Source.Name],$A$136,raw[LOKASI],"PLTU INDRAMAYU #3"),0)</f>
        <v>249.25</v>
      </c>
      <c r="O107">
        <f>IFERROR(SUMIFS(INDEX(raw[[00.30]:[24.00]],0,$X$1+13),raw[Source.Name],$A$136,raw[LOKASI],"PLTU INDRAMAYU #3"),0)</f>
        <v>290</v>
      </c>
      <c r="P107">
        <f>IFERROR(SUMIFS(INDEX(raw[[00.30]:[24.00]],0,$X$1+14),raw[Source.Name],$A$136,raw[LOKASI],"PLTU INDRAMAYU #3"),0)</f>
        <v>290</v>
      </c>
      <c r="Q107">
        <f>IFERROR(SUMIFS(INDEX(raw[[00.30]:[24.00]],0,$X$1+15),raw[Source.Name],$A$136,raw[LOKASI],"PLTU INDRAMAYU #3"),0)</f>
        <v>290</v>
      </c>
      <c r="R107">
        <f>IFERROR(SUMIFS(INDEX(raw[[00.30]:[24.00]],0,$X$1+16),raw[Source.Name],$A$136,raw[LOKASI],"PLTU INDRAMAYU #3"),0)</f>
        <v>290</v>
      </c>
      <c r="S107">
        <f>IFERROR(SUMIFS(INDEX(raw[[00.30]:[24.00]],0,$X$1+17),raw[Source.Name],$A$136,raw[LOKASI],"PLTU INDRAMAYU #3"),0)</f>
        <v>290</v>
      </c>
      <c r="T107">
        <f>IFERROR(SUMIFS(INDEX(raw[[00.30]:[24.00]],0,$X$1+18),raw[Source.Name],$A$136,raw[LOKASI],"PLTU INDRAMAYU #3"),0)</f>
        <v>290</v>
      </c>
      <c r="U107">
        <f>IFERROR(SUMIFS(INDEX(raw[[00.30]:[24.00]],0,$X$1+19),raw[Source.Name],$A$136,raw[LOKASI],"PLTU INDRAMAYU #3"),0)</f>
        <v>290</v>
      </c>
      <c r="V107">
        <f>IFERROR(SUMIFS(INDEX(raw[[00.30]:[24.00]],0,$X$1+20),raw[Source.Name],$A$136,raw[LOKASI],"PLTU INDRAMAYU #3"),0)</f>
        <v>290</v>
      </c>
    </row>
    <row r="108" spans="1:26" x14ac:dyDescent="0.3">
      <c r="A108" t="s">
        <v>183</v>
      </c>
      <c r="B108" s="3" t="e">
        <f>IF(VLOOKUP(A108,$A$7:$B$52,2,FALSE),1,0)</f>
        <v>#N/A</v>
      </c>
      <c r="C108">
        <f>IFERROR(SUMIFS(INDEX(raw[[00.30]:[24.00]],0,$X$1+1),raw[Source.Name],$A$136,raw[LOKASI],"PLTU SRLYA #1"),0)</f>
        <v>362.4</v>
      </c>
      <c r="D108">
        <f>IFERROR(SUMIFS(INDEX(raw[[00.30]:[24.00]],0,$X$1+2),raw[Source.Name],$A$136,raw[LOKASI],"PLTU SRLYA #1"),0)</f>
        <v>320</v>
      </c>
      <c r="E108">
        <f>IFERROR(SUMIFS(INDEX(raw[[00.30]:[24.00]],0,$X$1+3),raw[Source.Name],$A$136,raw[LOKASI],"PLTU SRLYA #1"),0)</f>
        <v>320</v>
      </c>
      <c r="F108">
        <f>IFERROR(SUMIFS(INDEX(raw[[00.30]:[24.00]],0,$X$1+4),raw[Source.Name],$A$136,raw[LOKASI],"PLTU SRLYA #1"),0)</f>
        <v>362.6</v>
      </c>
      <c r="G108">
        <f>IFERROR(SUMIFS(INDEX(raw[[00.30]:[24.00]],0,$X$1+5),raw[Source.Name],$A$136,raw[LOKASI],"PLTU SRLYA #1"),0)</f>
        <v>362.6</v>
      </c>
      <c r="H108">
        <f>IFERROR(SUMIFS(INDEX(raw[[00.30]:[24.00]],0,$X$1+6),raw[Source.Name],$A$136,raw[LOKASI],"PLTU SRLYA #1"),0)</f>
        <v>362.6</v>
      </c>
      <c r="I108">
        <f>IFERROR(SUMIFS(INDEX(raw[[00.30]:[24.00]],0,$X$1+7),raw[Source.Name],$A$136,raw[LOKASI],"PLTU SRLYA #1"),0)</f>
        <v>362.6</v>
      </c>
      <c r="J108">
        <f>IFERROR(SUMIFS(INDEX(raw[[00.30]:[24.00]],0,$X$1+8),raw[Source.Name],$A$136,raw[LOKASI],"PLTU SRLYA #1"),0)</f>
        <v>362.6</v>
      </c>
      <c r="K108">
        <f>IFERROR(SUMIFS(INDEX(raw[[00.30]:[24.00]],0,$X$1+9),raw[Source.Name],$A$136,raw[LOKASI],"PLTU SRLYA #1"),0)</f>
        <v>362.6</v>
      </c>
      <c r="L108">
        <f>IFERROR(SUMIFS(INDEX(raw[[00.30]:[24.00]],0,$X$1+10),raw[Source.Name],$A$136,raw[LOKASI],"PLTU SRLYA #1"),0)</f>
        <v>362.6</v>
      </c>
      <c r="M108">
        <f>IFERROR(SUMIFS(INDEX(raw[[00.30]:[24.00]],0,$X$1+11),raw[Source.Name],$A$136,raw[LOKASI],"PLTU SRLYA #1"),0)</f>
        <v>362.6</v>
      </c>
      <c r="N108">
        <f>IFERROR(SUMIFS(INDEX(raw[[00.30]:[24.00]],0,$X$1+12),raw[Source.Name],$A$136,raw[LOKASI],"PLTU SRLYA #1"),0)</f>
        <v>362.6</v>
      </c>
      <c r="O108">
        <f>IFERROR(SUMIFS(INDEX(raw[[00.30]:[24.00]],0,$X$1+13),raw[Source.Name],$A$136,raw[LOKASI],"PLTU SRLYA #1"),0)</f>
        <v>362.6</v>
      </c>
      <c r="P108">
        <f>IFERROR(SUMIFS(INDEX(raw[[00.30]:[24.00]],0,$X$1+14),raw[Source.Name],$A$136,raw[LOKASI],"PLTU SRLYA #1"),0)</f>
        <v>362.6</v>
      </c>
      <c r="Q108">
        <f>IFERROR(SUMIFS(INDEX(raw[[00.30]:[24.00]],0,$X$1+15),raw[Source.Name],$A$136,raw[LOKASI],"PLTU SRLYA #1"),0)</f>
        <v>362.6</v>
      </c>
      <c r="R108">
        <f>IFERROR(SUMIFS(INDEX(raw[[00.30]:[24.00]],0,$X$1+16),raw[Source.Name],$A$136,raw[LOKASI],"PLTU SRLYA #1"),0)</f>
        <v>362.6</v>
      </c>
      <c r="S108">
        <f>IFERROR(SUMIFS(INDEX(raw[[00.30]:[24.00]],0,$X$1+17),raw[Source.Name],$A$136,raw[LOKASI],"PLTU SRLYA #1"),0)</f>
        <v>362.6</v>
      </c>
      <c r="T108">
        <f>IFERROR(SUMIFS(INDEX(raw[[00.30]:[24.00]],0,$X$1+18),raw[Source.Name],$A$136,raw[LOKASI],"PLTU SRLYA #1"),0)</f>
        <v>362.6</v>
      </c>
      <c r="U108">
        <f>IFERROR(SUMIFS(INDEX(raw[[00.30]:[24.00]],0,$X$1+19),raw[Source.Name],$A$136,raw[LOKASI],"PLTU SRLYA #1"),0)</f>
        <v>362.6</v>
      </c>
      <c r="V108">
        <f>IFERROR(SUMIFS(INDEX(raw[[00.30]:[24.00]],0,$X$1+20),raw[Source.Name],$A$136,raw[LOKASI],"PLTU SRLYA #1"),0)</f>
        <v>362.6</v>
      </c>
    </row>
    <row r="109" spans="1:26" x14ac:dyDescent="0.3">
      <c r="A109" t="s">
        <v>184</v>
      </c>
      <c r="B109" s="3" t="e">
        <f>IF(VLOOKUP(A109,$A$7:$B$52,2,FALSE),1,0)</f>
        <v>#N/A</v>
      </c>
      <c r="C109">
        <f>IFERROR(SUMIFS(INDEX(raw[[00.30]:[24.00]],0,$X$1+1),raw[Source.Name],$A$136,raw[LOKASI],"PLTU SRLYA #2"),0)</f>
        <v>362.6</v>
      </c>
      <c r="D109">
        <f>IFERROR(SUMIFS(INDEX(raw[[00.30]:[24.00]],0,$X$1+2),raw[Source.Name],$A$136,raw[LOKASI],"PLTU SRLYA #2"),0)</f>
        <v>323.5</v>
      </c>
      <c r="E109">
        <f>IFERROR(SUMIFS(INDEX(raw[[00.30]:[24.00]],0,$X$1+3),raw[Source.Name],$A$136,raw[LOKASI],"PLTU SRLYA #2"),0)</f>
        <v>323.5</v>
      </c>
      <c r="F109">
        <f>IFERROR(SUMIFS(INDEX(raw[[00.30]:[24.00]],0,$X$1+4),raw[Source.Name],$A$136,raw[LOKASI],"PLTU SRLYA #2"),0)</f>
        <v>362.6</v>
      </c>
      <c r="G109">
        <f>IFERROR(SUMIFS(INDEX(raw[[00.30]:[24.00]],0,$X$1+5),raw[Source.Name],$A$136,raw[LOKASI],"PLTU SRLYA #2"),0)</f>
        <v>362.6</v>
      </c>
      <c r="H109">
        <f>IFERROR(SUMIFS(INDEX(raw[[00.30]:[24.00]],0,$X$1+6),raw[Source.Name],$A$136,raw[LOKASI],"PLTU SRLYA #2"),0)</f>
        <v>362.6</v>
      </c>
      <c r="I109">
        <f>IFERROR(SUMIFS(INDEX(raw[[00.30]:[24.00]],0,$X$1+7),raw[Source.Name],$A$136,raw[LOKASI],"PLTU SRLYA #2"),0)</f>
        <v>362.6</v>
      </c>
      <c r="J109">
        <f>IFERROR(SUMIFS(INDEX(raw[[00.30]:[24.00]],0,$X$1+8),raw[Source.Name],$A$136,raw[LOKASI],"PLTU SRLYA #2"),0)</f>
        <v>362.6</v>
      </c>
      <c r="K109">
        <f>IFERROR(SUMIFS(INDEX(raw[[00.30]:[24.00]],0,$X$1+9),raw[Source.Name],$A$136,raw[LOKASI],"PLTU SRLYA #2"),0)</f>
        <v>362.6</v>
      </c>
      <c r="L109">
        <f>IFERROR(SUMIFS(INDEX(raw[[00.30]:[24.00]],0,$X$1+10),raw[Source.Name],$A$136,raw[LOKASI],"PLTU SRLYA #2"),0)</f>
        <v>362.6</v>
      </c>
      <c r="M109">
        <f>IFERROR(SUMIFS(INDEX(raw[[00.30]:[24.00]],0,$X$1+11),raw[Source.Name],$A$136,raw[LOKASI],"PLTU SRLYA #2"),0)</f>
        <v>362.6</v>
      </c>
      <c r="N109">
        <f>IFERROR(SUMIFS(INDEX(raw[[00.30]:[24.00]],0,$X$1+12),raw[Source.Name],$A$136,raw[LOKASI],"PLTU SRLYA #2"),0)</f>
        <v>339.4</v>
      </c>
      <c r="O109">
        <f>IFERROR(SUMIFS(INDEX(raw[[00.30]:[24.00]],0,$X$1+13),raw[Source.Name],$A$136,raw[LOKASI],"PLTU SRLYA #2"),0)</f>
        <v>339.4</v>
      </c>
      <c r="P109">
        <f>IFERROR(SUMIFS(INDEX(raw[[00.30]:[24.00]],0,$X$1+14),raw[Source.Name],$A$136,raw[LOKASI],"PLTU SRLYA #2"),0)</f>
        <v>339.4</v>
      </c>
      <c r="Q109">
        <f>IFERROR(SUMIFS(INDEX(raw[[00.30]:[24.00]],0,$X$1+15),raw[Source.Name],$A$136,raw[LOKASI],"PLTU SRLYA #2"),0)</f>
        <v>339.4</v>
      </c>
      <c r="R109">
        <f>IFERROR(SUMIFS(INDEX(raw[[00.30]:[24.00]],0,$X$1+16),raw[Source.Name],$A$136,raw[LOKASI],"PLTU SRLYA #2"),0)</f>
        <v>339.4</v>
      </c>
      <c r="S109">
        <f>IFERROR(SUMIFS(INDEX(raw[[00.30]:[24.00]],0,$X$1+17),raw[Source.Name],$A$136,raw[LOKASI],"PLTU SRLYA #2"),0)</f>
        <v>339.4</v>
      </c>
      <c r="T109">
        <f>IFERROR(SUMIFS(INDEX(raw[[00.30]:[24.00]],0,$X$1+18),raw[Source.Name],$A$136,raw[LOKASI],"PLTU SRLYA #2"),0)</f>
        <v>339.4</v>
      </c>
      <c r="U109">
        <f>IFERROR(SUMIFS(INDEX(raw[[00.30]:[24.00]],0,$X$1+19),raw[Source.Name],$A$136,raw[LOKASI],"PLTU SRLYA #2"),0)</f>
        <v>339.4</v>
      </c>
      <c r="V109">
        <f>IFERROR(SUMIFS(INDEX(raw[[00.30]:[24.00]],0,$X$1+20),raw[Source.Name],$A$136,raw[LOKASI],"PLTU SRLYA #2"),0)</f>
        <v>339.4</v>
      </c>
    </row>
    <row r="110" spans="1:26" x14ac:dyDescent="0.3">
      <c r="A110" t="s">
        <v>185</v>
      </c>
      <c r="B110" s="3" t="e">
        <f>IF(VLOOKUP(A110,$A$7:$B$52,2,FALSE),1,0)</f>
        <v>#N/A</v>
      </c>
      <c r="C110">
        <f>IFERROR(SUMIFS(INDEX(raw[[00.30]:[24.00]],0,$X$1+1),raw[Source.Name],$A$136,raw[LOKASI],"PLTU SRLYA #3"),0)</f>
        <v>185</v>
      </c>
      <c r="D110">
        <f>IFERROR(SUMIFS(INDEX(raw[[00.30]:[24.00]],0,$X$1+2),raw[Source.Name],$A$136,raw[LOKASI],"PLTU SRLYA #3"),0)</f>
        <v>185</v>
      </c>
      <c r="E110">
        <f>IFERROR(SUMIFS(INDEX(raw[[00.30]:[24.00]],0,$X$1+3),raw[Source.Name],$A$136,raw[LOKASI],"PLTU SRLYA #3"),0)</f>
        <v>185</v>
      </c>
      <c r="F110">
        <f>IFERROR(SUMIFS(INDEX(raw[[00.30]:[24.00]],0,$X$1+4),raw[Source.Name],$A$136,raw[LOKASI],"PLTU SRLYA #3"),0)</f>
        <v>185</v>
      </c>
      <c r="G110">
        <f>IFERROR(SUMIFS(INDEX(raw[[00.30]:[24.00]],0,$X$1+5),raw[Source.Name],$A$136,raw[LOKASI],"PLTU SRLYA #3"),0)</f>
        <v>185</v>
      </c>
      <c r="H110">
        <f>IFERROR(SUMIFS(INDEX(raw[[00.30]:[24.00]],0,$X$1+6),raw[Source.Name],$A$136,raw[LOKASI],"PLTU SRLYA #3"),0)</f>
        <v>185</v>
      </c>
      <c r="I110">
        <f>IFERROR(SUMIFS(INDEX(raw[[00.30]:[24.00]],0,$X$1+7),raw[Source.Name],$A$136,raw[LOKASI],"PLTU SRLYA #3"),0)</f>
        <v>185</v>
      </c>
      <c r="J110">
        <f>IFERROR(SUMIFS(INDEX(raw[[00.30]:[24.00]],0,$X$1+8),raw[Source.Name],$A$136,raw[LOKASI],"PLTU SRLYA #3"),0)</f>
        <v>185</v>
      </c>
      <c r="K110">
        <f>IFERROR(SUMIFS(INDEX(raw[[00.30]:[24.00]],0,$X$1+9),raw[Source.Name],$A$136,raw[LOKASI],"PLTU SRLYA #3"),0)</f>
        <v>185</v>
      </c>
      <c r="L110">
        <f>IFERROR(SUMIFS(INDEX(raw[[00.30]:[24.00]],0,$X$1+10),raw[Source.Name],$A$136,raw[LOKASI],"PLTU SRLYA #3"),0)</f>
        <v>185</v>
      </c>
      <c r="M110">
        <f>IFERROR(SUMIFS(INDEX(raw[[00.30]:[24.00]],0,$X$1+11),raw[Source.Name],$A$136,raw[LOKASI],"PLTU SRLYA #3"),0)</f>
        <v>185</v>
      </c>
      <c r="N110">
        <f>IFERROR(SUMIFS(INDEX(raw[[00.30]:[24.00]],0,$X$1+12),raw[Source.Name],$A$136,raw[LOKASI],"PLTU SRLYA #3"),0)</f>
        <v>185</v>
      </c>
      <c r="O110">
        <f>IFERROR(SUMIFS(INDEX(raw[[00.30]:[24.00]],0,$X$1+13),raw[Source.Name],$A$136,raw[LOKASI],"PLTU SRLYA #3"),0)</f>
        <v>185</v>
      </c>
      <c r="P110">
        <f>IFERROR(SUMIFS(INDEX(raw[[00.30]:[24.00]],0,$X$1+14),raw[Source.Name],$A$136,raw[LOKASI],"PLTU SRLYA #3"),0)</f>
        <v>185</v>
      </c>
      <c r="Q110">
        <f>IFERROR(SUMIFS(INDEX(raw[[00.30]:[24.00]],0,$X$1+15),raw[Source.Name],$A$136,raw[LOKASI],"PLTU SRLYA #3"),0)</f>
        <v>185</v>
      </c>
      <c r="R110">
        <f>IFERROR(SUMIFS(INDEX(raw[[00.30]:[24.00]],0,$X$1+16),raw[Source.Name],$A$136,raw[LOKASI],"PLTU SRLYA #3"),0)</f>
        <v>185</v>
      </c>
      <c r="S110">
        <f>IFERROR(SUMIFS(INDEX(raw[[00.30]:[24.00]],0,$X$1+17),raw[Source.Name],$A$136,raw[LOKASI],"PLTU SRLYA #3"),0)</f>
        <v>185</v>
      </c>
      <c r="T110">
        <f>IFERROR(SUMIFS(INDEX(raw[[00.30]:[24.00]],0,$X$1+18),raw[Source.Name],$A$136,raw[LOKASI],"PLTU SRLYA #3"),0)</f>
        <v>185</v>
      </c>
      <c r="U110">
        <f>IFERROR(SUMIFS(INDEX(raw[[00.30]:[24.00]],0,$X$1+19),raw[Source.Name],$A$136,raw[LOKASI],"PLTU SRLYA #3"),0)</f>
        <v>185</v>
      </c>
      <c r="V110">
        <f>IFERROR(SUMIFS(INDEX(raw[[00.30]:[24.00]],0,$X$1+20),raw[Source.Name],$A$136,raw[LOKASI],"PLTU SRLYA #3"),0)</f>
        <v>185</v>
      </c>
    </row>
    <row r="111" spans="1:26" x14ac:dyDescent="0.3">
      <c r="A111" t="s">
        <v>186</v>
      </c>
      <c r="B111" s="3" t="e">
        <f>IF(VLOOKUP(A111,$A$7:$B$52,2,FALSE),1,0)</f>
        <v>#N/A</v>
      </c>
      <c r="C111">
        <f>IFERROR(SUMIFS(INDEX(raw[[00.30]:[24.00]],0,$X$1+1),raw[Source.Name],$A$136,raw[LOKASI],"PLTU SRLYA #4"),0)</f>
        <v>290</v>
      </c>
      <c r="D111">
        <f>IFERROR(SUMIFS(INDEX(raw[[00.30]:[24.00]],0,$X$1+2),raw[Source.Name],$A$136,raw[LOKASI],"PLTU SRLYA #4"),0)</f>
        <v>371.5</v>
      </c>
      <c r="E111">
        <f>IFERROR(SUMIFS(INDEX(raw[[00.30]:[24.00]],0,$X$1+3),raw[Source.Name],$A$136,raw[LOKASI],"PLTU SRLYA #4"),0)</f>
        <v>371.5</v>
      </c>
      <c r="F111">
        <f>IFERROR(SUMIFS(INDEX(raw[[00.30]:[24.00]],0,$X$1+4),raw[Source.Name],$A$136,raw[LOKASI],"PLTU SRLYA #4"),0)</f>
        <v>371.5</v>
      </c>
      <c r="G111">
        <f>IFERROR(SUMIFS(INDEX(raw[[00.30]:[24.00]],0,$X$1+5),raw[Source.Name],$A$136,raw[LOKASI],"PLTU SRLYA #4"),0)</f>
        <v>371.5</v>
      </c>
      <c r="H111">
        <f>IFERROR(SUMIFS(INDEX(raw[[00.30]:[24.00]],0,$X$1+6),raw[Source.Name],$A$136,raw[LOKASI],"PLTU SRLYA #4"),0)</f>
        <v>371.5</v>
      </c>
      <c r="I111">
        <f>IFERROR(SUMIFS(INDEX(raw[[00.30]:[24.00]],0,$X$1+7),raw[Source.Name],$A$136,raw[LOKASI],"PLTU SRLYA #4"),0)</f>
        <v>371.5</v>
      </c>
      <c r="J111">
        <f>IFERROR(SUMIFS(INDEX(raw[[00.30]:[24.00]],0,$X$1+8),raw[Source.Name],$A$136,raw[LOKASI],"PLTU SRLYA #4"),0)</f>
        <v>371.5</v>
      </c>
      <c r="K111">
        <f>IFERROR(SUMIFS(INDEX(raw[[00.30]:[24.00]],0,$X$1+9),raw[Source.Name],$A$136,raw[LOKASI],"PLTU SRLYA #4"),0)</f>
        <v>371.5</v>
      </c>
      <c r="L111">
        <f>IFERROR(SUMIFS(INDEX(raw[[00.30]:[24.00]],0,$X$1+10),raw[Source.Name],$A$136,raw[LOKASI],"PLTU SRLYA #4"),0)</f>
        <v>290</v>
      </c>
      <c r="M111">
        <f>IFERROR(SUMIFS(INDEX(raw[[00.30]:[24.00]],0,$X$1+11),raw[Source.Name],$A$136,raw[LOKASI],"PLTU SRLYA #4"),0)</f>
        <v>290</v>
      </c>
      <c r="N111">
        <f>IFERROR(SUMIFS(INDEX(raw[[00.30]:[24.00]],0,$X$1+12),raw[Source.Name],$A$136,raw[LOKASI],"PLTU SRLYA #4"),0)</f>
        <v>290</v>
      </c>
      <c r="O111">
        <f>IFERROR(SUMIFS(INDEX(raw[[00.30]:[24.00]],0,$X$1+13),raw[Source.Name],$A$136,raw[LOKASI],"PLTU SRLYA #4"),0)</f>
        <v>290</v>
      </c>
      <c r="P111">
        <f>IFERROR(SUMIFS(INDEX(raw[[00.30]:[24.00]],0,$X$1+14),raw[Source.Name],$A$136,raw[LOKASI],"PLTU SRLYA #4"),0)</f>
        <v>290</v>
      </c>
      <c r="Q111">
        <f>IFERROR(SUMIFS(INDEX(raw[[00.30]:[24.00]],0,$X$1+15),raw[Source.Name],$A$136,raw[LOKASI],"PLTU SRLYA #4"),0)</f>
        <v>290</v>
      </c>
      <c r="R111">
        <f>IFERROR(SUMIFS(INDEX(raw[[00.30]:[24.00]],0,$X$1+16),raw[Source.Name],$A$136,raw[LOKASI],"PLTU SRLYA #4"),0)</f>
        <v>290</v>
      </c>
      <c r="S111">
        <f>IFERROR(SUMIFS(INDEX(raw[[00.30]:[24.00]],0,$X$1+17),raw[Source.Name],$A$136,raw[LOKASI],"PLTU SRLYA #4"),0)</f>
        <v>290</v>
      </c>
      <c r="T111">
        <f>IFERROR(SUMIFS(INDEX(raw[[00.30]:[24.00]],0,$X$1+18),raw[Source.Name],$A$136,raw[LOKASI],"PLTU SRLYA #4"),0)</f>
        <v>290</v>
      </c>
      <c r="U111">
        <f>IFERROR(SUMIFS(INDEX(raw[[00.30]:[24.00]],0,$X$1+19),raw[Source.Name],$A$136,raw[LOKASI],"PLTU SRLYA #4"),0)</f>
        <v>290</v>
      </c>
      <c r="V111">
        <f>IFERROR(SUMIFS(INDEX(raw[[00.30]:[24.00]],0,$X$1+20),raw[Source.Name],$A$136,raw[LOKASI],"PLTU SRLYA #4"),0)</f>
        <v>290</v>
      </c>
    </row>
    <row r="112" spans="1:26" x14ac:dyDescent="0.3">
      <c r="A112" t="s">
        <v>187</v>
      </c>
      <c r="B112" s="3">
        <f>IF(VLOOKUP("PLTU TJ AWAR2 #1",$A$7:$B$52,2,FALSE),1,0)</f>
        <v>0</v>
      </c>
      <c r="C112">
        <f>IFERROR(SUMIFS(INDEX(raw[[00.30]:[24.00]],0,$X$1+1),raw[Source.Name],$A$136,raw[LOKASI],"PLTU TJ AWAR2 #1"),0)</f>
        <v>323</v>
      </c>
      <c r="D112">
        <f>IFERROR(SUMIFS(INDEX(raw[[00.30]:[24.00]],0,$X$1+2),raw[Source.Name],$A$136,raw[LOKASI],"PLTU TJ AWAR2 #1"),0)</f>
        <v>323</v>
      </c>
      <c r="E112">
        <f>IFERROR(SUMIFS(INDEX(raw[[00.30]:[24.00]],0,$X$1+3),raw[Source.Name],$A$136,raw[LOKASI],"PLTU TJ AWAR2 #1"),0)</f>
        <v>323</v>
      </c>
      <c r="F112">
        <f>IFERROR(SUMIFS(INDEX(raw[[00.30]:[24.00]],0,$X$1+4),raw[Source.Name],$A$136,raw[LOKASI],"PLTU TJ AWAR2 #1"),0)</f>
        <v>323</v>
      </c>
      <c r="G112">
        <f>IFERROR(SUMIFS(INDEX(raw[[00.30]:[24.00]],0,$X$1+5),raw[Source.Name],$A$136,raw[LOKASI],"PLTU TJ AWAR2 #1"),0)</f>
        <v>323</v>
      </c>
      <c r="H112">
        <f>IFERROR(SUMIFS(INDEX(raw[[00.30]:[24.00]],0,$X$1+6),raw[Source.Name],$A$136,raw[LOKASI],"PLTU TJ AWAR2 #1"),0)</f>
        <v>323</v>
      </c>
      <c r="I112">
        <f>IFERROR(SUMIFS(INDEX(raw[[00.30]:[24.00]],0,$X$1+7),raw[Source.Name],$A$136,raw[LOKASI],"PLTU TJ AWAR2 #1"),0)</f>
        <v>323</v>
      </c>
      <c r="J112">
        <f>IFERROR(SUMIFS(INDEX(raw[[00.30]:[24.00]],0,$X$1+8),raw[Source.Name],$A$136,raw[LOKASI],"PLTU TJ AWAR2 #1"),0)</f>
        <v>323</v>
      </c>
      <c r="K112">
        <f>IFERROR(SUMIFS(INDEX(raw[[00.30]:[24.00]],0,$X$1+9),raw[Source.Name],$A$136,raw[LOKASI],"PLTU TJ AWAR2 #1"),0)</f>
        <v>323</v>
      </c>
      <c r="L112">
        <f>IFERROR(SUMIFS(INDEX(raw[[00.30]:[24.00]],0,$X$1+10),raw[Source.Name],$A$136,raw[LOKASI],"PLTU TJ AWAR2 #1"),0)</f>
        <v>323</v>
      </c>
      <c r="M112">
        <f>IFERROR(SUMIFS(INDEX(raw[[00.30]:[24.00]],0,$X$1+11),raw[Source.Name],$A$136,raw[LOKASI],"PLTU TJ AWAR2 #1"),0)</f>
        <v>322.75</v>
      </c>
      <c r="N112">
        <f>IFERROR(SUMIFS(INDEX(raw[[00.30]:[24.00]],0,$X$1+12),raw[Source.Name],$A$136,raw[LOKASI],"PLTU TJ AWAR2 #1"),0)</f>
        <v>323</v>
      </c>
      <c r="O112">
        <f>IFERROR(SUMIFS(INDEX(raw[[00.30]:[24.00]],0,$X$1+13),raw[Source.Name],$A$136,raw[LOKASI],"PLTU TJ AWAR2 #1"),0)</f>
        <v>323</v>
      </c>
      <c r="P112">
        <f>IFERROR(SUMIFS(INDEX(raw[[00.30]:[24.00]],0,$X$1+14),raw[Source.Name],$A$136,raw[LOKASI],"PLTU TJ AWAR2 #1"),0)</f>
        <v>323</v>
      </c>
      <c r="Q112">
        <f>IFERROR(SUMIFS(INDEX(raw[[00.30]:[24.00]],0,$X$1+15),raw[Source.Name],$A$136,raw[LOKASI],"PLTU TJ AWAR2 #1"),0)</f>
        <v>323</v>
      </c>
      <c r="R112">
        <f>IFERROR(SUMIFS(INDEX(raw[[00.30]:[24.00]],0,$X$1+16),raw[Source.Name],$A$136,raw[LOKASI],"PLTU TJ AWAR2 #1"),0)</f>
        <v>323</v>
      </c>
      <c r="S112">
        <f>IFERROR(SUMIFS(INDEX(raw[[00.30]:[24.00]],0,$X$1+17),raw[Source.Name],$A$136,raw[LOKASI],"PLTU TJ AWAR2 #1"),0)</f>
        <v>323</v>
      </c>
      <c r="T112">
        <f>IFERROR(SUMIFS(INDEX(raw[[00.30]:[24.00]],0,$X$1+18),raw[Source.Name],$A$136,raw[LOKASI],"PLTU TJ AWAR2 #1"),0)</f>
        <v>323</v>
      </c>
      <c r="U112">
        <f>IFERROR(SUMIFS(INDEX(raw[[00.30]:[24.00]],0,$X$1+19),raw[Source.Name],$A$136,raw[LOKASI],"PLTU TJ AWAR2 #1"),0)</f>
        <v>323</v>
      </c>
      <c r="V112">
        <f>IFERROR(SUMIFS(INDEX(raw[[00.30]:[24.00]],0,$X$1+20),raw[Source.Name],$A$136,raw[LOKASI],"PLTU TJ AWAR2 #1"),0)</f>
        <v>323</v>
      </c>
    </row>
    <row r="113" spans="1:22" x14ac:dyDescent="0.3">
      <c r="A113" t="s">
        <v>188</v>
      </c>
      <c r="B113" s="3">
        <f>IF(VLOOKUP("PLTU TJ AWAR2 #2",$A$7:$B$52,2,FALSE),1,0)</f>
        <v>0</v>
      </c>
      <c r="C113">
        <f>IFERROR(SUMIFS(INDEX(raw[[00.30]:[24.00]],0,$X$1+1),raw[Source.Name],$A$136,raw[LOKASI],"PLTU TJ AWAR2 #2"),0)</f>
        <v>0</v>
      </c>
      <c r="D113">
        <f>IFERROR(SUMIFS(INDEX(raw[[00.30]:[24.00]],0,$X$1+2),raw[Source.Name],$A$136,raw[LOKASI],"PLTU TJ AWAR2 #2"),0)</f>
        <v>0</v>
      </c>
      <c r="E113">
        <f>IFERROR(SUMIFS(INDEX(raw[[00.30]:[24.00]],0,$X$1+3),raw[Source.Name],$A$136,raw[LOKASI],"PLTU TJ AWAR2 #2"),0)</f>
        <v>0</v>
      </c>
      <c r="F113">
        <f>IFERROR(SUMIFS(INDEX(raw[[00.30]:[24.00]],0,$X$1+4),raw[Source.Name],$A$136,raw[LOKASI],"PLTU TJ AWAR2 #2"),0)</f>
        <v>0</v>
      </c>
      <c r="G113">
        <f>IFERROR(SUMIFS(INDEX(raw[[00.30]:[24.00]],0,$X$1+5),raw[Source.Name],$A$136,raw[LOKASI],"PLTU TJ AWAR2 #2"),0)</f>
        <v>0</v>
      </c>
      <c r="H113">
        <f>IFERROR(SUMIFS(INDEX(raw[[00.30]:[24.00]],0,$X$1+6),raw[Source.Name],$A$136,raw[LOKASI],"PLTU TJ AWAR2 #2"),0)</f>
        <v>0</v>
      </c>
      <c r="I113">
        <f>IFERROR(SUMIFS(INDEX(raw[[00.30]:[24.00]],0,$X$1+7),raw[Source.Name],$A$136,raw[LOKASI],"PLTU TJ AWAR2 #2"),0)</f>
        <v>0</v>
      </c>
      <c r="J113">
        <f>IFERROR(SUMIFS(INDEX(raw[[00.30]:[24.00]],0,$X$1+8),raw[Source.Name],$A$136,raw[LOKASI],"PLTU TJ AWAR2 #2"),0)</f>
        <v>0</v>
      </c>
      <c r="K113">
        <f>IFERROR(SUMIFS(INDEX(raw[[00.30]:[24.00]],0,$X$1+9),raw[Source.Name],$A$136,raw[LOKASI],"PLTU TJ AWAR2 #2"),0)</f>
        <v>0</v>
      </c>
      <c r="L113">
        <f>IFERROR(SUMIFS(INDEX(raw[[00.30]:[24.00]],0,$X$1+10),raw[Source.Name],$A$136,raw[LOKASI],"PLTU TJ AWAR2 #2"),0)</f>
        <v>0</v>
      </c>
      <c r="M113">
        <f>IFERROR(SUMIFS(INDEX(raw[[00.30]:[24.00]],0,$X$1+11),raw[Source.Name],$A$136,raw[LOKASI],"PLTU TJ AWAR2 #2"),0)</f>
        <v>0</v>
      </c>
      <c r="N113">
        <f>IFERROR(SUMIFS(INDEX(raw[[00.30]:[24.00]],0,$X$1+12),raw[Source.Name],$A$136,raw[LOKASI],"PLTU TJ AWAR2 #2"),0)</f>
        <v>0</v>
      </c>
      <c r="O113">
        <f>IFERROR(SUMIFS(INDEX(raw[[00.30]:[24.00]],0,$X$1+13),raw[Source.Name],$A$136,raw[LOKASI],"PLTU TJ AWAR2 #2"),0)</f>
        <v>0</v>
      </c>
      <c r="P113">
        <f>IFERROR(SUMIFS(INDEX(raw[[00.30]:[24.00]],0,$X$1+14),raw[Source.Name],$A$136,raw[LOKASI],"PLTU TJ AWAR2 #2"),0)</f>
        <v>0</v>
      </c>
      <c r="Q113">
        <f>IFERROR(SUMIFS(INDEX(raw[[00.30]:[24.00]],0,$X$1+15),raw[Source.Name],$A$136,raw[LOKASI],"PLTU TJ AWAR2 #2"),0)</f>
        <v>0</v>
      </c>
      <c r="R113">
        <f>IFERROR(SUMIFS(INDEX(raw[[00.30]:[24.00]],0,$X$1+16),raw[Source.Name],$A$136,raw[LOKASI],"PLTU TJ AWAR2 #2"),0)</f>
        <v>0</v>
      </c>
      <c r="S113">
        <f>IFERROR(SUMIFS(INDEX(raw[[00.30]:[24.00]],0,$X$1+17),raw[Source.Name],$A$136,raw[LOKASI],"PLTU TJ AWAR2 #2"),0)</f>
        <v>0</v>
      </c>
      <c r="T113">
        <f>IFERROR(SUMIFS(INDEX(raw[[00.30]:[24.00]],0,$X$1+18),raw[Source.Name],$A$136,raw[LOKASI],"PLTU TJ AWAR2 #2"),0)</f>
        <v>0</v>
      </c>
      <c r="U113">
        <f>IFERROR(SUMIFS(INDEX(raw[[00.30]:[24.00]],0,$X$1+19),raw[Source.Name],$A$136,raw[LOKASI],"PLTU TJ AWAR2 #2"),0)</f>
        <v>0</v>
      </c>
      <c r="V113">
        <f>IFERROR(SUMIFS(INDEX(raw[[00.30]:[24.00]],0,$X$1+20),raw[Source.Name],$A$136,raw[LOKASI],"PLTU TJ AWAR2 #2"),0)</f>
        <v>0</v>
      </c>
    </row>
    <row r="114" spans="1:22" x14ac:dyDescent="0.3">
      <c r="A114" s="1" t="s">
        <v>80</v>
      </c>
      <c r="B114" s="3">
        <f>IF(VLOOKUP(A114,$A$7:$B$52,2,FALSE),1,0)</f>
        <v>0</v>
      </c>
      <c r="C114">
        <f>IFERROR(SUMIFS(INDEX(raw[[00.30]:[24.00]],0,$X$1+1),raw[Source.Name],$A$136,raw[LOKASI],$A114),0)</f>
        <v>254.95</v>
      </c>
      <c r="D114">
        <f>IFERROR(SUMIFS(INDEX(raw[[00.30]:[24.00]],0,$X$1+2),raw[Source.Name],$A$136,raw[LOKASI],$A114),0)</f>
        <v>268.19</v>
      </c>
      <c r="E114">
        <f>IFERROR(SUMIFS(INDEX(raw[[00.30]:[24.00]],0,$X$1+3),raw[Source.Name],$A$136,raw[LOKASI],$A114),0)</f>
        <v>268.19</v>
      </c>
      <c r="F114">
        <f>IFERROR(SUMIFS(INDEX(raw[[00.30]:[24.00]],0,$X$1+4),raw[Source.Name],$A$136,raw[LOKASI],$A114),0)</f>
        <v>268.19</v>
      </c>
      <c r="G114">
        <f>IFERROR(SUMIFS(INDEX(raw[[00.30]:[24.00]],0,$X$1+5),raw[Source.Name],$A$136,raw[LOKASI],$A114),0)</f>
        <v>268.19</v>
      </c>
      <c r="H114">
        <f>IFERROR(SUMIFS(INDEX(raw[[00.30]:[24.00]],0,$X$1+6),raw[Source.Name],$A$136,raw[LOKASI],$A114),0)</f>
        <v>268.19</v>
      </c>
      <c r="I114">
        <f>IFERROR(SUMIFS(INDEX(raw[[00.30]:[24.00]],0,$X$1+7),raw[Source.Name],$A$136,raw[LOKASI],$A114),0)</f>
        <v>268.19</v>
      </c>
      <c r="J114">
        <f>IFERROR(SUMIFS(INDEX(raw[[00.30]:[24.00]],0,$X$1+8),raw[Source.Name],$A$136,raw[LOKASI],$A114),0)</f>
        <v>268.19</v>
      </c>
      <c r="K114">
        <f>IFERROR(SUMIFS(INDEX(raw[[00.30]:[24.00]],0,$X$1+9),raw[Source.Name],$A$136,raw[LOKASI],$A114),0)</f>
        <v>268.19</v>
      </c>
      <c r="L114">
        <f>IFERROR(SUMIFS(INDEX(raw[[00.30]:[24.00]],0,$X$1+10),raw[Source.Name],$A$136,raw[LOKASI],$A114),0)</f>
        <v>254.95</v>
      </c>
      <c r="M114">
        <f>IFERROR(SUMIFS(INDEX(raw[[00.30]:[24.00]],0,$X$1+11),raw[Source.Name],$A$136,raw[LOKASI],$A114),0)</f>
        <v>254.95</v>
      </c>
      <c r="N114">
        <f>IFERROR(SUMIFS(INDEX(raw[[00.30]:[24.00]],0,$X$1+12),raw[Source.Name],$A$136,raw[LOKASI],$A114),0)</f>
        <v>261.94</v>
      </c>
      <c r="O114">
        <f>IFERROR(SUMIFS(INDEX(raw[[00.30]:[24.00]],0,$X$1+13),raw[Source.Name],$A$136,raw[LOKASI],$A114),0)</f>
        <v>268.19</v>
      </c>
      <c r="P114">
        <f>IFERROR(SUMIFS(INDEX(raw[[00.30]:[24.00]],0,$X$1+14),raw[Source.Name],$A$136,raw[LOKASI],$A114),0)</f>
        <v>268.19</v>
      </c>
      <c r="Q114">
        <f>IFERROR(SUMIFS(INDEX(raw[[00.30]:[24.00]],0,$X$1+15),raw[Source.Name],$A$136,raw[LOKASI],$A114),0)</f>
        <v>268.19</v>
      </c>
      <c r="R114">
        <f>IFERROR(SUMIFS(INDEX(raw[[00.30]:[24.00]],0,$X$1+16),raw[Source.Name],$A$136,raw[LOKASI],$A114),0)</f>
        <v>268.19</v>
      </c>
      <c r="S114">
        <f>IFERROR(SUMIFS(INDEX(raw[[00.30]:[24.00]],0,$X$1+17),raw[Source.Name],$A$136,raw[LOKASI],$A114),0)</f>
        <v>268.19</v>
      </c>
      <c r="T114">
        <f>IFERROR(SUMIFS(INDEX(raw[[00.30]:[24.00]],0,$X$1+18),raw[Source.Name],$A$136,raw[LOKASI],$A114),0)</f>
        <v>268.19</v>
      </c>
      <c r="U114">
        <f>IFERROR(SUMIFS(INDEX(raw[[00.30]:[24.00]],0,$X$1+19),raw[Source.Name],$A$136,raw[LOKASI],$A114),0)</f>
        <v>268.19</v>
      </c>
      <c r="V114">
        <f>IFERROR(SUMIFS(INDEX(raw[[00.30]:[24.00]],0,$X$1+20),raw[Source.Name],$A$136,raw[LOKASI],$A114),0)</f>
        <v>268.19</v>
      </c>
    </row>
    <row r="115" spans="1:22" x14ac:dyDescent="0.3">
      <c r="A115" s="1" t="s">
        <v>81</v>
      </c>
      <c r="B115" s="3">
        <f>IF(VLOOKUP(A115,$A$7:$B$52,2,FALSE),1,0)</f>
        <v>0</v>
      </c>
      <c r="C115">
        <f>IFERROR(SUMIFS(INDEX(raw[[00.30]:[24.00]],0,$X$1+1),raw[Source.Name],$A$136,raw[LOKASI],$A115),0)</f>
        <v>254.95</v>
      </c>
      <c r="D115">
        <f>IFERROR(SUMIFS(INDEX(raw[[00.30]:[24.00]],0,$X$1+2),raw[Source.Name],$A$136,raw[LOKASI],$A115),0)</f>
        <v>254.95</v>
      </c>
      <c r="E115">
        <f>IFERROR(SUMIFS(INDEX(raw[[00.30]:[24.00]],0,$X$1+3),raw[Source.Name],$A$136,raw[LOKASI],$A115),0)</f>
        <v>254.95</v>
      </c>
      <c r="F115">
        <f>IFERROR(SUMIFS(INDEX(raw[[00.30]:[24.00]],0,$X$1+4),raw[Source.Name],$A$136,raw[LOKASI],$A115),0)</f>
        <v>254.95</v>
      </c>
      <c r="G115">
        <f>IFERROR(SUMIFS(INDEX(raw[[00.30]:[24.00]],0,$X$1+5),raw[Source.Name],$A$136,raw[LOKASI],$A115),0)</f>
        <v>254.95</v>
      </c>
      <c r="H115">
        <f>IFERROR(SUMIFS(INDEX(raw[[00.30]:[24.00]],0,$X$1+6),raw[Source.Name],$A$136,raw[LOKASI],$A115),0)</f>
        <v>254.95</v>
      </c>
      <c r="I115">
        <f>IFERROR(SUMIFS(INDEX(raw[[00.30]:[24.00]],0,$X$1+7),raw[Source.Name],$A$136,raw[LOKASI],$A115),0)</f>
        <v>254.95</v>
      </c>
      <c r="J115">
        <f>IFERROR(SUMIFS(INDEX(raw[[00.30]:[24.00]],0,$X$1+8),raw[Source.Name],$A$136,raw[LOKASI],$A115),0)</f>
        <v>254.95</v>
      </c>
      <c r="K115">
        <f>IFERROR(SUMIFS(INDEX(raw[[00.30]:[24.00]],0,$X$1+9),raw[Source.Name],$A$136,raw[LOKASI],$A115),0)</f>
        <v>254.95</v>
      </c>
      <c r="L115">
        <f>IFERROR(SUMIFS(INDEX(raw[[00.30]:[24.00]],0,$X$1+10),raw[Source.Name],$A$136,raw[LOKASI],$A115),0)</f>
        <v>254.95</v>
      </c>
      <c r="M115">
        <f>IFERROR(SUMIFS(INDEX(raw[[00.30]:[24.00]],0,$X$1+11),raw[Source.Name],$A$136,raw[LOKASI],$A115),0)</f>
        <v>254.95</v>
      </c>
      <c r="N115">
        <f>IFERROR(SUMIFS(INDEX(raw[[00.30]:[24.00]],0,$X$1+12),raw[Source.Name],$A$136,raw[LOKASI],$A115),0)</f>
        <v>254.95</v>
      </c>
      <c r="O115">
        <f>IFERROR(SUMIFS(INDEX(raw[[00.30]:[24.00]],0,$X$1+13),raw[Source.Name],$A$136,raw[LOKASI],$A115),0)</f>
        <v>254.95</v>
      </c>
      <c r="P115">
        <f>IFERROR(SUMIFS(INDEX(raw[[00.30]:[24.00]],0,$X$1+14),raw[Source.Name],$A$136,raw[LOKASI],$A115),0)</f>
        <v>254.95</v>
      </c>
      <c r="Q115">
        <f>IFERROR(SUMIFS(INDEX(raw[[00.30]:[24.00]],0,$X$1+15),raw[Source.Name],$A$136,raw[LOKASI],$A115),0)</f>
        <v>254.95</v>
      </c>
      <c r="R115">
        <f>IFERROR(SUMIFS(INDEX(raw[[00.30]:[24.00]],0,$X$1+16),raw[Source.Name],$A$136,raw[LOKASI],$A115),0)</f>
        <v>254.95</v>
      </c>
      <c r="S115">
        <f>IFERROR(SUMIFS(INDEX(raw[[00.30]:[24.00]],0,$X$1+17),raw[Source.Name],$A$136,raw[LOKASI],$A115),0)</f>
        <v>254.95</v>
      </c>
      <c r="T115">
        <f>IFERROR(SUMIFS(INDEX(raw[[00.30]:[24.00]],0,$X$1+18),raw[Source.Name],$A$136,raw[LOKASI],$A115),0)</f>
        <v>254.95</v>
      </c>
      <c r="U115">
        <f>IFERROR(SUMIFS(INDEX(raw[[00.30]:[24.00]],0,$X$1+19),raw[Source.Name],$A$136,raw[LOKASI],$A115),0)</f>
        <v>254.95</v>
      </c>
      <c r="V115">
        <f>IFERROR(SUMIFS(INDEX(raw[[00.30]:[24.00]],0,$X$1+20),raw[Source.Name],$A$136,raw[LOKASI],$A115),0)</f>
        <v>254.95</v>
      </c>
    </row>
    <row r="116" spans="1:22" x14ac:dyDescent="0.3">
      <c r="A116" s="1" t="s">
        <v>82</v>
      </c>
      <c r="B116" s="3">
        <f>IF(VLOOKUP(A116,$A$7:$B$52,2,FALSE),1,0)</f>
        <v>0</v>
      </c>
      <c r="C116">
        <f>IFERROR(SUMIFS(INDEX(raw[[00.30]:[24.00]],0,$X$1+1),raw[Source.Name],$A$136,raw[LOKASI],$A116),0)</f>
        <v>254.95</v>
      </c>
      <c r="D116">
        <f>IFERROR(SUMIFS(INDEX(raw[[00.30]:[24.00]],0,$X$1+2),raw[Source.Name],$A$136,raw[LOKASI],$A116),0)</f>
        <v>276.86</v>
      </c>
      <c r="E116">
        <f>IFERROR(SUMIFS(INDEX(raw[[00.30]:[24.00]],0,$X$1+3),raw[Source.Name],$A$136,raw[LOKASI],$A116),0)</f>
        <v>276.86</v>
      </c>
      <c r="F116">
        <f>IFERROR(SUMIFS(INDEX(raw[[00.30]:[24.00]],0,$X$1+4),raw[Source.Name],$A$136,raw[LOKASI],$A116),0)</f>
        <v>276.86</v>
      </c>
      <c r="G116">
        <f>IFERROR(SUMIFS(INDEX(raw[[00.30]:[24.00]],0,$X$1+5),raw[Source.Name],$A$136,raw[LOKASI],$A116),0)</f>
        <v>276.86</v>
      </c>
      <c r="H116">
        <f>IFERROR(SUMIFS(INDEX(raw[[00.30]:[24.00]],0,$X$1+6),raw[Source.Name],$A$136,raw[LOKASI],$A116),0)</f>
        <v>276.86</v>
      </c>
      <c r="I116">
        <f>IFERROR(SUMIFS(INDEX(raw[[00.30]:[24.00]],0,$X$1+7),raw[Source.Name],$A$136,raw[LOKASI],$A116),0)</f>
        <v>276.86</v>
      </c>
      <c r="J116">
        <f>IFERROR(SUMIFS(INDEX(raw[[00.30]:[24.00]],0,$X$1+8),raw[Source.Name],$A$136,raw[LOKASI],$A116),0)</f>
        <v>276.86</v>
      </c>
      <c r="K116">
        <f>IFERROR(SUMIFS(INDEX(raw[[00.30]:[24.00]],0,$X$1+9),raw[Source.Name],$A$136,raw[LOKASI],$A116),0)</f>
        <v>276.86</v>
      </c>
      <c r="L116">
        <f>IFERROR(SUMIFS(INDEX(raw[[00.30]:[24.00]],0,$X$1+10),raw[Source.Name],$A$136,raw[LOKASI],$A116),0)</f>
        <v>272.23</v>
      </c>
      <c r="M116">
        <f>IFERROR(SUMIFS(INDEX(raw[[00.30]:[24.00]],0,$X$1+11),raw[Source.Name],$A$136,raw[LOKASI],$A116),0)</f>
        <v>254.95</v>
      </c>
      <c r="N116">
        <f>IFERROR(SUMIFS(INDEX(raw[[00.30]:[24.00]],0,$X$1+12),raw[Source.Name],$A$136,raw[LOKASI],$A116),0)</f>
        <v>276.86</v>
      </c>
      <c r="O116">
        <f>IFERROR(SUMIFS(INDEX(raw[[00.30]:[24.00]],0,$X$1+13),raw[Source.Name],$A$136,raw[LOKASI],$A116),0)</f>
        <v>276.86</v>
      </c>
      <c r="P116">
        <f>IFERROR(SUMIFS(INDEX(raw[[00.30]:[24.00]],0,$X$1+14),raw[Source.Name],$A$136,raw[LOKASI],$A116),0)</f>
        <v>276.86</v>
      </c>
      <c r="Q116">
        <f>IFERROR(SUMIFS(INDEX(raw[[00.30]:[24.00]],0,$X$1+15),raw[Source.Name],$A$136,raw[LOKASI],$A116),0)</f>
        <v>276.86</v>
      </c>
      <c r="R116">
        <f>IFERROR(SUMIFS(INDEX(raw[[00.30]:[24.00]],0,$X$1+16),raw[Source.Name],$A$136,raw[LOKASI],$A116),0)</f>
        <v>276.86</v>
      </c>
      <c r="S116">
        <f>IFERROR(SUMIFS(INDEX(raw[[00.30]:[24.00]],0,$X$1+17),raw[Source.Name],$A$136,raw[LOKASI],$A116),0)</f>
        <v>276.86</v>
      </c>
      <c r="T116">
        <f>IFERROR(SUMIFS(INDEX(raw[[00.30]:[24.00]],0,$X$1+18),raw[Source.Name],$A$136,raw[LOKASI],$A116),0)</f>
        <v>276.86</v>
      </c>
      <c r="U116">
        <f>IFERROR(SUMIFS(INDEX(raw[[00.30]:[24.00]],0,$X$1+19),raw[Source.Name],$A$136,raw[LOKASI],$A116),0)</f>
        <v>276.86</v>
      </c>
      <c r="V116">
        <f>IFERROR(SUMIFS(INDEX(raw[[00.30]:[24.00]],0,$X$1+20),raw[Source.Name],$A$136,raw[LOKASI],$A116),0)</f>
        <v>276.86</v>
      </c>
    </row>
    <row r="117" spans="1:22" x14ac:dyDescent="0.3">
      <c r="A117" t="s">
        <v>189</v>
      </c>
      <c r="B117" s="3">
        <f>IF(VLOOKUP("PLTU PAITON #9",$A$7:$B$52,2,FALSE),1,0)</f>
        <v>1</v>
      </c>
      <c r="C117">
        <f>IFERROR(SUMIFS(INDEX(raw[[00.30]:[24.00]],0,$X$1+1),raw[Source.Name],$A$136,raw[LOKASI],"PLTU PAITON #9"),0)</f>
        <v>602.70000000000005</v>
      </c>
      <c r="D117">
        <f>IFERROR(SUMIFS(INDEX(raw[[00.30]:[24.00]],0,$X$1+2),raw[Source.Name],$A$136,raw[LOKASI],"PLTU PAITON #9"),0)</f>
        <v>602.70000000000005</v>
      </c>
      <c r="E117">
        <f>IFERROR(SUMIFS(INDEX(raw[[00.30]:[24.00]],0,$X$1+3),raw[Source.Name],$A$136,raw[LOKASI],"PLTU PAITON #9"),0)</f>
        <v>602.70000000000005</v>
      </c>
      <c r="F117">
        <f>IFERROR(SUMIFS(INDEX(raw[[00.30]:[24.00]],0,$X$1+4),raw[Source.Name],$A$136,raw[LOKASI],"PLTU PAITON #9"),0)</f>
        <v>602.70000000000005</v>
      </c>
      <c r="G117">
        <f>IFERROR(SUMIFS(INDEX(raw[[00.30]:[24.00]],0,$X$1+5),raw[Source.Name],$A$136,raw[LOKASI],"PLTU PAITON #9"),0)</f>
        <v>602.70000000000005</v>
      </c>
      <c r="H117">
        <f>IFERROR(SUMIFS(INDEX(raw[[00.30]:[24.00]],0,$X$1+6),raw[Source.Name],$A$136,raw[LOKASI],"PLTU PAITON #9"),0)</f>
        <v>602.70000000000005</v>
      </c>
      <c r="I117">
        <f>IFERROR(SUMIFS(INDEX(raw[[00.30]:[24.00]],0,$X$1+7),raw[Source.Name],$A$136,raw[LOKASI],"PLTU PAITON #9"),0)</f>
        <v>602.70000000000005</v>
      </c>
      <c r="J117">
        <f>IFERROR(SUMIFS(INDEX(raw[[00.30]:[24.00]],0,$X$1+8),raw[Source.Name],$A$136,raw[LOKASI],"PLTU PAITON #9"),0)</f>
        <v>602.70000000000005</v>
      </c>
      <c r="K117">
        <f>IFERROR(SUMIFS(INDEX(raw[[00.30]:[24.00]],0,$X$1+9),raw[Source.Name],$A$136,raw[LOKASI],"PLTU PAITON #9"),0)</f>
        <v>602.70000000000005</v>
      </c>
      <c r="L117">
        <f>IFERROR(SUMIFS(INDEX(raw[[00.30]:[24.00]],0,$X$1+10),raw[Source.Name],$A$136,raw[LOKASI],"PLTU PAITON #9"),0)</f>
        <v>602.70000000000005</v>
      </c>
      <c r="M117">
        <f>IFERROR(SUMIFS(INDEX(raw[[00.30]:[24.00]],0,$X$1+11),raw[Source.Name],$A$136,raw[LOKASI],"PLTU PAITON #9"),0)</f>
        <v>602.70000000000005</v>
      </c>
      <c r="N117">
        <f>IFERROR(SUMIFS(INDEX(raw[[00.30]:[24.00]],0,$X$1+12),raw[Source.Name],$A$136,raw[LOKASI],"PLTU PAITON #9"),0)</f>
        <v>602.70000000000005</v>
      </c>
      <c r="O117">
        <f>IFERROR(SUMIFS(INDEX(raw[[00.30]:[24.00]],0,$X$1+13),raw[Source.Name],$A$136,raw[LOKASI],"PLTU PAITON #9"),0)</f>
        <v>602.70000000000005</v>
      </c>
      <c r="P117">
        <f>IFERROR(SUMIFS(INDEX(raw[[00.30]:[24.00]],0,$X$1+14),raw[Source.Name],$A$136,raw[LOKASI],"PLTU PAITON #9"),0)</f>
        <v>602.70000000000005</v>
      </c>
      <c r="Q117">
        <f>IFERROR(SUMIFS(INDEX(raw[[00.30]:[24.00]],0,$X$1+15),raw[Source.Name],$A$136,raw[LOKASI],"PLTU PAITON #9"),0)</f>
        <v>602.70000000000005</v>
      </c>
      <c r="R117">
        <f>IFERROR(SUMIFS(INDEX(raw[[00.30]:[24.00]],0,$X$1+16),raw[Source.Name],$A$136,raw[LOKASI],"PLTU PAITON #9"),0)</f>
        <v>602.70000000000005</v>
      </c>
      <c r="S117">
        <f>IFERROR(SUMIFS(INDEX(raw[[00.30]:[24.00]],0,$X$1+17),raw[Source.Name],$A$136,raw[LOKASI],"PLTU PAITON #9"),0)</f>
        <v>602.70000000000005</v>
      </c>
      <c r="T117">
        <f>IFERROR(SUMIFS(INDEX(raw[[00.30]:[24.00]],0,$X$1+18),raw[Source.Name],$A$136,raw[LOKASI],"PLTU PAITON #9"),0)</f>
        <v>602.70000000000005</v>
      </c>
      <c r="U117">
        <f>IFERROR(SUMIFS(INDEX(raw[[00.30]:[24.00]],0,$X$1+19),raw[Source.Name],$A$136,raw[LOKASI],"PLTU PAITON #9"),0)</f>
        <v>602.70000000000005</v>
      </c>
      <c r="V117">
        <f>IFERROR(SUMIFS(INDEX(raw[[00.30]:[24.00]],0,$X$1+20),raw[Source.Name],$A$136,raw[LOKASI],"PLTU PAITON #9"),0)</f>
        <v>602.70000000000005</v>
      </c>
    </row>
    <row r="118" spans="1:22" x14ac:dyDescent="0.3">
      <c r="A118" s="1" t="s">
        <v>87</v>
      </c>
      <c r="B118" s="3">
        <f t="shared" ref="B118:B126" si="5">IF(VLOOKUP(A118,$A$7:$B$52,2,FALSE),1,0)</f>
        <v>0</v>
      </c>
      <c r="C118">
        <f>IFERROR(SUMIFS(INDEX(raw[[00.30]:[24.00]],0,$X$1+1),raw[Source.Name],$A$136,raw[LOKASI],$A118),0)</f>
        <v>274.39999999999998</v>
      </c>
      <c r="D118">
        <f>IFERROR(SUMIFS(INDEX(raw[[00.30]:[24.00]],0,$X$1+2),raw[Source.Name],$A$136,raw[LOKASI],$A118),0)</f>
        <v>274.39999999999998</v>
      </c>
      <c r="E118">
        <f>IFERROR(SUMIFS(INDEX(raw[[00.30]:[24.00]],0,$X$1+3),raw[Source.Name],$A$136,raw[LOKASI],$A118),0)</f>
        <v>274.39999999999998</v>
      </c>
      <c r="F118">
        <f>IFERROR(SUMIFS(INDEX(raw[[00.30]:[24.00]],0,$X$1+4),raw[Source.Name],$A$136,raw[LOKASI],$A118),0)</f>
        <v>274.39999999999998</v>
      </c>
      <c r="G118">
        <f>IFERROR(SUMIFS(INDEX(raw[[00.30]:[24.00]],0,$X$1+5),raw[Source.Name],$A$136,raw[LOKASI],$A118),0)</f>
        <v>274.39999999999998</v>
      </c>
      <c r="H118">
        <f>IFERROR(SUMIFS(INDEX(raw[[00.30]:[24.00]],0,$X$1+6),raw[Source.Name],$A$136,raw[LOKASI],$A118),0)</f>
        <v>274.39999999999998</v>
      </c>
      <c r="I118">
        <f>IFERROR(SUMIFS(INDEX(raw[[00.30]:[24.00]],0,$X$1+7),raw[Source.Name],$A$136,raw[LOKASI],$A118),0)</f>
        <v>274.39999999999998</v>
      </c>
      <c r="J118">
        <f>IFERROR(SUMIFS(INDEX(raw[[00.30]:[24.00]],0,$X$1+8),raw[Source.Name],$A$136,raw[LOKASI],$A118),0)</f>
        <v>274.39999999999998</v>
      </c>
      <c r="K118">
        <f>IFERROR(SUMIFS(INDEX(raw[[00.30]:[24.00]],0,$X$1+9),raw[Source.Name],$A$136,raw[LOKASI],$A118),0)</f>
        <v>274.39999999999998</v>
      </c>
      <c r="L118">
        <f>IFERROR(SUMIFS(INDEX(raw[[00.30]:[24.00]],0,$X$1+10),raw[Source.Name],$A$136,raw[LOKASI],$A118),0)</f>
        <v>274.39999999999998</v>
      </c>
      <c r="M118">
        <f>IFERROR(SUMIFS(INDEX(raw[[00.30]:[24.00]],0,$X$1+11),raw[Source.Name],$A$136,raw[LOKASI],$A118),0)</f>
        <v>253.11</v>
      </c>
      <c r="N118">
        <f>IFERROR(SUMIFS(INDEX(raw[[00.30]:[24.00]],0,$X$1+12),raw[Source.Name],$A$136,raw[LOKASI],$A118),0)</f>
        <v>274.39999999999998</v>
      </c>
      <c r="O118">
        <f>IFERROR(SUMIFS(INDEX(raw[[00.30]:[24.00]],0,$X$1+13),raw[Source.Name],$A$136,raw[LOKASI],$A118),0)</f>
        <v>274.39999999999998</v>
      </c>
      <c r="P118">
        <f>IFERROR(SUMIFS(INDEX(raw[[00.30]:[24.00]],0,$X$1+14),raw[Source.Name],$A$136,raw[LOKASI],$A118),0)</f>
        <v>274.39999999999998</v>
      </c>
      <c r="Q118">
        <f>IFERROR(SUMIFS(INDEX(raw[[00.30]:[24.00]],0,$X$1+15),raw[Source.Name],$A$136,raw[LOKASI],$A118),0)</f>
        <v>274.39999999999998</v>
      </c>
      <c r="R118">
        <f>IFERROR(SUMIFS(INDEX(raw[[00.30]:[24.00]],0,$X$1+16),raw[Source.Name],$A$136,raw[LOKASI],$A118),0)</f>
        <v>274.39999999999998</v>
      </c>
      <c r="S118">
        <f>IFERROR(SUMIFS(INDEX(raw[[00.30]:[24.00]],0,$X$1+17),raw[Source.Name],$A$136,raw[LOKASI],$A118),0)</f>
        <v>274.39999999999998</v>
      </c>
      <c r="T118">
        <f>IFERROR(SUMIFS(INDEX(raw[[00.30]:[24.00]],0,$X$1+18),raw[Source.Name],$A$136,raw[LOKASI],$A118),0)</f>
        <v>274.39999999999998</v>
      </c>
      <c r="U118">
        <f>IFERROR(SUMIFS(INDEX(raw[[00.30]:[24.00]],0,$X$1+19),raw[Source.Name],$A$136,raw[LOKASI],$A118),0)</f>
        <v>274.39999999999998</v>
      </c>
      <c r="V118">
        <f>IFERROR(SUMIFS(INDEX(raw[[00.30]:[24.00]],0,$X$1+20),raw[Source.Name],$A$136,raw[LOKASI],$A118),0)</f>
        <v>274.39999999999998</v>
      </c>
    </row>
    <row r="119" spans="1:22" x14ac:dyDescent="0.3">
      <c r="A119" s="1" t="s">
        <v>88</v>
      </c>
      <c r="B119" s="3">
        <f t="shared" si="5"/>
        <v>0</v>
      </c>
      <c r="C119">
        <f>IFERROR(SUMIFS(INDEX(raw[[00.30]:[24.00]],0,$X$1+1),raw[Source.Name],$A$136,raw[LOKASI],$A119),0)</f>
        <v>245.52</v>
      </c>
      <c r="D119">
        <f>IFERROR(SUMIFS(INDEX(raw[[00.30]:[24.00]],0,$X$1+2),raw[Source.Name],$A$136,raw[LOKASI],$A119),0)</f>
        <v>274.39999999999998</v>
      </c>
      <c r="E119">
        <f>IFERROR(SUMIFS(INDEX(raw[[00.30]:[24.00]],0,$X$1+3),raw[Source.Name],$A$136,raw[LOKASI],$A119),0)</f>
        <v>274.39999999999998</v>
      </c>
      <c r="F119">
        <f>IFERROR(SUMIFS(INDEX(raw[[00.30]:[24.00]],0,$X$1+4),raw[Source.Name],$A$136,raw[LOKASI],$A119),0)</f>
        <v>274.39999999999998</v>
      </c>
      <c r="G119">
        <f>IFERROR(SUMIFS(INDEX(raw[[00.30]:[24.00]],0,$X$1+5),raw[Source.Name],$A$136,raw[LOKASI],$A119),0)</f>
        <v>274.39999999999998</v>
      </c>
      <c r="H119">
        <f>IFERROR(SUMIFS(INDEX(raw[[00.30]:[24.00]],0,$X$1+6),raw[Source.Name],$A$136,raw[LOKASI],$A119),0)</f>
        <v>274.39999999999998</v>
      </c>
      <c r="I119">
        <f>IFERROR(SUMIFS(INDEX(raw[[00.30]:[24.00]],0,$X$1+7),raw[Source.Name],$A$136,raw[LOKASI],$A119),0)</f>
        <v>274.39999999999998</v>
      </c>
      <c r="J119">
        <f>IFERROR(SUMIFS(INDEX(raw[[00.30]:[24.00]],0,$X$1+8),raw[Source.Name],$A$136,raw[LOKASI],$A119),0)</f>
        <v>274.39999999999998</v>
      </c>
      <c r="K119">
        <f>IFERROR(SUMIFS(INDEX(raw[[00.30]:[24.00]],0,$X$1+9),raw[Source.Name],$A$136,raw[LOKASI],$A119),0)</f>
        <v>274.39999999999998</v>
      </c>
      <c r="L119">
        <f>IFERROR(SUMIFS(INDEX(raw[[00.30]:[24.00]],0,$X$1+10),raw[Source.Name],$A$136,raw[LOKASI],$A119),0)</f>
        <v>274.39999999999998</v>
      </c>
      <c r="M119">
        <f>IFERROR(SUMIFS(INDEX(raw[[00.30]:[24.00]],0,$X$1+11),raw[Source.Name],$A$136,raw[LOKASI],$A119),0)</f>
        <v>274.39999999999998</v>
      </c>
      <c r="N119">
        <f>IFERROR(SUMIFS(INDEX(raw[[00.30]:[24.00]],0,$X$1+12),raw[Source.Name],$A$136,raw[LOKASI],$A119),0)</f>
        <v>274.39999999999998</v>
      </c>
      <c r="O119">
        <f>IFERROR(SUMIFS(INDEX(raw[[00.30]:[24.00]],0,$X$1+13),raw[Source.Name],$A$136,raw[LOKASI],$A119),0)</f>
        <v>274.39999999999998</v>
      </c>
      <c r="P119">
        <f>IFERROR(SUMIFS(INDEX(raw[[00.30]:[24.00]],0,$X$1+14),raw[Source.Name],$A$136,raw[LOKASI],$A119),0)</f>
        <v>274.39999999999998</v>
      </c>
      <c r="Q119">
        <f>IFERROR(SUMIFS(INDEX(raw[[00.30]:[24.00]],0,$X$1+15),raw[Source.Name],$A$136,raw[LOKASI],$A119),0)</f>
        <v>274.39999999999998</v>
      </c>
      <c r="R119">
        <f>IFERROR(SUMIFS(INDEX(raw[[00.30]:[24.00]],0,$X$1+16),raw[Source.Name],$A$136,raw[LOKASI],$A119),0)</f>
        <v>274.39999999999998</v>
      </c>
      <c r="S119">
        <f>IFERROR(SUMIFS(INDEX(raw[[00.30]:[24.00]],0,$X$1+17),raw[Source.Name],$A$136,raw[LOKASI],$A119),0)</f>
        <v>274.39999999999998</v>
      </c>
      <c r="T119">
        <f>IFERROR(SUMIFS(INDEX(raw[[00.30]:[24.00]],0,$X$1+18),raw[Source.Name],$A$136,raw[LOKASI],$A119),0)</f>
        <v>274.39999999999998</v>
      </c>
      <c r="U119">
        <f>IFERROR(SUMIFS(INDEX(raw[[00.30]:[24.00]],0,$X$1+19),raw[Source.Name],$A$136,raw[LOKASI],$A119),0)</f>
        <v>274.39999999999998</v>
      </c>
      <c r="V119">
        <f>IFERROR(SUMIFS(INDEX(raw[[00.30]:[24.00]],0,$X$1+20),raw[Source.Name],$A$136,raw[LOKASI],$A119),0)</f>
        <v>274.39999999999998</v>
      </c>
    </row>
    <row r="120" spans="1:22" x14ac:dyDescent="0.3">
      <c r="A120" t="s">
        <v>23</v>
      </c>
      <c r="B120" s="3">
        <f t="shared" si="5"/>
        <v>0</v>
      </c>
      <c r="C120">
        <f>IFERROR(SUMIFS(INDEX(raw[[00.30]:[24.00]],0,$X$1+1),raw[Source.Name],$A$136,raw[LOKASI],"PLTU ADIPALA #1"),0)</f>
        <v>450</v>
      </c>
      <c r="D120">
        <f>IFERROR(SUMIFS(INDEX(raw[[00.30]:[24.00]],0,$X$1+2),raw[Source.Name],$A$136,raw[LOKASI],"PLTU ADIPALA #1"),0)</f>
        <v>450</v>
      </c>
      <c r="E120">
        <f>IFERROR(SUMIFS(INDEX(raw[[00.30]:[24.00]],0,$X$1+3),raw[Source.Name],$A$136,raw[LOKASI],"PLTU ADIPALA #1"),0)</f>
        <v>450</v>
      </c>
      <c r="F120">
        <f>IFERROR(SUMIFS(INDEX(raw[[00.30]:[24.00]],0,$X$1+4),raw[Source.Name],$A$136,raw[LOKASI],"PLTU ADIPALA #1"),0)</f>
        <v>450</v>
      </c>
      <c r="G120">
        <f>IFERROR(SUMIFS(INDEX(raw[[00.30]:[24.00]],0,$X$1+5),raw[Source.Name],$A$136,raw[LOKASI],"PLTU ADIPALA #1"),0)</f>
        <v>450</v>
      </c>
      <c r="H120">
        <f>IFERROR(SUMIFS(INDEX(raw[[00.30]:[24.00]],0,$X$1+6),raw[Source.Name],$A$136,raw[LOKASI],"PLTU ADIPALA #1"),0)</f>
        <v>450</v>
      </c>
      <c r="I120">
        <f>IFERROR(SUMIFS(INDEX(raw[[00.30]:[24.00]],0,$X$1+7),raw[Source.Name],$A$136,raw[LOKASI],"PLTU ADIPALA #1"),0)</f>
        <v>450</v>
      </c>
      <c r="J120">
        <f>IFERROR(SUMIFS(INDEX(raw[[00.30]:[24.00]],0,$X$1+8),raw[Source.Name],$A$136,raw[LOKASI],"PLTU ADIPALA #1"),0)</f>
        <v>450</v>
      </c>
      <c r="K120">
        <f>IFERROR(SUMIFS(INDEX(raw[[00.30]:[24.00]],0,$X$1+9),raw[Source.Name],$A$136,raw[LOKASI],"PLTU ADIPALA #1"),0)</f>
        <v>450</v>
      </c>
      <c r="L120">
        <f>IFERROR(SUMIFS(INDEX(raw[[00.30]:[24.00]],0,$X$1+10),raw[Source.Name],$A$136,raw[LOKASI],"PLTU ADIPALA #1"),0)</f>
        <v>450</v>
      </c>
      <c r="M120">
        <f>IFERROR(SUMIFS(INDEX(raw[[00.30]:[24.00]],0,$X$1+11),raw[Source.Name],$A$136,raw[LOKASI],"PLTU ADIPALA #1"),0)</f>
        <v>450</v>
      </c>
      <c r="N120">
        <f>IFERROR(SUMIFS(INDEX(raw[[00.30]:[24.00]],0,$X$1+12),raw[Source.Name],$A$136,raw[LOKASI],"PLTU ADIPALA #1"),0)</f>
        <v>450</v>
      </c>
      <c r="O120">
        <f>IFERROR(SUMIFS(INDEX(raw[[00.30]:[24.00]],0,$X$1+13),raw[Source.Name],$A$136,raw[LOKASI],"PLTU ADIPALA #1"),0)</f>
        <v>450</v>
      </c>
      <c r="P120">
        <f>IFERROR(SUMIFS(INDEX(raw[[00.30]:[24.00]],0,$X$1+14),raw[Source.Name],$A$136,raw[LOKASI],"PLTU ADIPALA #1"),0)</f>
        <v>450</v>
      </c>
      <c r="Q120">
        <f>IFERROR(SUMIFS(INDEX(raw[[00.30]:[24.00]],0,$X$1+15),raw[Source.Name],$A$136,raw[LOKASI],"PLTU ADIPALA #1"),0)</f>
        <v>450</v>
      </c>
      <c r="R120">
        <f>IFERROR(SUMIFS(INDEX(raw[[00.30]:[24.00]],0,$X$1+16),raw[Source.Name],$A$136,raw[LOKASI],"PLTU ADIPALA #1"),0)</f>
        <v>450</v>
      </c>
      <c r="S120">
        <f>IFERROR(SUMIFS(INDEX(raw[[00.30]:[24.00]],0,$X$1+17),raw[Source.Name],$A$136,raw[LOKASI],"PLTU ADIPALA #1"),0)</f>
        <v>450</v>
      </c>
      <c r="T120">
        <f>IFERROR(SUMIFS(INDEX(raw[[00.30]:[24.00]],0,$X$1+18),raw[Source.Name],$A$136,raw[LOKASI],"PLTU ADIPALA #1"),0)</f>
        <v>450</v>
      </c>
      <c r="U120">
        <f>IFERROR(SUMIFS(INDEX(raw[[00.30]:[24.00]],0,$X$1+19),raw[Source.Name],$A$136,raw[LOKASI],"PLTU ADIPALA #1"),0)</f>
        <v>450</v>
      </c>
      <c r="V120">
        <f>IFERROR(SUMIFS(INDEX(raw[[00.30]:[24.00]],0,$X$1+20),raw[Source.Name],$A$136,raw[LOKASI],"PLTU ADIPALA #1"),0)</f>
        <v>450</v>
      </c>
    </row>
    <row r="121" spans="1:22" x14ac:dyDescent="0.3">
      <c r="A121" t="s">
        <v>190</v>
      </c>
      <c r="B121" s="3" t="e">
        <f t="shared" si="5"/>
        <v>#N/A</v>
      </c>
      <c r="C121">
        <f>IFERROR(SUMIFS(INDEX(raw[[00.30]:[24.00]],0,$X$1+1),raw[Source.Name],$A$136,raw[LOKASI],"PLTU LABUAN #1"),0)</f>
        <v>240</v>
      </c>
      <c r="D121">
        <f>IFERROR(SUMIFS(INDEX(raw[[00.30]:[24.00]],0,$X$1+2),raw[Source.Name],$A$136,raw[LOKASI],"PLTU LABUAN #1"),0)</f>
        <v>240</v>
      </c>
      <c r="E121">
        <f>IFERROR(SUMIFS(INDEX(raw[[00.30]:[24.00]],0,$X$1+3),raw[Source.Name],$A$136,raw[LOKASI],"PLTU LABUAN #1"),0)</f>
        <v>240</v>
      </c>
      <c r="F121">
        <f>IFERROR(SUMIFS(INDEX(raw[[00.30]:[24.00]],0,$X$1+4),raw[Source.Name],$A$136,raw[LOKASI],"PLTU LABUAN #1"),0)</f>
        <v>240</v>
      </c>
      <c r="G121">
        <f>IFERROR(SUMIFS(INDEX(raw[[00.30]:[24.00]],0,$X$1+5),raw[Source.Name],$A$136,raw[LOKASI],"PLTU LABUAN #1"),0)</f>
        <v>240</v>
      </c>
      <c r="H121">
        <f>IFERROR(SUMIFS(INDEX(raw[[00.30]:[24.00]],0,$X$1+6),raw[Source.Name],$A$136,raw[LOKASI],"PLTU LABUAN #1"),0)</f>
        <v>240</v>
      </c>
      <c r="I121">
        <f>IFERROR(SUMIFS(INDEX(raw[[00.30]:[24.00]],0,$X$1+7),raw[Source.Name],$A$136,raw[LOKASI],"PLTU LABUAN #1"),0)</f>
        <v>240</v>
      </c>
      <c r="J121">
        <f>IFERROR(SUMIFS(INDEX(raw[[00.30]:[24.00]],0,$X$1+8),raw[Source.Name],$A$136,raw[LOKASI],"PLTU LABUAN #1"),0)</f>
        <v>240</v>
      </c>
      <c r="K121">
        <f>IFERROR(SUMIFS(INDEX(raw[[00.30]:[24.00]],0,$X$1+9),raw[Source.Name],$A$136,raw[LOKASI],"PLTU LABUAN #1"),0)</f>
        <v>240</v>
      </c>
      <c r="L121">
        <f>IFERROR(SUMIFS(INDEX(raw[[00.30]:[24.00]],0,$X$1+10),raw[Source.Name],$A$136,raw[LOKASI],"PLTU LABUAN #1"),0)</f>
        <v>240</v>
      </c>
      <c r="M121">
        <f>IFERROR(SUMIFS(INDEX(raw[[00.30]:[24.00]],0,$X$1+11),raw[Source.Name],$A$136,raw[LOKASI],"PLTU LABUAN #1"),0)</f>
        <v>240</v>
      </c>
      <c r="N121">
        <f>IFERROR(SUMIFS(INDEX(raw[[00.30]:[24.00]],0,$X$1+12),raw[Source.Name],$A$136,raw[LOKASI],"PLTU LABUAN #1"),0)</f>
        <v>260</v>
      </c>
      <c r="O121">
        <f>IFERROR(SUMIFS(INDEX(raw[[00.30]:[24.00]],0,$X$1+13),raw[Source.Name],$A$136,raw[LOKASI],"PLTU LABUAN #1"),0)</f>
        <v>260</v>
      </c>
      <c r="P121">
        <f>IFERROR(SUMIFS(INDEX(raw[[00.30]:[24.00]],0,$X$1+14),raw[Source.Name],$A$136,raw[LOKASI],"PLTU LABUAN #1"),0)</f>
        <v>260</v>
      </c>
      <c r="Q121">
        <f>IFERROR(SUMIFS(INDEX(raw[[00.30]:[24.00]],0,$X$1+15),raw[Source.Name],$A$136,raw[LOKASI],"PLTU LABUAN #1"),0)</f>
        <v>260</v>
      </c>
      <c r="R121">
        <f>IFERROR(SUMIFS(INDEX(raw[[00.30]:[24.00]],0,$X$1+16),raw[Source.Name],$A$136,raw[LOKASI],"PLTU LABUAN #1"),0)</f>
        <v>260</v>
      </c>
      <c r="S121">
        <f>IFERROR(SUMIFS(INDEX(raw[[00.30]:[24.00]],0,$X$1+17),raw[Source.Name],$A$136,raw[LOKASI],"PLTU LABUAN #1"),0)</f>
        <v>260</v>
      </c>
      <c r="T121">
        <f>IFERROR(SUMIFS(INDEX(raw[[00.30]:[24.00]],0,$X$1+18),raw[Source.Name],$A$136,raw[LOKASI],"PLTU LABUAN #1"),0)</f>
        <v>260</v>
      </c>
      <c r="U121">
        <f>IFERROR(SUMIFS(INDEX(raw[[00.30]:[24.00]],0,$X$1+19),raw[Source.Name],$A$136,raw[LOKASI],"PLTU LABUAN #1"),0)</f>
        <v>260</v>
      </c>
      <c r="V121">
        <f>IFERROR(SUMIFS(INDEX(raw[[00.30]:[24.00]],0,$X$1+20),raw[Source.Name],$A$136,raw[LOKASI],"PLTU LABUAN #1"),0)</f>
        <v>260</v>
      </c>
    </row>
    <row r="122" spans="1:22" x14ac:dyDescent="0.3">
      <c r="A122" t="s">
        <v>191</v>
      </c>
      <c r="B122" s="3" t="e">
        <f t="shared" si="5"/>
        <v>#N/A</v>
      </c>
      <c r="C122">
        <f>IFERROR(SUMIFS(INDEX(raw[[00.30]:[24.00]],0,$X$1+1),raw[Source.Name],$A$136,raw[LOKASI],"PLTU LABUAN #2"),0)</f>
        <v>240</v>
      </c>
      <c r="D122">
        <f>IFERROR(SUMIFS(INDEX(raw[[00.30]:[24.00]],0,$X$1+2),raw[Source.Name],$A$136,raw[LOKASI],"PLTU LABUAN #2"),0)</f>
        <v>240</v>
      </c>
      <c r="E122">
        <f>IFERROR(SUMIFS(INDEX(raw[[00.30]:[24.00]],0,$X$1+3),raw[Source.Name],$A$136,raw[LOKASI],"PLTU LABUAN #2"),0)</f>
        <v>240</v>
      </c>
      <c r="F122">
        <f>IFERROR(SUMIFS(INDEX(raw[[00.30]:[24.00]],0,$X$1+4),raw[Source.Name],$A$136,raw[LOKASI],"PLTU LABUAN #2"),0)</f>
        <v>240</v>
      </c>
      <c r="G122">
        <f>IFERROR(SUMIFS(INDEX(raw[[00.30]:[24.00]],0,$X$1+5),raw[Source.Name],$A$136,raw[LOKASI],"PLTU LABUAN #2"),0)</f>
        <v>240</v>
      </c>
      <c r="H122">
        <f>IFERROR(SUMIFS(INDEX(raw[[00.30]:[24.00]],0,$X$1+6),raw[Source.Name],$A$136,raw[LOKASI],"PLTU LABUAN #2"),0)</f>
        <v>240</v>
      </c>
      <c r="I122">
        <f>IFERROR(SUMIFS(INDEX(raw[[00.30]:[24.00]],0,$X$1+7),raw[Source.Name],$A$136,raw[LOKASI],"PLTU LABUAN #2"),0)</f>
        <v>240</v>
      </c>
      <c r="J122">
        <f>IFERROR(SUMIFS(INDEX(raw[[00.30]:[24.00]],0,$X$1+8),raw[Source.Name],$A$136,raw[LOKASI],"PLTU LABUAN #2"),0)</f>
        <v>240</v>
      </c>
      <c r="K122">
        <f>IFERROR(SUMIFS(INDEX(raw[[00.30]:[24.00]],0,$X$1+9),raw[Source.Name],$A$136,raw[LOKASI],"PLTU LABUAN #2"),0)</f>
        <v>240</v>
      </c>
      <c r="L122">
        <f>IFERROR(SUMIFS(INDEX(raw[[00.30]:[24.00]],0,$X$1+10),raw[Source.Name],$A$136,raw[LOKASI],"PLTU LABUAN #2"),0)</f>
        <v>240</v>
      </c>
      <c r="M122">
        <f>IFERROR(SUMIFS(INDEX(raw[[00.30]:[24.00]],0,$X$1+11),raw[Source.Name],$A$136,raw[LOKASI],"PLTU LABUAN #2"),0)</f>
        <v>240</v>
      </c>
      <c r="N122">
        <f>IFERROR(SUMIFS(INDEX(raw[[00.30]:[24.00]],0,$X$1+12),raw[Source.Name],$A$136,raw[LOKASI],"PLTU LABUAN #2"),0)</f>
        <v>260</v>
      </c>
      <c r="O122">
        <f>IFERROR(SUMIFS(INDEX(raw[[00.30]:[24.00]],0,$X$1+13),raw[Source.Name],$A$136,raw[LOKASI],"PLTU LABUAN #2"),0)</f>
        <v>260</v>
      </c>
      <c r="P122">
        <f>IFERROR(SUMIFS(INDEX(raw[[00.30]:[24.00]],0,$X$1+14),raw[Source.Name],$A$136,raw[LOKASI],"PLTU LABUAN #2"),0)</f>
        <v>260</v>
      </c>
      <c r="Q122">
        <f>IFERROR(SUMIFS(INDEX(raw[[00.30]:[24.00]],0,$X$1+15),raw[Source.Name],$A$136,raw[LOKASI],"PLTU LABUAN #2"),0)</f>
        <v>260</v>
      </c>
      <c r="R122">
        <f>IFERROR(SUMIFS(INDEX(raw[[00.30]:[24.00]],0,$X$1+16),raw[Source.Name],$A$136,raw[LOKASI],"PLTU LABUAN #2"),0)</f>
        <v>260</v>
      </c>
      <c r="S122">
        <f>IFERROR(SUMIFS(INDEX(raw[[00.30]:[24.00]],0,$X$1+17),raw[Source.Name],$A$136,raw[LOKASI],"PLTU LABUAN #2"),0)</f>
        <v>260</v>
      </c>
      <c r="T122">
        <f>IFERROR(SUMIFS(INDEX(raw[[00.30]:[24.00]],0,$X$1+18),raw[Source.Name],$A$136,raw[LOKASI],"PLTU LABUAN #2"),0)</f>
        <v>260</v>
      </c>
      <c r="U122">
        <f>IFERROR(SUMIFS(INDEX(raw[[00.30]:[24.00]],0,$X$1+19),raw[Source.Name],$A$136,raw[LOKASI],"PLTU LABUAN #2"),0)</f>
        <v>260</v>
      </c>
      <c r="V122">
        <f>IFERROR(SUMIFS(INDEX(raw[[00.30]:[24.00]],0,$X$1+20),raw[Source.Name],$A$136,raw[LOKASI],"PLTU LABUAN #2"),0)</f>
        <v>260</v>
      </c>
    </row>
    <row r="123" spans="1:22" x14ac:dyDescent="0.3">
      <c r="A123" t="s">
        <v>192</v>
      </c>
      <c r="B123" s="3" t="e">
        <f t="shared" si="5"/>
        <v>#N/A</v>
      </c>
      <c r="C123">
        <f>IFERROR(SUMIFS(INDEX(raw[[00.30]:[24.00]],0,$X$1+1),raw[Source.Name],$A$136,raw[LOKASI],"PLTU LONTAR #1"),0)</f>
        <v>0</v>
      </c>
      <c r="D123">
        <f>IFERROR(SUMIFS(INDEX(raw[[00.30]:[24.00]],0,$X$1+2),raw[Source.Name],$A$136,raw[LOKASI],"PLTU LONTAR #1"),0)</f>
        <v>0</v>
      </c>
      <c r="E123">
        <f>IFERROR(SUMIFS(INDEX(raw[[00.30]:[24.00]],0,$X$1+3),raw[Source.Name],$A$136,raw[LOKASI],"PLTU LONTAR #1"),0)</f>
        <v>0</v>
      </c>
      <c r="F123">
        <f>IFERROR(SUMIFS(INDEX(raw[[00.30]:[24.00]],0,$X$1+4),raw[Source.Name],$A$136,raw[LOKASI],"PLTU LONTAR #1"),0)</f>
        <v>0</v>
      </c>
      <c r="G123">
        <f>IFERROR(SUMIFS(INDEX(raw[[00.30]:[24.00]],0,$X$1+5),raw[Source.Name],$A$136,raw[LOKASI],"PLTU LONTAR #1"),0)</f>
        <v>0</v>
      </c>
      <c r="H123">
        <f>IFERROR(SUMIFS(INDEX(raw[[00.30]:[24.00]],0,$X$1+6),raw[Source.Name],$A$136,raw[LOKASI],"PLTU LONTAR #1"),0)</f>
        <v>0</v>
      </c>
      <c r="I123">
        <f>IFERROR(SUMIFS(INDEX(raw[[00.30]:[24.00]],0,$X$1+7),raw[Source.Name],$A$136,raw[LOKASI],"PLTU LONTAR #1"),0)</f>
        <v>0</v>
      </c>
      <c r="J123">
        <f>IFERROR(SUMIFS(INDEX(raw[[00.30]:[24.00]],0,$X$1+8),raw[Source.Name],$A$136,raw[LOKASI],"PLTU LONTAR #1"),0)</f>
        <v>0</v>
      </c>
      <c r="K123">
        <f>IFERROR(SUMIFS(INDEX(raw[[00.30]:[24.00]],0,$X$1+9),raw[Source.Name],$A$136,raw[LOKASI],"PLTU LONTAR #1"),0)</f>
        <v>0</v>
      </c>
      <c r="L123">
        <f>IFERROR(SUMIFS(INDEX(raw[[00.30]:[24.00]],0,$X$1+10),raw[Source.Name],$A$136,raw[LOKASI],"PLTU LONTAR #1"),0)</f>
        <v>0</v>
      </c>
      <c r="M123">
        <f>IFERROR(SUMIFS(INDEX(raw[[00.30]:[24.00]],0,$X$1+11),raw[Source.Name],$A$136,raw[LOKASI],"PLTU LONTAR #1"),0)</f>
        <v>0</v>
      </c>
      <c r="N123">
        <f>IFERROR(SUMIFS(INDEX(raw[[00.30]:[24.00]],0,$X$1+12),raw[Source.Name],$A$136,raw[LOKASI],"PLTU LONTAR #1"),0)</f>
        <v>0</v>
      </c>
      <c r="O123">
        <f>IFERROR(SUMIFS(INDEX(raw[[00.30]:[24.00]],0,$X$1+13),raw[Source.Name],$A$136,raw[LOKASI],"PLTU LONTAR #1"),0)</f>
        <v>0</v>
      </c>
      <c r="P123">
        <f>IFERROR(SUMIFS(INDEX(raw[[00.30]:[24.00]],0,$X$1+14),raw[Source.Name],$A$136,raw[LOKASI],"PLTU LONTAR #1"),0)</f>
        <v>0</v>
      </c>
      <c r="Q123">
        <f>IFERROR(SUMIFS(INDEX(raw[[00.30]:[24.00]],0,$X$1+15),raw[Source.Name],$A$136,raw[LOKASI],"PLTU LONTAR #1"),0)</f>
        <v>0</v>
      </c>
      <c r="R123">
        <f>IFERROR(SUMIFS(INDEX(raw[[00.30]:[24.00]],0,$X$1+16),raw[Source.Name],$A$136,raw[LOKASI],"PLTU LONTAR #1"),0)</f>
        <v>0</v>
      </c>
      <c r="S123">
        <f>IFERROR(SUMIFS(INDEX(raw[[00.30]:[24.00]],0,$X$1+17),raw[Source.Name],$A$136,raw[LOKASI],"PLTU LONTAR #1"),0)</f>
        <v>0</v>
      </c>
      <c r="T123">
        <f>IFERROR(SUMIFS(INDEX(raw[[00.30]:[24.00]],0,$X$1+18),raw[Source.Name],$A$136,raw[LOKASI],"PLTU LONTAR #1"),0)</f>
        <v>0</v>
      </c>
      <c r="U123">
        <f>IFERROR(SUMIFS(INDEX(raw[[00.30]:[24.00]],0,$X$1+19),raw[Source.Name],$A$136,raw[LOKASI],"PLTU LONTAR #1"),0)</f>
        <v>0</v>
      </c>
      <c r="V123">
        <f>IFERROR(SUMIFS(INDEX(raw[[00.30]:[24.00]],0,$X$1+20),raw[Source.Name],$A$136,raw[LOKASI],"PLTU LONTAR #1"),0)</f>
        <v>0</v>
      </c>
    </row>
    <row r="124" spans="1:22" x14ac:dyDescent="0.3">
      <c r="A124" t="s">
        <v>193</v>
      </c>
      <c r="B124" s="3" t="e">
        <f t="shared" si="5"/>
        <v>#N/A</v>
      </c>
      <c r="C124">
        <f>IFERROR(SUMIFS(INDEX(raw[[00.30]:[24.00]],0,$X$1+1),raw[Source.Name],$A$136,raw[LOKASI],"PLTU LONTAR #2"),0)</f>
        <v>275</v>
      </c>
      <c r="D124">
        <f>IFERROR(SUMIFS(INDEX(raw[[00.30]:[24.00]],0,$X$1+2),raw[Source.Name],$A$136,raw[LOKASI],"PLTU LONTAR #2"),0)</f>
        <v>280</v>
      </c>
      <c r="E124">
        <f>IFERROR(SUMIFS(INDEX(raw[[00.30]:[24.00]],0,$X$1+3),raw[Source.Name],$A$136,raw[LOKASI],"PLTU LONTAR #2"),0)</f>
        <v>280</v>
      </c>
      <c r="F124">
        <f>IFERROR(SUMIFS(INDEX(raw[[00.30]:[24.00]],0,$X$1+4),raw[Source.Name],$A$136,raw[LOKASI],"PLTU LONTAR #2"),0)</f>
        <v>280</v>
      </c>
      <c r="G124">
        <f>IFERROR(SUMIFS(INDEX(raw[[00.30]:[24.00]],0,$X$1+5),raw[Source.Name],$A$136,raw[LOKASI],"PLTU LONTAR #2"),0)</f>
        <v>280</v>
      </c>
      <c r="H124">
        <f>IFERROR(SUMIFS(INDEX(raw[[00.30]:[24.00]],0,$X$1+6),raw[Source.Name],$A$136,raw[LOKASI],"PLTU LONTAR #2"),0)</f>
        <v>280</v>
      </c>
      <c r="I124">
        <f>IFERROR(SUMIFS(INDEX(raw[[00.30]:[24.00]],0,$X$1+7),raw[Source.Name],$A$136,raw[LOKASI],"PLTU LONTAR #2"),0)</f>
        <v>280</v>
      </c>
      <c r="J124">
        <f>IFERROR(SUMIFS(INDEX(raw[[00.30]:[24.00]],0,$X$1+8),raw[Source.Name],$A$136,raw[LOKASI],"PLTU LONTAR #2"),0)</f>
        <v>280</v>
      </c>
      <c r="K124">
        <f>IFERROR(SUMIFS(INDEX(raw[[00.30]:[24.00]],0,$X$1+9),raw[Source.Name],$A$136,raw[LOKASI],"PLTU LONTAR #2"),0)</f>
        <v>280</v>
      </c>
      <c r="L124">
        <f>IFERROR(SUMIFS(INDEX(raw[[00.30]:[24.00]],0,$X$1+10),raw[Source.Name],$A$136,raw[LOKASI],"PLTU LONTAR #2"),0)</f>
        <v>280</v>
      </c>
      <c r="M124">
        <f>IFERROR(SUMIFS(INDEX(raw[[00.30]:[24.00]],0,$X$1+11),raw[Source.Name],$A$136,raw[LOKASI],"PLTU LONTAR #2"),0)</f>
        <v>280</v>
      </c>
      <c r="N124">
        <f>IFERROR(SUMIFS(INDEX(raw[[00.30]:[24.00]],0,$X$1+12),raw[Source.Name],$A$136,raw[LOKASI],"PLTU LONTAR #2"),0)</f>
        <v>280</v>
      </c>
      <c r="O124">
        <f>IFERROR(SUMIFS(INDEX(raw[[00.30]:[24.00]],0,$X$1+13),raw[Source.Name],$A$136,raw[LOKASI],"PLTU LONTAR #2"),0)</f>
        <v>280</v>
      </c>
      <c r="P124">
        <f>IFERROR(SUMIFS(INDEX(raw[[00.30]:[24.00]],0,$X$1+14),raw[Source.Name],$A$136,raw[LOKASI],"PLTU LONTAR #2"),0)</f>
        <v>280</v>
      </c>
      <c r="Q124">
        <f>IFERROR(SUMIFS(INDEX(raw[[00.30]:[24.00]],0,$X$1+15),raw[Source.Name],$A$136,raw[LOKASI],"PLTU LONTAR #2"),0)</f>
        <v>280</v>
      </c>
      <c r="R124">
        <f>IFERROR(SUMIFS(INDEX(raw[[00.30]:[24.00]],0,$X$1+16),raw[Source.Name],$A$136,raw[LOKASI],"PLTU LONTAR #2"),0)</f>
        <v>280</v>
      </c>
      <c r="S124">
        <f>IFERROR(SUMIFS(INDEX(raw[[00.30]:[24.00]],0,$X$1+17),raw[Source.Name],$A$136,raw[LOKASI],"PLTU LONTAR #2"),0)</f>
        <v>280</v>
      </c>
      <c r="T124">
        <f>IFERROR(SUMIFS(INDEX(raw[[00.30]:[24.00]],0,$X$1+18),raw[Source.Name],$A$136,raw[LOKASI],"PLTU LONTAR #2"),0)</f>
        <v>280</v>
      </c>
      <c r="U124">
        <f>IFERROR(SUMIFS(INDEX(raw[[00.30]:[24.00]],0,$X$1+19),raw[Source.Name],$A$136,raw[LOKASI],"PLTU LONTAR #2"),0)</f>
        <v>280</v>
      </c>
      <c r="V124">
        <f>IFERROR(SUMIFS(INDEX(raw[[00.30]:[24.00]],0,$X$1+20),raw[Source.Name],$A$136,raw[LOKASI],"PLTU LONTAR #2"),0)</f>
        <v>280</v>
      </c>
    </row>
    <row r="125" spans="1:22" x14ac:dyDescent="0.3">
      <c r="A125" t="s">
        <v>194</v>
      </c>
      <c r="B125" s="3" t="e">
        <f t="shared" si="5"/>
        <v>#N/A</v>
      </c>
      <c r="C125">
        <f>IFERROR(SUMIFS(INDEX(raw[[00.30]:[24.00]],0,$X$1+1),raw[Source.Name],$A$136,raw[LOKASI],"PLTU LONTAR #3"),0)</f>
        <v>275</v>
      </c>
      <c r="D125">
        <f>IFERROR(SUMIFS(INDEX(raw[[00.30]:[24.00]],0,$X$1+2),raw[Source.Name],$A$136,raw[LOKASI],"PLTU LONTAR #3"),0)</f>
        <v>280</v>
      </c>
      <c r="E125">
        <f>IFERROR(SUMIFS(INDEX(raw[[00.30]:[24.00]],0,$X$1+3),raw[Source.Name],$A$136,raw[LOKASI],"PLTU LONTAR #3"),0)</f>
        <v>280</v>
      </c>
      <c r="F125">
        <f>IFERROR(SUMIFS(INDEX(raw[[00.30]:[24.00]],0,$X$1+4),raw[Source.Name],$A$136,raw[LOKASI],"PLTU LONTAR #3"),0)</f>
        <v>280</v>
      </c>
      <c r="G125">
        <f>IFERROR(SUMIFS(INDEX(raw[[00.30]:[24.00]],0,$X$1+5),raw[Source.Name],$A$136,raw[LOKASI],"PLTU LONTAR #3"),0)</f>
        <v>280</v>
      </c>
      <c r="H125">
        <f>IFERROR(SUMIFS(INDEX(raw[[00.30]:[24.00]],0,$X$1+6),raw[Source.Name],$A$136,raw[LOKASI],"PLTU LONTAR #3"),0)</f>
        <v>280</v>
      </c>
      <c r="I125">
        <f>IFERROR(SUMIFS(INDEX(raw[[00.30]:[24.00]],0,$X$1+7),raw[Source.Name],$A$136,raw[LOKASI],"PLTU LONTAR #3"),0)</f>
        <v>280</v>
      </c>
      <c r="J125">
        <f>IFERROR(SUMIFS(INDEX(raw[[00.30]:[24.00]],0,$X$1+8),raw[Source.Name],$A$136,raw[LOKASI],"PLTU LONTAR #3"),0)</f>
        <v>280</v>
      </c>
      <c r="K125">
        <f>IFERROR(SUMIFS(INDEX(raw[[00.30]:[24.00]],0,$X$1+9),raw[Source.Name],$A$136,raw[LOKASI],"PLTU LONTAR #3"),0)</f>
        <v>280</v>
      </c>
      <c r="L125">
        <f>IFERROR(SUMIFS(INDEX(raw[[00.30]:[24.00]],0,$X$1+10),raw[Source.Name],$A$136,raw[LOKASI],"PLTU LONTAR #3"),0)</f>
        <v>280</v>
      </c>
      <c r="M125">
        <f>IFERROR(SUMIFS(INDEX(raw[[00.30]:[24.00]],0,$X$1+11),raw[Source.Name],$A$136,raw[LOKASI],"PLTU LONTAR #3"),0)</f>
        <v>280</v>
      </c>
      <c r="N125">
        <f>IFERROR(SUMIFS(INDEX(raw[[00.30]:[24.00]],0,$X$1+12),raw[Source.Name],$A$136,raw[LOKASI],"PLTU LONTAR #3"),0)</f>
        <v>280</v>
      </c>
      <c r="O125">
        <f>IFERROR(SUMIFS(INDEX(raw[[00.30]:[24.00]],0,$X$1+13),raw[Source.Name],$A$136,raw[LOKASI],"PLTU LONTAR #3"),0)</f>
        <v>280</v>
      </c>
      <c r="P125">
        <f>IFERROR(SUMIFS(INDEX(raw[[00.30]:[24.00]],0,$X$1+14),raw[Source.Name],$A$136,raw[LOKASI],"PLTU LONTAR #3"),0)</f>
        <v>280</v>
      </c>
      <c r="Q125">
        <f>IFERROR(SUMIFS(INDEX(raw[[00.30]:[24.00]],0,$X$1+15),raw[Source.Name],$A$136,raw[LOKASI],"PLTU LONTAR #3"),0)</f>
        <v>280</v>
      </c>
      <c r="R125">
        <f>IFERROR(SUMIFS(INDEX(raw[[00.30]:[24.00]],0,$X$1+16),raw[Source.Name],$A$136,raw[LOKASI],"PLTU LONTAR #3"),0)</f>
        <v>280</v>
      </c>
      <c r="S125">
        <f>IFERROR(SUMIFS(INDEX(raw[[00.30]:[24.00]],0,$X$1+17),raw[Source.Name],$A$136,raw[LOKASI],"PLTU LONTAR #3"),0)</f>
        <v>280</v>
      </c>
      <c r="T125">
        <f>IFERROR(SUMIFS(INDEX(raw[[00.30]:[24.00]],0,$X$1+18),raw[Source.Name],$A$136,raw[LOKASI],"PLTU LONTAR #3"),0)</f>
        <v>280</v>
      </c>
      <c r="U125">
        <f>IFERROR(SUMIFS(INDEX(raw[[00.30]:[24.00]],0,$X$1+19),raw[Source.Name],$A$136,raw[LOKASI],"PLTU LONTAR #3"),0)</f>
        <v>280</v>
      </c>
      <c r="V125">
        <f>IFERROR(SUMIFS(INDEX(raw[[00.30]:[24.00]],0,$X$1+20),raw[Source.Name],$A$136,raw[LOKASI],"PLTU LONTAR #3"),0)</f>
        <v>280</v>
      </c>
    </row>
    <row r="126" spans="1:22" x14ac:dyDescent="0.3">
      <c r="A126" t="s">
        <v>195</v>
      </c>
      <c r="B126" s="3" t="e">
        <f t="shared" si="5"/>
        <v>#N/A</v>
      </c>
      <c r="C126">
        <f>IFERROR(SUMIFS(INDEX(raw[[00.30]:[24.00]],0,$X$1+1),raw[Source.Name],$A$136,raw[LOKASI],"PLTU LONTAR #4"),0)</f>
        <v>220</v>
      </c>
      <c r="D126">
        <f>IFERROR(SUMIFS(INDEX(raw[[00.30]:[24.00]],0,$X$1+2),raw[Source.Name],$A$136,raw[LOKASI],"PLTU LONTAR #4"),0)</f>
        <v>220</v>
      </c>
      <c r="E126">
        <f>IFERROR(SUMIFS(INDEX(raw[[00.30]:[24.00]],0,$X$1+3),raw[Source.Name],$A$136,raw[LOKASI],"PLTU LONTAR #4"),0)</f>
        <v>220</v>
      </c>
      <c r="F126">
        <f>IFERROR(SUMIFS(INDEX(raw[[00.30]:[24.00]],0,$X$1+4),raw[Source.Name],$A$136,raw[LOKASI],"PLTU LONTAR #4"),0)</f>
        <v>220</v>
      </c>
      <c r="G126">
        <f>IFERROR(SUMIFS(INDEX(raw[[00.30]:[24.00]],0,$X$1+5),raw[Source.Name],$A$136,raw[LOKASI],"PLTU LONTAR #4"),0)</f>
        <v>220</v>
      </c>
      <c r="H126">
        <f>IFERROR(SUMIFS(INDEX(raw[[00.30]:[24.00]],0,$X$1+6),raw[Source.Name],$A$136,raw[LOKASI],"PLTU LONTAR #4"),0)</f>
        <v>220</v>
      </c>
      <c r="I126">
        <f>IFERROR(SUMIFS(INDEX(raw[[00.30]:[24.00]],0,$X$1+7),raw[Source.Name],$A$136,raw[LOKASI],"PLTU LONTAR #4"),0)</f>
        <v>220</v>
      </c>
      <c r="J126">
        <f>IFERROR(SUMIFS(INDEX(raw[[00.30]:[24.00]],0,$X$1+8),raw[Source.Name],$A$136,raw[LOKASI],"PLTU LONTAR #4"),0)</f>
        <v>220</v>
      </c>
      <c r="K126">
        <f>IFERROR(SUMIFS(INDEX(raw[[00.30]:[24.00]],0,$X$1+9),raw[Source.Name],$A$136,raw[LOKASI],"PLTU LONTAR #4"),0)</f>
        <v>220</v>
      </c>
      <c r="L126">
        <f>IFERROR(SUMIFS(INDEX(raw[[00.30]:[24.00]],0,$X$1+10),raw[Source.Name],$A$136,raw[LOKASI],"PLTU LONTAR #4"),0)</f>
        <v>220</v>
      </c>
      <c r="M126">
        <f>IFERROR(SUMIFS(INDEX(raw[[00.30]:[24.00]],0,$X$1+11),raw[Source.Name],$A$136,raw[LOKASI],"PLTU LONTAR #4"),0)</f>
        <v>220</v>
      </c>
      <c r="N126">
        <f>IFERROR(SUMIFS(INDEX(raw[[00.30]:[24.00]],0,$X$1+12),raw[Source.Name],$A$136,raw[LOKASI],"PLTU LONTAR #4"),0)</f>
        <v>220</v>
      </c>
      <c r="O126">
        <f>IFERROR(SUMIFS(INDEX(raw[[00.30]:[24.00]],0,$X$1+13),raw[Source.Name],$A$136,raw[LOKASI],"PLTU LONTAR #4"),0)</f>
        <v>220</v>
      </c>
      <c r="P126">
        <f>IFERROR(SUMIFS(INDEX(raw[[00.30]:[24.00]],0,$X$1+14),raw[Source.Name],$A$136,raw[LOKASI],"PLTU LONTAR #4"),0)</f>
        <v>220</v>
      </c>
      <c r="Q126">
        <f>IFERROR(SUMIFS(INDEX(raw[[00.30]:[24.00]],0,$X$1+15),raw[Source.Name],$A$136,raw[LOKASI],"PLTU LONTAR #4"),0)</f>
        <v>220</v>
      </c>
      <c r="R126">
        <f>IFERROR(SUMIFS(INDEX(raw[[00.30]:[24.00]],0,$X$1+16),raw[Source.Name],$A$136,raw[LOKASI],"PLTU LONTAR #4"),0)</f>
        <v>220</v>
      </c>
      <c r="S126">
        <f>IFERROR(SUMIFS(INDEX(raw[[00.30]:[24.00]],0,$X$1+17),raw[Source.Name],$A$136,raw[LOKASI],"PLTU LONTAR #4"),0)</f>
        <v>220</v>
      </c>
      <c r="T126">
        <f>IFERROR(SUMIFS(INDEX(raw[[00.30]:[24.00]],0,$X$1+18),raw[Source.Name],$A$136,raw[LOKASI],"PLTU LONTAR #4"),0)</f>
        <v>220</v>
      </c>
      <c r="U126">
        <f>IFERROR(SUMIFS(INDEX(raw[[00.30]:[24.00]],0,$X$1+19),raw[Source.Name],$A$136,raw[LOKASI],"PLTU LONTAR #4"),0)</f>
        <v>220</v>
      </c>
      <c r="V126">
        <f>IFERROR(SUMIFS(INDEX(raw[[00.30]:[24.00]],0,$X$1+20),raw[Source.Name],$A$136,raw[LOKASI],"PLTU LONTAR #4"),0)</f>
        <v>220</v>
      </c>
    </row>
    <row r="127" spans="1:22" x14ac:dyDescent="0.3">
      <c r="A127" t="s">
        <v>196</v>
      </c>
      <c r="B127" s="3">
        <f>IF(VLOOKUP("PLTU SRLYA #8",$A$7:$B$52,2,FALSE),1,0)</f>
        <v>0</v>
      </c>
      <c r="C127">
        <f>IFERROR(SUMIFS(INDEX(raw[[00.30]:[24.00]],0,$X$1+1),raw[Source.Name],$A$136,raw[LOKASI],"PLTU SRLYA #8"),0)</f>
        <v>400</v>
      </c>
      <c r="D127">
        <f>IFERROR(SUMIFS(INDEX(raw[[00.30]:[24.00]],0,$X$1+2),raw[Source.Name],$A$136,raw[LOKASI],"PLTU SRLYA #8"),0)</f>
        <v>400</v>
      </c>
      <c r="E127">
        <f>IFERROR(SUMIFS(INDEX(raw[[00.30]:[24.00]],0,$X$1+3),raw[Source.Name],$A$136,raw[LOKASI],"PLTU SRLYA #8"),0)</f>
        <v>400</v>
      </c>
      <c r="F127">
        <f>IFERROR(SUMIFS(INDEX(raw[[00.30]:[24.00]],0,$X$1+4),raw[Source.Name],$A$136,raw[LOKASI],"PLTU SRLYA #8"),0)</f>
        <v>400</v>
      </c>
      <c r="G127">
        <f>IFERROR(SUMIFS(INDEX(raw[[00.30]:[24.00]],0,$X$1+5),raw[Source.Name],$A$136,raw[LOKASI],"PLTU SRLYA #8"),0)</f>
        <v>400</v>
      </c>
      <c r="H127">
        <f>IFERROR(SUMIFS(INDEX(raw[[00.30]:[24.00]],0,$X$1+6),raw[Source.Name],$A$136,raw[LOKASI],"PLTU SRLYA #8"),0)</f>
        <v>400</v>
      </c>
      <c r="I127">
        <f>IFERROR(SUMIFS(INDEX(raw[[00.30]:[24.00]],0,$X$1+7),raw[Source.Name],$A$136,raw[LOKASI],"PLTU SRLYA #8"),0)</f>
        <v>400</v>
      </c>
      <c r="J127">
        <f>IFERROR(SUMIFS(INDEX(raw[[00.30]:[24.00]],0,$X$1+8),raw[Source.Name],$A$136,raw[LOKASI],"PLTU SRLYA #8"),0)</f>
        <v>400</v>
      </c>
      <c r="K127">
        <f>IFERROR(SUMIFS(INDEX(raw[[00.30]:[24.00]],0,$X$1+9),raw[Source.Name],$A$136,raw[LOKASI],"PLTU SRLYA #8"),0)</f>
        <v>400</v>
      </c>
      <c r="L127">
        <f>IFERROR(SUMIFS(INDEX(raw[[00.30]:[24.00]],0,$X$1+10),raw[Source.Name],$A$136,raw[LOKASI],"PLTU SRLYA #8"),0)</f>
        <v>400</v>
      </c>
      <c r="M127">
        <f>IFERROR(SUMIFS(INDEX(raw[[00.30]:[24.00]],0,$X$1+11),raw[Source.Name],$A$136,raw[LOKASI],"PLTU SRLYA #8"),0)</f>
        <v>400</v>
      </c>
      <c r="N127">
        <f>IFERROR(SUMIFS(INDEX(raw[[00.30]:[24.00]],0,$X$1+12),raw[Source.Name],$A$136,raw[LOKASI],"PLTU SRLYA #8"),0)</f>
        <v>400</v>
      </c>
      <c r="O127">
        <f>IFERROR(SUMIFS(INDEX(raw[[00.30]:[24.00]],0,$X$1+13),raw[Source.Name],$A$136,raw[LOKASI],"PLTU SRLYA #8"),0)</f>
        <v>400</v>
      </c>
      <c r="P127">
        <f>IFERROR(SUMIFS(INDEX(raw[[00.30]:[24.00]],0,$X$1+14),raw[Source.Name],$A$136,raw[LOKASI],"PLTU SRLYA #8"),0)</f>
        <v>400</v>
      </c>
      <c r="Q127">
        <f>IFERROR(SUMIFS(INDEX(raw[[00.30]:[24.00]],0,$X$1+15),raw[Source.Name],$A$136,raw[LOKASI],"PLTU SRLYA #8"),0)</f>
        <v>400</v>
      </c>
      <c r="R127">
        <f>IFERROR(SUMIFS(INDEX(raw[[00.30]:[24.00]],0,$X$1+16),raw[Source.Name],$A$136,raw[LOKASI],"PLTU SRLYA #8"),0)</f>
        <v>400</v>
      </c>
      <c r="S127">
        <f>IFERROR(SUMIFS(INDEX(raw[[00.30]:[24.00]],0,$X$1+17),raw[Source.Name],$A$136,raw[LOKASI],"PLTU SRLYA #8"),0)</f>
        <v>400</v>
      </c>
      <c r="T127">
        <f>IFERROR(SUMIFS(INDEX(raw[[00.30]:[24.00]],0,$X$1+18),raw[Source.Name],$A$136,raw[LOKASI],"PLTU SRLYA #8"),0)</f>
        <v>400</v>
      </c>
      <c r="U127">
        <f>IFERROR(SUMIFS(INDEX(raw[[00.30]:[24.00]],0,$X$1+19),raw[Source.Name],$A$136,raw[LOKASI],"PLTU SRLYA #8"),0)</f>
        <v>400</v>
      </c>
      <c r="V127">
        <f>IFERROR(SUMIFS(INDEX(raw[[00.30]:[24.00]],0,$X$1+20),raw[Source.Name],$A$136,raw[LOKASI],"PLTU SRLYA #8"),0)</f>
        <v>400</v>
      </c>
    </row>
    <row r="130" spans="1:1" x14ac:dyDescent="0.3">
      <c r="A130" t="s">
        <v>197</v>
      </c>
    </row>
    <row r="131" spans="1:1" x14ac:dyDescent="0.3">
      <c r="A131" t="s">
        <v>1</v>
      </c>
    </row>
    <row r="132" spans="1:1" x14ac:dyDescent="0.3">
      <c r="A132" t="s">
        <v>680</v>
      </c>
    </row>
    <row r="133" spans="1:1" x14ac:dyDescent="0.3">
      <c r="A133" t="s">
        <v>0</v>
      </c>
    </row>
    <row r="134" spans="1:1" x14ac:dyDescent="0.3">
      <c r="A134" t="s">
        <v>198</v>
      </c>
    </row>
    <row r="135" spans="1:1" x14ac:dyDescent="0.3">
      <c r="A135" t="str">
        <f>IF(A1="ROH_ORI","ROH-009B-Awal","ROH-009B")</f>
        <v>ROH-009B</v>
      </c>
    </row>
    <row r="136" spans="1:1" x14ac:dyDescent="0.3">
      <c r="A136" t="str">
        <f>IF($A$1="ROH_ORI","ROH",IF($A$1="ROH_INT","INT",$A$1))</f>
        <v>ROH</v>
      </c>
    </row>
    <row r="572" spans="1:2" x14ac:dyDescent="0.3">
      <c r="A572" t="e">
        <f>MATCH("BEBAN  SISTEM",H130:H608,0)</f>
        <v>#N/A</v>
      </c>
      <c r="B572" t="s">
        <v>199</v>
      </c>
    </row>
  </sheetData>
  <mergeCells count="24">
    <mergeCell ref="AK2:AL2"/>
    <mergeCell ref="AI5:AJ5"/>
    <mergeCell ref="AM7:AN7"/>
    <mergeCell ref="AK6:AL6"/>
    <mergeCell ref="AI3:AJ3"/>
    <mergeCell ref="AM6:AN6"/>
    <mergeCell ref="AM3:AN3"/>
    <mergeCell ref="AM2:AN2"/>
    <mergeCell ref="AO2:AP2"/>
    <mergeCell ref="AK7:AL7"/>
    <mergeCell ref="AI1:AJ1"/>
    <mergeCell ref="AO7:AP7"/>
    <mergeCell ref="AK4:AL4"/>
    <mergeCell ref="AK3:AL3"/>
    <mergeCell ref="AI6:AJ6"/>
    <mergeCell ref="AK5:AL5"/>
    <mergeCell ref="AM5:AN5"/>
    <mergeCell ref="AM1:AN1"/>
    <mergeCell ref="AI4:AJ4"/>
    <mergeCell ref="AI7:AJ7"/>
    <mergeCell ref="AK1:AL1"/>
    <mergeCell ref="AO1:AP1"/>
    <mergeCell ref="AM4:AN4"/>
    <mergeCell ref="AI2:AJ2"/>
  </mergeCells>
  <conditionalFormatting sqref="D71:D127">
    <cfRule type="expression" dxfId="41" priority="35">
      <formula>$D71&lt;$C71</formula>
    </cfRule>
    <cfRule type="expression" dxfId="40" priority="36">
      <formula>$D71&gt;$C71</formula>
    </cfRule>
  </conditionalFormatting>
  <conditionalFormatting sqref="E71:E127">
    <cfRule type="expression" dxfId="39" priority="33">
      <formula>$E71&lt;$D71</formula>
    </cfRule>
    <cfRule type="expression" dxfId="38" priority="34">
      <formula>$E71&gt;$D71</formula>
    </cfRule>
  </conditionalFormatting>
  <conditionalFormatting sqref="F71:F127">
    <cfRule type="expression" dxfId="37" priority="31">
      <formula>$F71&lt;$E71</formula>
    </cfRule>
    <cfRule type="expression" dxfId="36" priority="32">
      <formula>$F71&gt;$E71</formula>
    </cfRule>
  </conditionalFormatting>
  <conditionalFormatting sqref="G71:G127">
    <cfRule type="expression" dxfId="35" priority="29">
      <formula>$G71&lt;$F71</formula>
    </cfRule>
    <cfRule type="expression" dxfId="34" priority="30">
      <formula>$G71&gt;$F71</formula>
    </cfRule>
  </conditionalFormatting>
  <conditionalFormatting sqref="H71:H127">
    <cfRule type="expression" dxfId="33" priority="28">
      <formula>$H71&gt;$G71</formula>
    </cfRule>
    <cfRule type="expression" dxfId="32" priority="27">
      <formula>$H71&lt;$G71</formula>
    </cfRule>
  </conditionalFormatting>
  <conditionalFormatting sqref="I71:I127">
    <cfRule type="expression" dxfId="31" priority="26">
      <formula>$I71&lt;$H71</formula>
    </cfRule>
    <cfRule type="expression" dxfId="30" priority="25">
      <formula>$I71&gt;$H71</formula>
    </cfRule>
  </conditionalFormatting>
  <conditionalFormatting sqref="J71:J127">
    <cfRule type="expression" dxfId="29" priority="24">
      <formula>$J71&gt;$I71</formula>
    </cfRule>
    <cfRule type="expression" dxfId="28" priority="23">
      <formula>$J71&lt;$I71</formula>
    </cfRule>
  </conditionalFormatting>
  <conditionalFormatting sqref="K71:K127">
    <cfRule type="expression" dxfId="27" priority="22">
      <formula>$K71&gt;$J71</formula>
    </cfRule>
    <cfRule type="expression" dxfId="26" priority="21">
      <formula>$K71&lt;$J71</formula>
    </cfRule>
  </conditionalFormatting>
  <conditionalFormatting sqref="L71:L127">
    <cfRule type="expression" dxfId="25" priority="19">
      <formula>$L71&lt;$K71</formula>
    </cfRule>
    <cfRule type="expression" dxfId="24" priority="20">
      <formula>$L71&gt;$K71</formula>
    </cfRule>
  </conditionalFormatting>
  <conditionalFormatting sqref="M71:M127">
    <cfRule type="expression" dxfId="23" priority="17">
      <formula>$M71&lt;$L71</formula>
    </cfRule>
    <cfRule type="expression" dxfId="22" priority="18">
      <formula>$M71&gt;$L71</formula>
    </cfRule>
  </conditionalFormatting>
  <conditionalFormatting sqref="N71:N127">
    <cfRule type="expression" dxfId="21" priority="15">
      <formula>$N71&gt;$M71</formula>
    </cfRule>
    <cfRule type="expression" dxfId="20" priority="16">
      <formula>$N71&lt;$M71</formula>
    </cfRule>
  </conditionalFormatting>
  <conditionalFormatting sqref="O71:O127">
    <cfRule type="expression" dxfId="19" priority="13">
      <formula>$O71&lt;$N71</formula>
    </cfRule>
    <cfRule type="expression" dxfId="18" priority="14">
      <formula>$O71&gt;$N71</formula>
    </cfRule>
  </conditionalFormatting>
  <conditionalFormatting sqref="P71:P127">
    <cfRule type="expression" dxfId="17" priority="11">
      <formula>$P71&lt;$O71</formula>
    </cfRule>
    <cfRule type="expression" dxfId="16" priority="12">
      <formula>$P71&gt;$O71</formula>
    </cfRule>
  </conditionalFormatting>
  <conditionalFormatting sqref="Q71:Q127">
    <cfRule type="expression" dxfId="15" priority="9">
      <formula>$Q71&lt;$P71</formula>
    </cfRule>
    <cfRule type="expression" dxfId="14" priority="10">
      <formula>$Q71&gt;$P71</formula>
    </cfRule>
  </conditionalFormatting>
  <conditionalFormatting sqref="R71:R118">
    <cfRule type="expression" dxfId="13" priority="44">
      <formula>$R12&lt;$Q12</formula>
    </cfRule>
    <cfRule type="expression" dxfId="12" priority="43">
      <formula>$R12&gt;$Q12</formula>
    </cfRule>
  </conditionalFormatting>
  <conditionalFormatting sqref="R119:R122">
    <cfRule type="expression" dxfId="11" priority="38">
      <formula>$R61&lt;$Q61</formula>
    </cfRule>
    <cfRule type="expression" dxfId="10" priority="37">
      <formula>$R61&gt;$Q61</formula>
    </cfRule>
  </conditionalFormatting>
  <conditionalFormatting sqref="R123">
    <cfRule type="expression" dxfId="9" priority="41">
      <formula>#REF!&gt;$R66</formula>
    </cfRule>
    <cfRule type="expression" dxfId="8" priority="42">
      <formula>#REF!&lt;$R66</formula>
    </cfRule>
  </conditionalFormatting>
  <conditionalFormatting sqref="R124:R127">
    <cfRule type="expression" dxfId="7" priority="8">
      <formula>$R68&lt;$Q68</formula>
    </cfRule>
    <cfRule type="expression" dxfId="6" priority="7">
      <formula>$R68&gt;$Q68</formula>
    </cfRule>
  </conditionalFormatting>
  <conditionalFormatting sqref="S71:S127">
    <cfRule type="expression" dxfId="5" priority="5">
      <formula>$S71&gt;$R71</formula>
    </cfRule>
    <cfRule type="expression" dxfId="4" priority="6">
      <formula>$S71&lt;$R71</formula>
    </cfRule>
  </conditionalFormatting>
  <conditionalFormatting sqref="T71:T127">
    <cfRule type="expression" dxfId="3" priority="4">
      <formula>$T71&gt;$S71</formula>
    </cfRule>
    <cfRule type="expression" dxfId="2" priority="3">
      <formula>$T71&lt;$S71</formula>
    </cfRule>
  </conditionalFormatting>
  <conditionalFormatting sqref="U71:U127">
    <cfRule type="expression" dxfId="1" priority="2">
      <formula>$U71&lt;$T71</formula>
    </cfRule>
    <cfRule type="expression" dxfId="0" priority="1">
      <formula>$U71&gt;$T71</formula>
    </cfRule>
  </conditionalFormatting>
  <dataValidations count="2">
    <dataValidation type="list" allowBlank="1" showInputMessage="1" showErrorMessage="1" sqref="B1 W1" xr:uid="{00000000-0002-0000-0000-000000000000}">
      <formula1>$A$130:$A$132</formula1>
    </dataValidation>
    <dataValidation type="list" allowBlank="1" showInputMessage="1" showErrorMessage="1" sqref="A1" xr:uid="{BACF4444-9D48-4662-85CB-8D96942105D0}">
      <formula1>"INT,ROH,RT"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37" workbookViewId="0">
      <selection activeCell="J19" sqref="J19"/>
    </sheetView>
  </sheetViews>
  <sheetFormatPr defaultRowHeight="14.4" x14ac:dyDescent="0.3"/>
  <sheetData>
    <row r="1" spans="1:10" x14ac:dyDescent="0.3">
      <c r="B1" t="s">
        <v>200</v>
      </c>
      <c r="D1" t="s">
        <v>201</v>
      </c>
    </row>
    <row r="2" spans="1:10" x14ac:dyDescent="0.3">
      <c r="A2" s="21">
        <v>2.0833333333333329E-2</v>
      </c>
      <c r="B2" s="3">
        <v>416</v>
      </c>
    </row>
    <row r="3" spans="1:10" x14ac:dyDescent="0.3">
      <c r="A3" s="21">
        <v>4.1666666666666657E-2</v>
      </c>
      <c r="B3" s="3">
        <v>417</v>
      </c>
      <c r="J3" t="s">
        <v>202</v>
      </c>
    </row>
    <row r="4" spans="1:10" x14ac:dyDescent="0.3">
      <c r="A4" s="21">
        <v>6.25E-2</v>
      </c>
      <c r="B4" s="3">
        <v>417</v>
      </c>
    </row>
    <row r="5" spans="1:10" x14ac:dyDescent="0.3">
      <c r="A5" s="21">
        <v>8.3333333333333329E-2</v>
      </c>
      <c r="B5" s="3">
        <v>415</v>
      </c>
    </row>
    <row r="6" spans="1:10" x14ac:dyDescent="0.3">
      <c r="A6" s="21">
        <v>0.1041666666666667</v>
      </c>
      <c r="B6" s="3">
        <v>415</v>
      </c>
    </row>
    <row r="7" spans="1:10" x14ac:dyDescent="0.3">
      <c r="A7" s="21">
        <v>0.125</v>
      </c>
      <c r="B7" s="3">
        <v>414</v>
      </c>
    </row>
    <row r="8" spans="1:10" x14ac:dyDescent="0.3">
      <c r="A8" s="21">
        <v>0.14583333333333329</v>
      </c>
      <c r="B8" s="3">
        <v>415</v>
      </c>
    </row>
    <row r="9" spans="1:10" x14ac:dyDescent="0.3">
      <c r="A9" s="21">
        <v>0.16666666666666671</v>
      </c>
      <c r="B9" s="3">
        <v>414</v>
      </c>
    </row>
    <row r="10" spans="1:10" x14ac:dyDescent="0.3">
      <c r="A10" s="21">
        <v>0.1875</v>
      </c>
      <c r="B10" s="3">
        <v>415</v>
      </c>
    </row>
    <row r="11" spans="1:10" x14ac:dyDescent="0.3">
      <c r="A11" s="21">
        <v>0.20833333333333329</v>
      </c>
      <c r="B11" s="3">
        <v>418</v>
      </c>
    </row>
    <row r="12" spans="1:10" x14ac:dyDescent="0.3">
      <c r="A12" s="21">
        <v>0.22916666666666671</v>
      </c>
      <c r="B12" s="3">
        <v>416</v>
      </c>
    </row>
    <row r="13" spans="1:10" x14ac:dyDescent="0.3">
      <c r="A13" s="21">
        <v>0.25</v>
      </c>
      <c r="B13" s="3">
        <v>415</v>
      </c>
    </row>
    <row r="14" spans="1:10" x14ac:dyDescent="0.3">
      <c r="A14" s="21">
        <v>0.27083333333333331</v>
      </c>
      <c r="B14" s="3">
        <v>418</v>
      </c>
    </row>
    <row r="15" spans="1:10" x14ac:dyDescent="0.3">
      <c r="A15" s="21">
        <v>0.29166666666666669</v>
      </c>
      <c r="B15" s="3">
        <v>418</v>
      </c>
    </row>
    <row r="16" spans="1:10" x14ac:dyDescent="0.3">
      <c r="A16" s="21">
        <v>0.3125</v>
      </c>
      <c r="B16" s="3">
        <v>450</v>
      </c>
    </row>
    <row r="17" spans="1:2" x14ac:dyDescent="0.3">
      <c r="A17" s="21">
        <v>0.33333333333333331</v>
      </c>
      <c r="B17" s="3">
        <v>418</v>
      </c>
    </row>
    <row r="18" spans="1:2" x14ac:dyDescent="0.3">
      <c r="A18" s="21">
        <v>0.35416666666666669</v>
      </c>
      <c r="B18" s="3">
        <v>550</v>
      </c>
    </row>
    <row r="19" spans="1:2" x14ac:dyDescent="0.3">
      <c r="A19" s="21">
        <v>0.375</v>
      </c>
      <c r="B19" s="3">
        <v>600</v>
      </c>
    </row>
    <row r="20" spans="1:2" x14ac:dyDescent="0.3">
      <c r="A20" s="21">
        <v>0.39583333333333331</v>
      </c>
      <c r="B20" s="3">
        <v>650</v>
      </c>
    </row>
    <row r="21" spans="1:2" x14ac:dyDescent="0.3">
      <c r="A21" s="21">
        <v>0.41666666666666669</v>
      </c>
      <c r="B21" s="3">
        <v>550</v>
      </c>
    </row>
    <row r="22" spans="1:2" x14ac:dyDescent="0.3">
      <c r="A22" s="21">
        <v>0.4375</v>
      </c>
      <c r="B22" s="3">
        <v>650</v>
      </c>
    </row>
    <row r="23" spans="1:2" x14ac:dyDescent="0.3">
      <c r="A23" s="21">
        <v>0.45833333333333331</v>
      </c>
      <c r="B23" s="3">
        <v>750</v>
      </c>
    </row>
    <row r="24" spans="1:2" x14ac:dyDescent="0.3">
      <c r="A24" s="21">
        <v>0.47916666666666669</v>
      </c>
      <c r="B24" s="3">
        <v>750</v>
      </c>
    </row>
    <row r="25" spans="1:2" x14ac:dyDescent="0.3">
      <c r="A25" s="21">
        <v>0.5</v>
      </c>
      <c r="B25" s="3">
        <v>750</v>
      </c>
    </row>
    <row r="26" spans="1:2" x14ac:dyDescent="0.3">
      <c r="A26" s="21">
        <v>0.52083333333333337</v>
      </c>
      <c r="B26" s="3">
        <v>750</v>
      </c>
    </row>
    <row r="27" spans="1:2" x14ac:dyDescent="0.3">
      <c r="A27" s="21">
        <v>0.54166666666666663</v>
      </c>
      <c r="B27" s="3">
        <v>850</v>
      </c>
    </row>
    <row r="28" spans="1:2" x14ac:dyDescent="0.3">
      <c r="A28" s="21">
        <v>0.5625</v>
      </c>
      <c r="B28" s="3">
        <v>900</v>
      </c>
    </row>
    <row r="29" spans="1:2" x14ac:dyDescent="0.3">
      <c r="A29" s="21">
        <v>0.58333333333333337</v>
      </c>
      <c r="B29" s="3">
        <v>900</v>
      </c>
    </row>
    <row r="30" spans="1:2" x14ac:dyDescent="0.3">
      <c r="A30" s="21">
        <v>0.60416666666666663</v>
      </c>
      <c r="B30" s="3">
        <v>950</v>
      </c>
    </row>
    <row r="31" spans="1:2" x14ac:dyDescent="0.3">
      <c r="A31" s="21">
        <v>0.625</v>
      </c>
      <c r="B31" s="3">
        <v>850</v>
      </c>
    </row>
    <row r="32" spans="1:2" x14ac:dyDescent="0.3">
      <c r="A32" s="21">
        <v>0.64583333333333337</v>
      </c>
      <c r="B32" s="3">
        <v>850</v>
      </c>
    </row>
    <row r="33" spans="1:2" x14ac:dyDescent="0.3">
      <c r="A33" s="21">
        <v>0.66666666666666663</v>
      </c>
      <c r="B33" s="3">
        <v>750</v>
      </c>
    </row>
    <row r="34" spans="1:2" x14ac:dyDescent="0.3">
      <c r="A34" s="21">
        <v>0.6875</v>
      </c>
      <c r="B34" s="3">
        <v>750</v>
      </c>
    </row>
    <row r="35" spans="1:2" x14ac:dyDescent="0.3">
      <c r="A35" s="21">
        <v>0.70833333333333337</v>
      </c>
      <c r="B35" s="3">
        <v>850</v>
      </c>
    </row>
    <row r="36" spans="1:2" x14ac:dyDescent="0.3">
      <c r="A36" s="21">
        <v>0.72916666666666663</v>
      </c>
      <c r="B36" s="3">
        <v>900</v>
      </c>
    </row>
    <row r="37" spans="1:2" x14ac:dyDescent="0.3">
      <c r="A37" s="21">
        <v>0.75</v>
      </c>
      <c r="B37" s="3">
        <v>900</v>
      </c>
    </row>
    <row r="38" spans="1:2" x14ac:dyDescent="0.3">
      <c r="A38" s="21">
        <v>0.77083333333333337</v>
      </c>
      <c r="B38" s="3">
        <v>900</v>
      </c>
    </row>
    <row r="39" spans="1:2" x14ac:dyDescent="0.3">
      <c r="A39" s="21">
        <v>0.79166666666666663</v>
      </c>
      <c r="B39" s="3">
        <v>850</v>
      </c>
    </row>
    <row r="40" spans="1:2" x14ac:dyDescent="0.3">
      <c r="A40" s="21">
        <v>0.8125</v>
      </c>
      <c r="B40" s="3">
        <v>750</v>
      </c>
    </row>
    <row r="41" spans="1:2" x14ac:dyDescent="0.3">
      <c r="A41" s="21">
        <v>0.83333333333333337</v>
      </c>
      <c r="B41" s="3">
        <v>750</v>
      </c>
    </row>
    <row r="42" spans="1:2" x14ac:dyDescent="0.3">
      <c r="A42" s="21">
        <v>0.85416666666666663</v>
      </c>
      <c r="B42" s="3">
        <v>550</v>
      </c>
    </row>
    <row r="43" spans="1:2" x14ac:dyDescent="0.3">
      <c r="A43" s="21">
        <v>0.875</v>
      </c>
      <c r="B43" s="3">
        <v>700</v>
      </c>
    </row>
    <row r="44" spans="1:2" x14ac:dyDescent="0.3">
      <c r="A44" s="21">
        <v>0.89583333333333337</v>
      </c>
      <c r="B44" s="3">
        <v>416</v>
      </c>
    </row>
    <row r="45" spans="1:2" x14ac:dyDescent="0.3">
      <c r="A45" s="21">
        <v>0.91666666666666663</v>
      </c>
      <c r="B45" s="3">
        <v>416</v>
      </c>
    </row>
    <row r="46" spans="1:2" x14ac:dyDescent="0.3">
      <c r="A46" s="21">
        <v>0.9375</v>
      </c>
      <c r="B46" s="3">
        <v>416</v>
      </c>
    </row>
    <row r="47" spans="1:2" x14ac:dyDescent="0.3">
      <c r="A47" s="21">
        <v>0.95833333333333337</v>
      </c>
      <c r="B47" s="3">
        <v>416</v>
      </c>
    </row>
    <row r="48" spans="1:2" x14ac:dyDescent="0.3">
      <c r="A48" s="21">
        <v>0.97916666666666663</v>
      </c>
      <c r="B48" s="3">
        <v>416</v>
      </c>
    </row>
    <row r="49" spans="1:2" x14ac:dyDescent="0.3">
      <c r="A49" s="21">
        <v>1</v>
      </c>
      <c r="B49" s="3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00"/>
  <sheetViews>
    <sheetView workbookViewId="0"/>
  </sheetViews>
  <sheetFormatPr defaultRowHeight="14.4" x14ac:dyDescent="0.3"/>
  <sheetData>
    <row r="1" spans="1:50" x14ac:dyDescent="0.3">
      <c r="A1" t="s">
        <v>203</v>
      </c>
      <c r="B1" t="s">
        <v>131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</row>
    <row r="3" spans="1:50" x14ac:dyDescent="0.3">
      <c r="A3" t="s">
        <v>252</v>
      </c>
    </row>
    <row r="4" spans="1:50" x14ac:dyDescent="0.3"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253</v>
      </c>
      <c r="I4" t="s">
        <v>253</v>
      </c>
      <c r="J4" t="s">
        <v>253</v>
      </c>
      <c r="K4" t="s">
        <v>253</v>
      </c>
      <c r="L4" t="s">
        <v>253</v>
      </c>
      <c r="M4" t="s">
        <v>253</v>
      </c>
      <c r="N4" t="s">
        <v>253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t="s">
        <v>253</v>
      </c>
      <c r="Y4" t="s">
        <v>253</v>
      </c>
      <c r="Z4" t="s">
        <v>253</v>
      </c>
      <c r="AA4" t="s">
        <v>253</v>
      </c>
      <c r="AB4" t="s">
        <v>253</v>
      </c>
      <c r="AC4" t="s">
        <v>253</v>
      </c>
      <c r="AD4" t="s">
        <v>253</v>
      </c>
      <c r="AE4" t="s">
        <v>253</v>
      </c>
      <c r="AF4" t="s">
        <v>253</v>
      </c>
      <c r="AG4" t="s">
        <v>253</v>
      </c>
      <c r="AH4" t="s">
        <v>253</v>
      </c>
      <c r="AI4" t="s">
        <v>253</v>
      </c>
      <c r="AJ4" t="s">
        <v>253</v>
      </c>
      <c r="AK4" t="s">
        <v>253</v>
      </c>
      <c r="AL4" t="s">
        <v>253</v>
      </c>
      <c r="AM4" t="s">
        <v>253</v>
      </c>
      <c r="AN4" t="s">
        <v>253</v>
      </c>
      <c r="AO4" t="s">
        <v>253</v>
      </c>
      <c r="AP4" t="s">
        <v>253</v>
      </c>
      <c r="AQ4" t="s">
        <v>253</v>
      </c>
      <c r="AR4" t="s">
        <v>253</v>
      </c>
      <c r="AS4" t="s">
        <v>253</v>
      </c>
      <c r="AT4" t="s">
        <v>253</v>
      </c>
      <c r="AU4" t="s">
        <v>253</v>
      </c>
      <c r="AV4" t="s">
        <v>253</v>
      </c>
      <c r="AW4" t="s">
        <v>253</v>
      </c>
      <c r="AX4" t="s">
        <v>253</v>
      </c>
    </row>
    <row r="6" spans="1:50" x14ac:dyDescent="0.3">
      <c r="A6" t="s">
        <v>254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</row>
    <row r="8" spans="1:50" x14ac:dyDescent="0.3">
      <c r="A8" t="s">
        <v>255</v>
      </c>
      <c r="B8">
        <v>371.5</v>
      </c>
      <c r="C8">
        <v>284.2</v>
      </c>
      <c r="D8">
        <v>284.2</v>
      </c>
      <c r="E8">
        <v>284.2</v>
      </c>
      <c r="F8">
        <v>284.2</v>
      </c>
      <c r="G8">
        <v>284.2</v>
      </c>
      <c r="H8">
        <v>284.2</v>
      </c>
      <c r="I8">
        <v>284.2</v>
      </c>
      <c r="J8">
        <v>284.2</v>
      </c>
      <c r="K8">
        <v>284.2</v>
      </c>
      <c r="L8">
        <v>284.2</v>
      </c>
      <c r="M8">
        <v>284.2</v>
      </c>
      <c r="N8">
        <v>284.2</v>
      </c>
      <c r="O8">
        <v>284.2</v>
      </c>
      <c r="P8">
        <v>200</v>
      </c>
      <c r="Q8">
        <v>200</v>
      </c>
      <c r="R8">
        <v>216.8</v>
      </c>
      <c r="S8">
        <v>216.8</v>
      </c>
      <c r="T8">
        <v>333.2</v>
      </c>
      <c r="U8">
        <v>333.2</v>
      </c>
      <c r="V8">
        <v>333.2</v>
      </c>
      <c r="W8">
        <v>333.2</v>
      </c>
      <c r="X8">
        <v>333.2</v>
      </c>
      <c r="Y8">
        <v>333.2</v>
      </c>
      <c r="Z8">
        <v>333.2</v>
      </c>
      <c r="AA8">
        <v>333.2</v>
      </c>
      <c r="AB8">
        <v>333.2</v>
      </c>
      <c r="AC8">
        <v>333.2</v>
      </c>
      <c r="AD8">
        <v>333.2</v>
      </c>
      <c r="AE8">
        <v>333.2</v>
      </c>
      <c r="AF8">
        <v>333.2</v>
      </c>
      <c r="AG8">
        <v>333.2</v>
      </c>
      <c r="AH8">
        <v>333.2</v>
      </c>
      <c r="AI8">
        <v>333.2</v>
      </c>
      <c r="AJ8">
        <v>333.2</v>
      </c>
      <c r="AK8">
        <v>333.2</v>
      </c>
      <c r="AL8">
        <v>333.2</v>
      </c>
      <c r="AM8">
        <v>333.2</v>
      </c>
      <c r="AN8">
        <v>333.2</v>
      </c>
      <c r="AO8">
        <v>333.2</v>
      </c>
      <c r="AP8">
        <v>333.2</v>
      </c>
      <c r="AQ8">
        <v>333.2</v>
      </c>
      <c r="AR8">
        <v>333.2</v>
      </c>
      <c r="AS8">
        <v>200</v>
      </c>
      <c r="AT8">
        <v>333.2</v>
      </c>
      <c r="AU8">
        <v>333.2</v>
      </c>
      <c r="AV8">
        <v>333.2</v>
      </c>
      <c r="AW8">
        <v>333.2</v>
      </c>
      <c r="AX8">
        <v>333.2</v>
      </c>
    </row>
    <row r="9" spans="1:50" x14ac:dyDescent="0.3">
      <c r="A9" t="s">
        <v>256</v>
      </c>
      <c r="B9">
        <v>371.5</v>
      </c>
      <c r="C9">
        <v>284.2</v>
      </c>
      <c r="D9">
        <v>284.2</v>
      </c>
      <c r="E9">
        <v>284.2</v>
      </c>
      <c r="F9">
        <v>284.2</v>
      </c>
      <c r="G9">
        <v>284.2</v>
      </c>
      <c r="H9">
        <v>284.2</v>
      </c>
      <c r="I9">
        <v>284.2</v>
      </c>
      <c r="J9">
        <v>284.2</v>
      </c>
      <c r="K9">
        <v>284.2</v>
      </c>
      <c r="L9">
        <v>284.2</v>
      </c>
      <c r="M9">
        <v>284.2</v>
      </c>
      <c r="N9">
        <v>284.2</v>
      </c>
      <c r="O9">
        <v>284.2</v>
      </c>
      <c r="P9">
        <v>248</v>
      </c>
      <c r="Q9">
        <v>230</v>
      </c>
      <c r="R9">
        <v>230</v>
      </c>
      <c r="S9">
        <v>230</v>
      </c>
      <c r="T9">
        <v>333.2</v>
      </c>
      <c r="U9">
        <v>333.2</v>
      </c>
      <c r="V9">
        <v>333.2</v>
      </c>
      <c r="W9">
        <v>333.2</v>
      </c>
      <c r="X9">
        <v>333.2</v>
      </c>
      <c r="Y9">
        <v>333.2</v>
      </c>
      <c r="Z9">
        <v>333.2</v>
      </c>
      <c r="AA9">
        <v>333.2</v>
      </c>
      <c r="AB9">
        <v>333.2</v>
      </c>
      <c r="AC9">
        <v>333.2</v>
      </c>
      <c r="AD9">
        <v>333.2</v>
      </c>
      <c r="AE9">
        <v>333.2</v>
      </c>
      <c r="AF9">
        <v>333.2</v>
      </c>
      <c r="AG9">
        <v>333.2</v>
      </c>
      <c r="AH9">
        <v>333.2</v>
      </c>
      <c r="AI9">
        <v>333.2</v>
      </c>
      <c r="AJ9">
        <v>333.2</v>
      </c>
      <c r="AK9">
        <v>333.2</v>
      </c>
      <c r="AL9">
        <v>333.2</v>
      </c>
      <c r="AM9">
        <v>333.2</v>
      </c>
      <c r="AN9">
        <v>333.2</v>
      </c>
      <c r="AO9">
        <v>333.2</v>
      </c>
      <c r="AP9">
        <v>333.2</v>
      </c>
      <c r="AQ9">
        <v>333.2</v>
      </c>
      <c r="AR9">
        <v>333.2</v>
      </c>
      <c r="AS9">
        <v>246.8</v>
      </c>
      <c r="AT9">
        <v>333.2</v>
      </c>
      <c r="AU9">
        <v>333.2</v>
      </c>
      <c r="AV9">
        <v>333.2</v>
      </c>
      <c r="AW9">
        <v>333.2</v>
      </c>
      <c r="AX9">
        <v>333.2</v>
      </c>
    </row>
    <row r="10" spans="1:50" x14ac:dyDescent="0.3">
      <c r="A10" t="s">
        <v>257</v>
      </c>
      <c r="B10">
        <v>371.5</v>
      </c>
      <c r="C10">
        <v>284.2</v>
      </c>
      <c r="D10">
        <v>284.2</v>
      </c>
      <c r="E10">
        <v>284.2</v>
      </c>
      <c r="F10">
        <v>284.2</v>
      </c>
      <c r="G10">
        <v>284.2</v>
      </c>
      <c r="H10">
        <v>284.2</v>
      </c>
      <c r="I10">
        <v>284.2</v>
      </c>
      <c r="J10">
        <v>284.2</v>
      </c>
      <c r="K10">
        <v>284.2</v>
      </c>
      <c r="L10">
        <v>284.2</v>
      </c>
      <c r="M10">
        <v>284.2</v>
      </c>
      <c r="N10">
        <v>284.2</v>
      </c>
      <c r="O10">
        <v>284.2</v>
      </c>
      <c r="P10">
        <v>200</v>
      </c>
      <c r="Q10">
        <v>200</v>
      </c>
      <c r="R10">
        <v>333.2</v>
      </c>
      <c r="S10">
        <v>333.2</v>
      </c>
      <c r="T10">
        <v>333.2</v>
      </c>
      <c r="U10">
        <v>333.2</v>
      </c>
      <c r="V10">
        <v>333.2</v>
      </c>
      <c r="W10">
        <v>333.2</v>
      </c>
      <c r="X10">
        <v>333.2</v>
      </c>
      <c r="Y10">
        <v>333.2</v>
      </c>
      <c r="Z10">
        <v>333.2</v>
      </c>
      <c r="AA10">
        <v>333.2</v>
      </c>
      <c r="AB10">
        <v>333.2</v>
      </c>
      <c r="AC10">
        <v>333.2</v>
      </c>
      <c r="AD10">
        <v>333.2</v>
      </c>
      <c r="AE10">
        <v>333.2</v>
      </c>
      <c r="AF10">
        <v>333.2</v>
      </c>
      <c r="AG10">
        <v>333.2</v>
      </c>
      <c r="AH10">
        <v>333.2</v>
      </c>
      <c r="AI10">
        <v>333.2</v>
      </c>
      <c r="AJ10">
        <v>333.2</v>
      </c>
      <c r="AK10">
        <v>333.2</v>
      </c>
      <c r="AL10">
        <v>333.2</v>
      </c>
      <c r="AM10">
        <v>333.2</v>
      </c>
      <c r="AN10">
        <v>333.2</v>
      </c>
      <c r="AO10">
        <v>333.2</v>
      </c>
      <c r="AP10">
        <v>333.2</v>
      </c>
      <c r="AQ10">
        <v>333.2</v>
      </c>
      <c r="AR10">
        <v>333.2</v>
      </c>
      <c r="AS10">
        <v>333.2</v>
      </c>
      <c r="AT10">
        <v>333.2</v>
      </c>
      <c r="AU10">
        <v>333.2</v>
      </c>
      <c r="AV10">
        <v>333.2</v>
      </c>
      <c r="AW10">
        <v>333.2</v>
      </c>
      <c r="AX10">
        <v>333.2</v>
      </c>
    </row>
    <row r="11" spans="1:50" x14ac:dyDescent="0.3">
      <c r="A11" t="s">
        <v>258</v>
      </c>
      <c r="B11">
        <v>575.20000000000005</v>
      </c>
      <c r="C11">
        <v>320</v>
      </c>
      <c r="D11">
        <v>320</v>
      </c>
      <c r="E11">
        <v>320</v>
      </c>
      <c r="F11">
        <v>320</v>
      </c>
      <c r="G11">
        <v>320</v>
      </c>
      <c r="H11">
        <v>318</v>
      </c>
      <c r="I11">
        <v>318</v>
      </c>
      <c r="J11">
        <v>318</v>
      </c>
      <c r="K11">
        <v>318</v>
      </c>
      <c r="L11">
        <v>318</v>
      </c>
      <c r="M11">
        <v>318</v>
      </c>
      <c r="N11">
        <v>318</v>
      </c>
      <c r="O11">
        <v>318</v>
      </c>
      <c r="P11">
        <v>300</v>
      </c>
      <c r="Q11">
        <v>310</v>
      </c>
      <c r="R11">
        <v>400</v>
      </c>
      <c r="S11">
        <v>400</v>
      </c>
      <c r="T11">
        <v>490</v>
      </c>
      <c r="U11">
        <v>490</v>
      </c>
      <c r="V11">
        <v>490</v>
      </c>
      <c r="W11">
        <v>490</v>
      </c>
      <c r="X11">
        <v>490</v>
      </c>
      <c r="Y11">
        <v>490</v>
      </c>
      <c r="Z11">
        <v>490</v>
      </c>
      <c r="AA11">
        <v>490</v>
      </c>
      <c r="AB11">
        <v>490</v>
      </c>
      <c r="AC11">
        <v>490</v>
      </c>
      <c r="AD11">
        <v>490</v>
      </c>
      <c r="AE11">
        <v>490</v>
      </c>
      <c r="AF11">
        <v>490</v>
      </c>
      <c r="AG11">
        <v>490</v>
      </c>
      <c r="AH11">
        <v>490</v>
      </c>
      <c r="AI11">
        <v>490</v>
      </c>
      <c r="AJ11">
        <v>490</v>
      </c>
      <c r="AK11">
        <v>490</v>
      </c>
      <c r="AL11">
        <v>490</v>
      </c>
      <c r="AM11">
        <v>490</v>
      </c>
      <c r="AN11">
        <v>490</v>
      </c>
      <c r="AO11">
        <v>490</v>
      </c>
      <c r="AP11">
        <v>490</v>
      </c>
      <c r="AQ11">
        <v>490</v>
      </c>
      <c r="AR11">
        <v>490</v>
      </c>
      <c r="AS11">
        <v>400</v>
      </c>
      <c r="AT11">
        <v>310</v>
      </c>
      <c r="AU11">
        <v>310</v>
      </c>
      <c r="AV11">
        <v>310</v>
      </c>
      <c r="AW11">
        <v>310</v>
      </c>
      <c r="AX11">
        <v>310</v>
      </c>
    </row>
    <row r="12" spans="1:50" x14ac:dyDescent="0.3">
      <c r="A12" t="s">
        <v>259</v>
      </c>
      <c r="B12">
        <v>575.20000000000005</v>
      </c>
      <c r="C12">
        <v>357.4</v>
      </c>
      <c r="D12">
        <v>357.4</v>
      </c>
      <c r="E12">
        <v>357.4</v>
      </c>
      <c r="F12">
        <v>357.4</v>
      </c>
      <c r="G12">
        <v>357.4</v>
      </c>
      <c r="H12">
        <v>357.4</v>
      </c>
      <c r="I12">
        <v>357.4</v>
      </c>
      <c r="J12">
        <v>357.4</v>
      </c>
      <c r="K12">
        <v>357.4</v>
      </c>
      <c r="L12">
        <v>357.4</v>
      </c>
      <c r="M12">
        <v>357.4</v>
      </c>
      <c r="N12">
        <v>357.4</v>
      </c>
      <c r="O12">
        <v>357.4</v>
      </c>
      <c r="P12">
        <v>490</v>
      </c>
      <c r="Q12">
        <v>490</v>
      </c>
      <c r="R12">
        <v>340</v>
      </c>
      <c r="S12">
        <v>340</v>
      </c>
      <c r="T12">
        <v>490</v>
      </c>
      <c r="U12">
        <v>490</v>
      </c>
      <c r="V12">
        <v>490</v>
      </c>
      <c r="W12">
        <v>490</v>
      </c>
      <c r="X12">
        <v>490</v>
      </c>
      <c r="Y12">
        <v>490</v>
      </c>
      <c r="Z12">
        <v>490</v>
      </c>
      <c r="AA12">
        <v>490</v>
      </c>
      <c r="AB12">
        <v>490</v>
      </c>
      <c r="AC12">
        <v>490</v>
      </c>
      <c r="AD12">
        <v>490</v>
      </c>
      <c r="AE12">
        <v>490</v>
      </c>
      <c r="AF12">
        <v>490</v>
      </c>
      <c r="AG12">
        <v>490</v>
      </c>
      <c r="AH12">
        <v>490</v>
      </c>
      <c r="AI12">
        <v>490</v>
      </c>
      <c r="AJ12">
        <v>490</v>
      </c>
      <c r="AK12">
        <v>490</v>
      </c>
      <c r="AL12">
        <v>490</v>
      </c>
      <c r="AM12">
        <v>490</v>
      </c>
      <c r="AN12">
        <v>490</v>
      </c>
      <c r="AO12">
        <v>490</v>
      </c>
      <c r="AP12">
        <v>490</v>
      </c>
      <c r="AQ12">
        <v>490</v>
      </c>
      <c r="AR12">
        <v>490</v>
      </c>
      <c r="AS12">
        <v>340</v>
      </c>
      <c r="AT12">
        <v>300.39999999999998</v>
      </c>
      <c r="AU12">
        <v>300.39999999999998</v>
      </c>
      <c r="AV12">
        <v>300.39999999999998</v>
      </c>
      <c r="AW12">
        <v>300.39999999999998</v>
      </c>
      <c r="AX12">
        <v>300.39999999999998</v>
      </c>
    </row>
    <row r="13" spans="1:50" x14ac:dyDescent="0.3">
      <c r="A13" t="s">
        <v>260</v>
      </c>
      <c r="B13">
        <v>575.20000000000005</v>
      </c>
      <c r="C13">
        <v>390</v>
      </c>
      <c r="D13">
        <v>390</v>
      </c>
      <c r="E13">
        <v>390</v>
      </c>
      <c r="F13">
        <v>390</v>
      </c>
      <c r="G13">
        <v>390</v>
      </c>
      <c r="H13">
        <v>392</v>
      </c>
      <c r="I13">
        <v>392</v>
      </c>
      <c r="J13">
        <v>392</v>
      </c>
      <c r="K13">
        <v>392</v>
      </c>
      <c r="L13">
        <v>392</v>
      </c>
      <c r="M13">
        <v>392</v>
      </c>
      <c r="N13">
        <v>392</v>
      </c>
      <c r="O13">
        <v>392</v>
      </c>
      <c r="P13">
        <v>482</v>
      </c>
      <c r="Q13">
        <v>490</v>
      </c>
      <c r="R13">
        <v>400</v>
      </c>
      <c r="S13">
        <v>400</v>
      </c>
      <c r="T13">
        <v>490</v>
      </c>
      <c r="U13">
        <v>490</v>
      </c>
      <c r="V13">
        <v>490</v>
      </c>
      <c r="W13">
        <v>490</v>
      </c>
      <c r="X13">
        <v>490</v>
      </c>
      <c r="Y13">
        <v>490</v>
      </c>
      <c r="Z13">
        <v>490</v>
      </c>
      <c r="AA13">
        <v>490</v>
      </c>
      <c r="AB13">
        <v>490</v>
      </c>
      <c r="AC13">
        <v>490</v>
      </c>
      <c r="AD13">
        <v>490</v>
      </c>
      <c r="AE13">
        <v>490</v>
      </c>
      <c r="AF13">
        <v>490</v>
      </c>
      <c r="AG13">
        <v>490</v>
      </c>
      <c r="AH13">
        <v>490</v>
      </c>
      <c r="AI13">
        <v>490</v>
      </c>
      <c r="AJ13">
        <v>490</v>
      </c>
      <c r="AK13">
        <v>490</v>
      </c>
      <c r="AL13">
        <v>490</v>
      </c>
      <c r="AM13">
        <v>490</v>
      </c>
      <c r="AN13">
        <v>490</v>
      </c>
      <c r="AO13">
        <v>490</v>
      </c>
      <c r="AP13">
        <v>490</v>
      </c>
      <c r="AQ13">
        <v>490</v>
      </c>
      <c r="AR13">
        <v>490</v>
      </c>
      <c r="AS13">
        <v>400</v>
      </c>
      <c r="AT13">
        <v>310</v>
      </c>
      <c r="AU13">
        <v>310</v>
      </c>
      <c r="AV13">
        <v>310</v>
      </c>
      <c r="AW13">
        <v>310</v>
      </c>
      <c r="AX13">
        <v>310</v>
      </c>
    </row>
    <row r="15" spans="1:50" x14ac:dyDescent="0.3">
      <c r="A15" t="s">
        <v>261</v>
      </c>
      <c r="C15">
        <v>150.38</v>
      </c>
      <c r="D15">
        <v>149.21</v>
      </c>
      <c r="E15">
        <v>149.21</v>
      </c>
      <c r="F15">
        <v>149.21</v>
      </c>
      <c r="G15">
        <v>149.21</v>
      </c>
      <c r="H15">
        <v>149.21</v>
      </c>
      <c r="I15">
        <v>149.21</v>
      </c>
      <c r="J15">
        <v>149.21</v>
      </c>
      <c r="K15">
        <v>149.21</v>
      </c>
      <c r="L15">
        <v>149.21</v>
      </c>
      <c r="M15">
        <v>145.43</v>
      </c>
      <c r="N15">
        <v>178.05</v>
      </c>
      <c r="O15">
        <v>204.4</v>
      </c>
      <c r="P15">
        <v>547.5</v>
      </c>
      <c r="Q15">
        <v>547.5</v>
      </c>
      <c r="R15">
        <v>547.5</v>
      </c>
      <c r="S15">
        <v>547.5</v>
      </c>
      <c r="T15">
        <v>354.78</v>
      </c>
      <c r="U15">
        <v>354.78</v>
      </c>
      <c r="V15">
        <v>354.78</v>
      </c>
      <c r="W15">
        <v>354.78</v>
      </c>
      <c r="X15">
        <v>354.78</v>
      </c>
      <c r="Y15">
        <v>354.78</v>
      </c>
      <c r="Z15">
        <v>354.78</v>
      </c>
      <c r="AA15">
        <v>354.78</v>
      </c>
      <c r="AB15">
        <v>374.4</v>
      </c>
      <c r="AC15">
        <v>381.06</v>
      </c>
      <c r="AD15">
        <v>381.06</v>
      </c>
      <c r="AE15">
        <v>381.06</v>
      </c>
      <c r="AF15">
        <v>381.06</v>
      </c>
      <c r="AG15">
        <v>381.06</v>
      </c>
      <c r="AH15">
        <v>354.78</v>
      </c>
      <c r="AI15">
        <v>354.78</v>
      </c>
      <c r="AJ15">
        <v>354.78</v>
      </c>
      <c r="AK15">
        <v>354.78</v>
      </c>
      <c r="AL15">
        <v>441.02</v>
      </c>
      <c r="AM15">
        <v>386.9</v>
      </c>
      <c r="AN15">
        <v>354.78</v>
      </c>
      <c r="AO15">
        <v>354.78</v>
      </c>
      <c r="AP15">
        <v>354.78</v>
      </c>
      <c r="AQ15">
        <v>354.78</v>
      </c>
      <c r="AR15">
        <v>354.78</v>
      </c>
      <c r="AS15">
        <v>354.78</v>
      </c>
      <c r="AT15">
        <v>354.78</v>
      </c>
      <c r="AU15">
        <v>252.58</v>
      </c>
      <c r="AV15">
        <v>252.58</v>
      </c>
      <c r="AW15">
        <v>252.52</v>
      </c>
      <c r="AX15">
        <v>204.4</v>
      </c>
    </row>
    <row r="16" spans="1:50" x14ac:dyDescent="0.3">
      <c r="A16" t="s">
        <v>262</v>
      </c>
      <c r="C16">
        <v>122.2</v>
      </c>
      <c r="D16">
        <v>111.09</v>
      </c>
      <c r="E16">
        <v>111.09</v>
      </c>
      <c r="F16">
        <v>111.09</v>
      </c>
      <c r="G16">
        <v>111.09</v>
      </c>
      <c r="H16">
        <v>111.09</v>
      </c>
      <c r="I16">
        <v>111.09</v>
      </c>
      <c r="J16">
        <v>111.09</v>
      </c>
      <c r="K16">
        <v>111.09</v>
      </c>
      <c r="L16">
        <v>111.09</v>
      </c>
      <c r="M16">
        <v>111.09</v>
      </c>
      <c r="N16">
        <v>111.09</v>
      </c>
      <c r="O16">
        <v>126.72</v>
      </c>
      <c r="P16">
        <v>157.97</v>
      </c>
      <c r="Q16">
        <v>204.4</v>
      </c>
      <c r="R16">
        <v>204.4</v>
      </c>
      <c r="S16">
        <v>204.4</v>
      </c>
      <c r="T16">
        <v>252.58</v>
      </c>
      <c r="U16">
        <v>252.58</v>
      </c>
      <c r="V16">
        <v>252.58</v>
      </c>
      <c r="W16">
        <v>252.58</v>
      </c>
      <c r="X16">
        <v>252.58</v>
      </c>
      <c r="Y16">
        <v>252.58</v>
      </c>
      <c r="Z16">
        <v>252.58</v>
      </c>
      <c r="AA16">
        <v>252.58</v>
      </c>
      <c r="AB16">
        <v>252.58</v>
      </c>
      <c r="AC16">
        <v>278.86</v>
      </c>
      <c r="AD16">
        <v>278.86</v>
      </c>
      <c r="AE16">
        <v>278.86</v>
      </c>
      <c r="AF16">
        <v>278.86</v>
      </c>
      <c r="AG16">
        <v>278.86</v>
      </c>
      <c r="AH16">
        <v>252.58</v>
      </c>
      <c r="AI16">
        <v>252.58</v>
      </c>
      <c r="AJ16">
        <v>252.58</v>
      </c>
      <c r="AK16">
        <v>252.58</v>
      </c>
      <c r="AL16">
        <v>287.14999999999998</v>
      </c>
      <c r="AM16">
        <v>284.7</v>
      </c>
      <c r="AN16">
        <v>252.58</v>
      </c>
      <c r="AO16">
        <v>252.58</v>
      </c>
      <c r="AP16">
        <v>252.58</v>
      </c>
      <c r="AQ16">
        <v>252.58</v>
      </c>
      <c r="AR16">
        <v>252.58</v>
      </c>
      <c r="AS16">
        <v>252.58</v>
      </c>
      <c r="AT16">
        <v>252.58</v>
      </c>
      <c r="AU16">
        <v>252.58</v>
      </c>
      <c r="AV16">
        <v>230.62</v>
      </c>
      <c r="AW16">
        <v>248.29</v>
      </c>
      <c r="AX16">
        <v>247.31</v>
      </c>
    </row>
    <row r="17" spans="1:50" x14ac:dyDescent="0.3">
      <c r="A17" t="s">
        <v>263</v>
      </c>
      <c r="C17">
        <v>539.23</v>
      </c>
      <c r="D17">
        <v>539.23</v>
      </c>
      <c r="E17">
        <v>539.23</v>
      </c>
      <c r="F17">
        <v>539.23</v>
      </c>
      <c r="G17">
        <v>539.23</v>
      </c>
      <c r="H17">
        <v>539.23</v>
      </c>
      <c r="I17">
        <v>539.23</v>
      </c>
      <c r="J17">
        <v>539.23</v>
      </c>
      <c r="K17">
        <v>528.47</v>
      </c>
      <c r="L17">
        <v>539.23</v>
      </c>
      <c r="M17">
        <v>539.23</v>
      </c>
      <c r="N17">
        <v>522.87</v>
      </c>
      <c r="O17">
        <v>526.16999999999996</v>
      </c>
      <c r="P17">
        <v>444.26</v>
      </c>
      <c r="Q17">
        <v>539.23</v>
      </c>
      <c r="R17">
        <v>539.23</v>
      </c>
      <c r="S17">
        <v>539.23</v>
      </c>
      <c r="T17">
        <v>692.52</v>
      </c>
      <c r="U17">
        <v>719.1</v>
      </c>
      <c r="V17">
        <v>665.66</v>
      </c>
      <c r="W17">
        <v>695.95</v>
      </c>
      <c r="X17">
        <v>715.63</v>
      </c>
      <c r="Y17">
        <v>703.91</v>
      </c>
      <c r="Z17">
        <v>692.52</v>
      </c>
      <c r="AA17">
        <v>674.52</v>
      </c>
      <c r="AB17">
        <v>710.9</v>
      </c>
      <c r="AC17">
        <v>720</v>
      </c>
      <c r="AD17">
        <v>720</v>
      </c>
      <c r="AE17">
        <v>720</v>
      </c>
      <c r="AF17">
        <v>720</v>
      </c>
      <c r="AG17">
        <v>720</v>
      </c>
      <c r="AH17">
        <v>716.68</v>
      </c>
      <c r="AI17">
        <v>683.55</v>
      </c>
      <c r="AJ17">
        <v>650.98</v>
      </c>
      <c r="AK17">
        <v>615.19000000000005</v>
      </c>
      <c r="AL17">
        <v>720</v>
      </c>
      <c r="AM17">
        <v>720</v>
      </c>
      <c r="AN17">
        <v>626.54999999999995</v>
      </c>
      <c r="AO17">
        <v>626.54999999999995</v>
      </c>
      <c r="AP17">
        <v>626.54999999999995</v>
      </c>
      <c r="AQ17">
        <v>626.54999999999995</v>
      </c>
      <c r="AR17">
        <v>611.79999999999995</v>
      </c>
      <c r="AS17">
        <v>713.87</v>
      </c>
      <c r="AT17">
        <v>573.20000000000005</v>
      </c>
      <c r="AU17">
        <v>629.79999999999995</v>
      </c>
      <c r="AV17">
        <v>539.23</v>
      </c>
      <c r="AW17">
        <v>539.23</v>
      </c>
      <c r="AX17">
        <v>539.23</v>
      </c>
    </row>
    <row r="18" spans="1:50" x14ac:dyDescent="0.3">
      <c r="A18" t="s">
        <v>264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53.74</v>
      </c>
      <c r="V18">
        <v>150</v>
      </c>
      <c r="W18">
        <v>150</v>
      </c>
      <c r="X18">
        <v>150</v>
      </c>
      <c r="Y18">
        <v>150</v>
      </c>
      <c r="Z18">
        <v>150</v>
      </c>
      <c r="AA18">
        <v>150</v>
      </c>
      <c r="AB18">
        <v>150</v>
      </c>
      <c r="AC18">
        <v>163.78</v>
      </c>
      <c r="AD18">
        <v>171.1</v>
      </c>
      <c r="AE18">
        <v>177.99</v>
      </c>
      <c r="AF18">
        <v>178.82</v>
      </c>
      <c r="AG18">
        <v>167.59</v>
      </c>
      <c r="AH18">
        <v>150</v>
      </c>
      <c r="AI18">
        <v>150</v>
      </c>
      <c r="AJ18">
        <v>150</v>
      </c>
      <c r="AK18">
        <v>150</v>
      </c>
      <c r="AL18">
        <v>283.25</v>
      </c>
      <c r="AM18">
        <v>221</v>
      </c>
      <c r="AN18">
        <v>150</v>
      </c>
      <c r="AO18">
        <v>150</v>
      </c>
      <c r="AP18">
        <v>150</v>
      </c>
      <c r="AQ18">
        <v>75</v>
      </c>
      <c r="AR18">
        <v>25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20" spans="1:50" x14ac:dyDescent="0.3">
      <c r="A20" t="s">
        <v>265</v>
      </c>
      <c r="B20">
        <v>56.5</v>
      </c>
      <c r="C20">
        <v>56.5</v>
      </c>
      <c r="D20">
        <v>56.5</v>
      </c>
      <c r="E20">
        <v>56.5</v>
      </c>
      <c r="F20">
        <v>56.5</v>
      </c>
      <c r="G20">
        <v>56.5</v>
      </c>
      <c r="H20">
        <v>56.5</v>
      </c>
      <c r="I20">
        <v>56.5</v>
      </c>
      <c r="J20">
        <v>56.5</v>
      </c>
      <c r="K20">
        <v>56.5</v>
      </c>
      <c r="L20">
        <v>56.5</v>
      </c>
      <c r="M20">
        <v>56.5</v>
      </c>
      <c r="N20">
        <v>56.5</v>
      </c>
      <c r="O20">
        <v>56.5</v>
      </c>
      <c r="P20">
        <v>56.5</v>
      </c>
      <c r="Q20">
        <v>46.5</v>
      </c>
      <c r="R20">
        <v>46.5</v>
      </c>
      <c r="S20">
        <v>56.5</v>
      </c>
      <c r="T20">
        <v>56.5</v>
      </c>
      <c r="U20">
        <v>56.5</v>
      </c>
      <c r="V20">
        <v>56.5</v>
      </c>
      <c r="W20">
        <v>56.5</v>
      </c>
      <c r="X20">
        <v>56.5</v>
      </c>
      <c r="Y20">
        <v>56.5</v>
      </c>
      <c r="Z20">
        <v>56.5</v>
      </c>
      <c r="AA20">
        <v>56.5</v>
      </c>
      <c r="AB20">
        <v>56.5</v>
      </c>
      <c r="AC20">
        <v>56.5</v>
      </c>
      <c r="AD20">
        <v>56.5</v>
      </c>
      <c r="AE20">
        <v>56.5</v>
      </c>
      <c r="AF20">
        <v>56.5</v>
      </c>
      <c r="AG20">
        <v>56.5</v>
      </c>
      <c r="AH20">
        <v>56.5</v>
      </c>
      <c r="AI20">
        <v>56.5</v>
      </c>
      <c r="AJ20">
        <v>56.5</v>
      </c>
      <c r="AK20">
        <v>56.5</v>
      </c>
      <c r="AL20">
        <v>56.5</v>
      </c>
      <c r="AM20">
        <v>56.5</v>
      </c>
      <c r="AN20">
        <v>56.5</v>
      </c>
      <c r="AO20">
        <v>56.5</v>
      </c>
      <c r="AP20">
        <v>56.5</v>
      </c>
      <c r="AQ20">
        <v>56.5</v>
      </c>
      <c r="AR20">
        <v>56.5</v>
      </c>
      <c r="AS20">
        <v>56.5</v>
      </c>
      <c r="AT20">
        <v>56.5</v>
      </c>
      <c r="AU20">
        <v>56.5</v>
      </c>
      <c r="AV20">
        <v>56.5</v>
      </c>
      <c r="AW20">
        <v>56.5</v>
      </c>
      <c r="AX20">
        <v>56.5</v>
      </c>
    </row>
    <row r="21" spans="1:50" x14ac:dyDescent="0.3">
      <c r="A21" t="s">
        <v>266</v>
      </c>
      <c r="B21">
        <v>56.5</v>
      </c>
      <c r="C21">
        <v>56.5</v>
      </c>
      <c r="D21">
        <v>56.5</v>
      </c>
      <c r="E21">
        <v>56.5</v>
      </c>
      <c r="F21">
        <v>56.5</v>
      </c>
      <c r="G21">
        <v>56.5</v>
      </c>
      <c r="H21">
        <v>56.5</v>
      </c>
      <c r="I21">
        <v>56.5</v>
      </c>
      <c r="J21">
        <v>56.5</v>
      </c>
      <c r="K21">
        <v>56.5</v>
      </c>
      <c r="L21">
        <v>56.5</v>
      </c>
      <c r="M21">
        <v>56.5</v>
      </c>
      <c r="N21">
        <v>56.5</v>
      </c>
      <c r="O21">
        <v>56.5</v>
      </c>
      <c r="P21">
        <v>56.5</v>
      </c>
      <c r="Q21">
        <v>46.5</v>
      </c>
      <c r="R21">
        <v>46.5</v>
      </c>
      <c r="S21">
        <v>56.5</v>
      </c>
      <c r="T21">
        <v>56.5</v>
      </c>
      <c r="U21">
        <v>56.5</v>
      </c>
      <c r="V21">
        <v>56.5</v>
      </c>
      <c r="W21">
        <v>56.5</v>
      </c>
      <c r="X21">
        <v>56.5</v>
      </c>
      <c r="Y21">
        <v>56.5</v>
      </c>
      <c r="Z21">
        <v>56.5</v>
      </c>
      <c r="AA21">
        <v>56.5</v>
      </c>
      <c r="AB21">
        <v>56.5</v>
      </c>
      <c r="AC21">
        <v>56.5</v>
      </c>
      <c r="AD21">
        <v>56.5</v>
      </c>
      <c r="AE21">
        <v>56.5</v>
      </c>
      <c r="AF21">
        <v>56.5</v>
      </c>
      <c r="AG21">
        <v>56.5</v>
      </c>
      <c r="AH21">
        <v>56.5</v>
      </c>
      <c r="AI21">
        <v>56.5</v>
      </c>
      <c r="AJ21">
        <v>56.5</v>
      </c>
      <c r="AK21">
        <v>56.5</v>
      </c>
      <c r="AL21">
        <v>56.5</v>
      </c>
      <c r="AM21">
        <v>56.5</v>
      </c>
      <c r="AN21">
        <v>56.5</v>
      </c>
      <c r="AO21">
        <v>56.5</v>
      </c>
      <c r="AP21">
        <v>56.5</v>
      </c>
      <c r="AQ21">
        <v>56.5</v>
      </c>
      <c r="AR21">
        <v>56.5</v>
      </c>
      <c r="AS21">
        <v>56.5</v>
      </c>
      <c r="AT21">
        <v>56.5</v>
      </c>
      <c r="AU21">
        <v>56.5</v>
      </c>
      <c r="AV21">
        <v>56.5</v>
      </c>
      <c r="AW21">
        <v>56.5</v>
      </c>
      <c r="AX21">
        <v>56.5</v>
      </c>
    </row>
    <row r="22" spans="1:50" x14ac:dyDescent="0.3">
      <c r="A22" t="s">
        <v>267</v>
      </c>
      <c r="B22">
        <v>57</v>
      </c>
      <c r="C22">
        <v>57</v>
      </c>
      <c r="D22">
        <v>57</v>
      </c>
      <c r="E22">
        <v>57</v>
      </c>
      <c r="F22">
        <v>57</v>
      </c>
      <c r="G22">
        <v>57</v>
      </c>
      <c r="H22">
        <v>57</v>
      </c>
      <c r="I22">
        <v>57</v>
      </c>
      <c r="J22">
        <v>57</v>
      </c>
      <c r="K22">
        <v>57</v>
      </c>
      <c r="L22">
        <v>57</v>
      </c>
      <c r="M22">
        <v>57</v>
      </c>
      <c r="N22">
        <v>57</v>
      </c>
      <c r="O22">
        <v>57</v>
      </c>
      <c r="P22">
        <v>57</v>
      </c>
      <c r="Q22">
        <v>47</v>
      </c>
      <c r="R22">
        <v>47</v>
      </c>
      <c r="S22">
        <v>57</v>
      </c>
      <c r="T22">
        <v>57</v>
      </c>
      <c r="U22">
        <v>57</v>
      </c>
      <c r="V22">
        <v>57</v>
      </c>
      <c r="W22">
        <v>57</v>
      </c>
      <c r="X22">
        <v>57</v>
      </c>
      <c r="Y22">
        <v>57</v>
      </c>
      <c r="Z22">
        <v>57</v>
      </c>
      <c r="AA22">
        <v>57</v>
      </c>
      <c r="AB22">
        <v>57</v>
      </c>
      <c r="AC22">
        <v>57</v>
      </c>
      <c r="AD22">
        <v>57</v>
      </c>
      <c r="AE22">
        <v>57</v>
      </c>
      <c r="AF22">
        <v>57</v>
      </c>
      <c r="AG22">
        <v>57</v>
      </c>
      <c r="AH22">
        <v>57</v>
      </c>
      <c r="AI22">
        <v>57</v>
      </c>
      <c r="AJ22">
        <v>57</v>
      </c>
      <c r="AK22">
        <v>57</v>
      </c>
      <c r="AL22">
        <v>57</v>
      </c>
      <c r="AM22">
        <v>57</v>
      </c>
      <c r="AN22">
        <v>57</v>
      </c>
      <c r="AO22">
        <v>57</v>
      </c>
      <c r="AP22">
        <v>57</v>
      </c>
      <c r="AQ22">
        <v>57</v>
      </c>
      <c r="AR22">
        <v>57</v>
      </c>
      <c r="AS22">
        <v>57</v>
      </c>
      <c r="AT22">
        <v>57</v>
      </c>
      <c r="AU22">
        <v>57</v>
      </c>
      <c r="AV22">
        <v>57</v>
      </c>
      <c r="AW22">
        <v>57</v>
      </c>
      <c r="AX22">
        <v>57</v>
      </c>
    </row>
    <row r="24" spans="1:50" x14ac:dyDescent="0.3">
      <c r="A24" t="s">
        <v>268</v>
      </c>
      <c r="B24">
        <v>17.02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269</v>
      </c>
      <c r="B25">
        <v>17.02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 t="s">
        <v>270</v>
      </c>
      <c r="B26">
        <v>17.02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t="s">
        <v>271</v>
      </c>
      <c r="B27">
        <v>17.02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 t="s">
        <v>272</v>
      </c>
      <c r="B28">
        <v>17.02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273</v>
      </c>
      <c r="B29">
        <v>17.02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1" spans="1:50" x14ac:dyDescent="0.3">
      <c r="A31" t="s">
        <v>274</v>
      </c>
      <c r="C31">
        <v>140.09</v>
      </c>
      <c r="D31">
        <v>140.09</v>
      </c>
      <c r="E31">
        <v>140.09</v>
      </c>
      <c r="F31">
        <v>140.09</v>
      </c>
      <c r="G31">
        <v>140.09</v>
      </c>
      <c r="H31">
        <v>140.09</v>
      </c>
      <c r="I31">
        <v>140.09</v>
      </c>
      <c r="J31">
        <v>140.09</v>
      </c>
      <c r="K31">
        <v>140.09</v>
      </c>
      <c r="L31">
        <v>140.09</v>
      </c>
      <c r="M31">
        <v>140.09</v>
      </c>
      <c r="N31">
        <v>140.09</v>
      </c>
      <c r="O31">
        <v>140.09</v>
      </c>
      <c r="P31">
        <v>140.09</v>
      </c>
      <c r="Q31">
        <v>140.09</v>
      </c>
      <c r="R31">
        <v>140.09</v>
      </c>
      <c r="S31">
        <v>140.09</v>
      </c>
      <c r="T31">
        <v>233.49</v>
      </c>
      <c r="U31">
        <v>233.49</v>
      </c>
      <c r="V31">
        <v>233.49</v>
      </c>
      <c r="W31">
        <v>233.49</v>
      </c>
      <c r="X31">
        <v>233.49</v>
      </c>
      <c r="Y31">
        <v>233.49</v>
      </c>
      <c r="Z31">
        <v>233.49</v>
      </c>
      <c r="AA31">
        <v>233.49</v>
      </c>
      <c r="AB31">
        <v>233.49</v>
      </c>
      <c r="AC31">
        <v>233.49</v>
      </c>
      <c r="AD31">
        <v>233.49</v>
      </c>
      <c r="AE31">
        <v>233.49</v>
      </c>
      <c r="AF31">
        <v>233.49</v>
      </c>
      <c r="AG31">
        <v>233.49</v>
      </c>
      <c r="AH31">
        <v>233.49</v>
      </c>
      <c r="AI31">
        <v>233.49</v>
      </c>
      <c r="AJ31">
        <v>233.49</v>
      </c>
      <c r="AK31">
        <v>233.49</v>
      </c>
      <c r="AL31">
        <v>233.49</v>
      </c>
      <c r="AM31">
        <v>233.49</v>
      </c>
      <c r="AN31">
        <v>233.49</v>
      </c>
      <c r="AO31">
        <v>233.49</v>
      </c>
      <c r="AP31">
        <v>233.49</v>
      </c>
      <c r="AQ31">
        <v>233.49</v>
      </c>
      <c r="AR31">
        <v>140.09</v>
      </c>
      <c r="AS31">
        <v>140.09</v>
      </c>
      <c r="AT31">
        <v>140.09</v>
      </c>
      <c r="AU31">
        <v>140.09</v>
      </c>
      <c r="AV31">
        <v>140.09</v>
      </c>
      <c r="AW31">
        <v>140.09</v>
      </c>
      <c r="AX31">
        <v>140.09</v>
      </c>
    </row>
    <row r="33" spans="1:50" x14ac:dyDescent="0.3">
      <c r="A33" t="s">
        <v>275</v>
      </c>
      <c r="B33">
        <v>280</v>
      </c>
      <c r="C33">
        <v>250</v>
      </c>
      <c r="D33">
        <v>250</v>
      </c>
      <c r="E33">
        <v>250</v>
      </c>
      <c r="F33">
        <v>250</v>
      </c>
      <c r="G33">
        <v>250</v>
      </c>
      <c r="H33">
        <v>250</v>
      </c>
      <c r="I33">
        <v>250</v>
      </c>
      <c r="J33">
        <v>250</v>
      </c>
      <c r="K33">
        <v>250</v>
      </c>
      <c r="L33">
        <v>250</v>
      </c>
      <c r="M33">
        <v>250</v>
      </c>
      <c r="N33">
        <v>250</v>
      </c>
      <c r="O33">
        <v>250</v>
      </c>
      <c r="P33">
        <v>250</v>
      </c>
      <c r="Q33">
        <v>250</v>
      </c>
      <c r="R33">
        <v>250</v>
      </c>
      <c r="S33">
        <v>265</v>
      </c>
      <c r="T33">
        <v>265</v>
      </c>
      <c r="U33">
        <v>265</v>
      </c>
      <c r="V33">
        <v>265</v>
      </c>
      <c r="W33">
        <v>265</v>
      </c>
      <c r="X33">
        <v>265</v>
      </c>
      <c r="Y33">
        <v>265</v>
      </c>
      <c r="Z33">
        <v>265</v>
      </c>
      <c r="AA33">
        <v>265</v>
      </c>
      <c r="AB33">
        <v>265</v>
      </c>
      <c r="AC33">
        <v>265</v>
      </c>
      <c r="AD33">
        <v>265</v>
      </c>
      <c r="AE33">
        <v>265</v>
      </c>
      <c r="AF33">
        <v>265</v>
      </c>
      <c r="AG33">
        <v>265</v>
      </c>
      <c r="AH33">
        <v>265</v>
      </c>
      <c r="AI33">
        <v>265</v>
      </c>
      <c r="AJ33">
        <v>265</v>
      </c>
      <c r="AK33">
        <v>265</v>
      </c>
      <c r="AL33">
        <v>265</v>
      </c>
      <c r="AM33">
        <v>265</v>
      </c>
      <c r="AN33">
        <v>265</v>
      </c>
      <c r="AO33">
        <v>265</v>
      </c>
      <c r="AP33">
        <v>265</v>
      </c>
      <c r="AQ33">
        <v>265</v>
      </c>
      <c r="AR33">
        <v>265</v>
      </c>
      <c r="AS33">
        <v>265</v>
      </c>
      <c r="AT33">
        <v>265</v>
      </c>
      <c r="AU33">
        <v>250</v>
      </c>
      <c r="AV33">
        <v>250</v>
      </c>
      <c r="AW33">
        <v>250</v>
      </c>
      <c r="AX33">
        <v>250</v>
      </c>
    </row>
    <row r="34" spans="1:50" x14ac:dyDescent="0.3">
      <c r="A34" t="s">
        <v>276</v>
      </c>
      <c r="B34">
        <v>280</v>
      </c>
      <c r="C34">
        <v>250</v>
      </c>
      <c r="D34">
        <v>250</v>
      </c>
      <c r="E34">
        <v>250</v>
      </c>
      <c r="F34">
        <v>250</v>
      </c>
      <c r="G34">
        <v>250</v>
      </c>
      <c r="H34">
        <v>250</v>
      </c>
      <c r="I34">
        <v>250</v>
      </c>
      <c r="J34">
        <v>250</v>
      </c>
      <c r="K34">
        <v>250</v>
      </c>
      <c r="L34">
        <v>250</v>
      </c>
      <c r="M34">
        <v>250</v>
      </c>
      <c r="N34">
        <v>250</v>
      </c>
      <c r="O34">
        <v>250</v>
      </c>
      <c r="P34">
        <v>250</v>
      </c>
      <c r="Q34">
        <v>250</v>
      </c>
      <c r="R34">
        <v>250</v>
      </c>
      <c r="S34">
        <v>270</v>
      </c>
      <c r="T34">
        <v>270</v>
      </c>
      <c r="U34">
        <v>270</v>
      </c>
      <c r="V34">
        <v>270</v>
      </c>
      <c r="W34">
        <v>270</v>
      </c>
      <c r="X34">
        <v>270</v>
      </c>
      <c r="Y34">
        <v>270</v>
      </c>
      <c r="Z34">
        <v>270</v>
      </c>
      <c r="AA34">
        <v>270</v>
      </c>
      <c r="AB34">
        <v>270</v>
      </c>
      <c r="AC34">
        <v>270</v>
      </c>
      <c r="AD34">
        <v>270</v>
      </c>
      <c r="AE34">
        <v>270</v>
      </c>
      <c r="AF34">
        <v>270</v>
      </c>
      <c r="AG34">
        <v>270</v>
      </c>
      <c r="AH34">
        <v>270</v>
      </c>
      <c r="AI34">
        <v>270</v>
      </c>
      <c r="AJ34">
        <v>270</v>
      </c>
      <c r="AK34">
        <v>270</v>
      </c>
      <c r="AL34">
        <v>270</v>
      </c>
      <c r="AM34">
        <v>270</v>
      </c>
      <c r="AN34">
        <v>270</v>
      </c>
      <c r="AO34">
        <v>270</v>
      </c>
      <c r="AP34">
        <v>270</v>
      </c>
      <c r="AQ34">
        <v>270</v>
      </c>
      <c r="AR34">
        <v>270</v>
      </c>
      <c r="AS34">
        <v>270</v>
      </c>
      <c r="AT34">
        <v>270</v>
      </c>
      <c r="AU34">
        <v>250</v>
      </c>
      <c r="AV34">
        <v>250</v>
      </c>
      <c r="AW34">
        <v>250</v>
      </c>
      <c r="AX34">
        <v>250</v>
      </c>
    </row>
    <row r="36" spans="1:50" x14ac:dyDescent="0.3">
      <c r="A36" t="s">
        <v>83</v>
      </c>
      <c r="B36">
        <v>540</v>
      </c>
      <c r="C36">
        <v>405</v>
      </c>
      <c r="D36">
        <v>405</v>
      </c>
      <c r="E36">
        <v>405</v>
      </c>
      <c r="F36">
        <v>405</v>
      </c>
      <c r="G36">
        <v>405</v>
      </c>
      <c r="H36">
        <v>405</v>
      </c>
      <c r="I36">
        <v>405</v>
      </c>
      <c r="J36">
        <v>405</v>
      </c>
      <c r="K36">
        <v>405</v>
      </c>
      <c r="L36">
        <v>405</v>
      </c>
      <c r="M36">
        <v>405</v>
      </c>
      <c r="N36">
        <v>405</v>
      </c>
      <c r="O36">
        <v>405</v>
      </c>
      <c r="P36">
        <v>405</v>
      </c>
      <c r="Q36">
        <v>405</v>
      </c>
      <c r="R36">
        <v>405</v>
      </c>
      <c r="S36">
        <v>405</v>
      </c>
      <c r="T36">
        <v>405</v>
      </c>
      <c r="U36">
        <v>405</v>
      </c>
      <c r="V36">
        <v>405</v>
      </c>
      <c r="W36">
        <v>405</v>
      </c>
      <c r="X36">
        <v>405</v>
      </c>
      <c r="Y36">
        <v>405</v>
      </c>
      <c r="Z36">
        <v>405</v>
      </c>
      <c r="AA36">
        <v>405</v>
      </c>
      <c r="AB36">
        <v>405</v>
      </c>
      <c r="AC36">
        <v>405</v>
      </c>
      <c r="AD36">
        <v>405</v>
      </c>
      <c r="AE36">
        <v>405</v>
      </c>
      <c r="AF36">
        <v>405</v>
      </c>
      <c r="AG36">
        <v>405</v>
      </c>
      <c r="AH36">
        <v>405</v>
      </c>
      <c r="AI36">
        <v>405</v>
      </c>
      <c r="AJ36">
        <v>405</v>
      </c>
      <c r="AK36">
        <v>405</v>
      </c>
      <c r="AL36">
        <v>405</v>
      </c>
      <c r="AM36">
        <v>405</v>
      </c>
      <c r="AN36">
        <v>405</v>
      </c>
      <c r="AO36">
        <v>405</v>
      </c>
      <c r="AP36">
        <v>405</v>
      </c>
      <c r="AQ36">
        <v>405</v>
      </c>
      <c r="AR36">
        <v>405</v>
      </c>
      <c r="AS36">
        <v>405</v>
      </c>
      <c r="AT36">
        <v>405</v>
      </c>
      <c r="AU36">
        <v>405</v>
      </c>
      <c r="AV36">
        <v>405</v>
      </c>
      <c r="AW36">
        <v>405</v>
      </c>
      <c r="AX36">
        <v>405</v>
      </c>
    </row>
    <row r="38" spans="1:50" x14ac:dyDescent="0.3">
      <c r="A38" t="s">
        <v>80</v>
      </c>
      <c r="B38">
        <v>323</v>
      </c>
      <c r="C38">
        <v>260</v>
      </c>
      <c r="D38">
        <v>260</v>
      </c>
      <c r="E38">
        <v>260</v>
      </c>
      <c r="F38">
        <v>260</v>
      </c>
      <c r="G38">
        <v>260</v>
      </c>
      <c r="H38">
        <v>260</v>
      </c>
      <c r="I38">
        <v>260</v>
      </c>
      <c r="J38">
        <v>260</v>
      </c>
      <c r="K38">
        <v>260</v>
      </c>
      <c r="L38">
        <v>260</v>
      </c>
      <c r="M38">
        <v>260</v>
      </c>
      <c r="N38">
        <v>260</v>
      </c>
      <c r="O38">
        <v>260</v>
      </c>
      <c r="P38">
        <v>260</v>
      </c>
      <c r="Q38">
        <v>260</v>
      </c>
      <c r="R38">
        <v>260</v>
      </c>
      <c r="S38">
        <v>260</v>
      </c>
      <c r="T38">
        <v>265</v>
      </c>
      <c r="U38">
        <v>265</v>
      </c>
      <c r="V38">
        <v>265</v>
      </c>
      <c r="W38">
        <v>265</v>
      </c>
      <c r="X38">
        <v>265</v>
      </c>
      <c r="Y38">
        <v>265</v>
      </c>
      <c r="Z38">
        <v>265</v>
      </c>
      <c r="AA38">
        <v>265</v>
      </c>
      <c r="AB38">
        <v>265</v>
      </c>
      <c r="AC38">
        <v>265</v>
      </c>
      <c r="AD38">
        <v>265</v>
      </c>
      <c r="AE38">
        <v>265</v>
      </c>
      <c r="AF38">
        <v>265</v>
      </c>
      <c r="AG38">
        <v>265</v>
      </c>
      <c r="AH38">
        <v>265</v>
      </c>
      <c r="AI38">
        <v>265</v>
      </c>
      <c r="AJ38">
        <v>265</v>
      </c>
      <c r="AK38">
        <v>265</v>
      </c>
      <c r="AL38">
        <v>265</v>
      </c>
      <c r="AM38">
        <v>265</v>
      </c>
      <c r="AN38">
        <v>265</v>
      </c>
      <c r="AO38">
        <v>265</v>
      </c>
      <c r="AP38">
        <v>265</v>
      </c>
      <c r="AQ38">
        <v>265</v>
      </c>
      <c r="AR38">
        <v>265</v>
      </c>
      <c r="AS38">
        <v>265</v>
      </c>
      <c r="AT38">
        <v>265</v>
      </c>
      <c r="AU38">
        <v>265</v>
      </c>
      <c r="AV38">
        <v>265</v>
      </c>
      <c r="AW38">
        <v>265</v>
      </c>
      <c r="AX38">
        <v>265</v>
      </c>
    </row>
    <row r="39" spans="1:50" x14ac:dyDescent="0.3">
      <c r="A39" t="s">
        <v>81</v>
      </c>
      <c r="B39">
        <v>323</v>
      </c>
      <c r="C39">
        <v>260</v>
      </c>
      <c r="D39">
        <v>260</v>
      </c>
      <c r="E39">
        <v>260</v>
      </c>
      <c r="F39">
        <v>260</v>
      </c>
      <c r="G39">
        <v>260</v>
      </c>
      <c r="H39">
        <v>260</v>
      </c>
      <c r="I39">
        <v>260</v>
      </c>
      <c r="J39">
        <v>260</v>
      </c>
      <c r="K39">
        <v>260</v>
      </c>
      <c r="L39">
        <v>260</v>
      </c>
      <c r="M39">
        <v>260</v>
      </c>
      <c r="N39">
        <v>260</v>
      </c>
      <c r="O39">
        <v>260</v>
      </c>
      <c r="P39">
        <v>260</v>
      </c>
      <c r="Q39">
        <v>260</v>
      </c>
      <c r="R39">
        <v>260</v>
      </c>
      <c r="S39">
        <v>260</v>
      </c>
      <c r="T39">
        <v>265</v>
      </c>
      <c r="U39">
        <v>265</v>
      </c>
      <c r="V39">
        <v>265</v>
      </c>
      <c r="W39">
        <v>265</v>
      </c>
      <c r="X39">
        <v>265</v>
      </c>
      <c r="Y39">
        <v>265</v>
      </c>
      <c r="Z39">
        <v>265</v>
      </c>
      <c r="AA39">
        <v>265</v>
      </c>
      <c r="AB39">
        <v>265</v>
      </c>
      <c r="AC39">
        <v>265</v>
      </c>
      <c r="AD39">
        <v>265</v>
      </c>
      <c r="AE39">
        <v>265</v>
      </c>
      <c r="AF39">
        <v>265</v>
      </c>
      <c r="AG39">
        <v>265</v>
      </c>
      <c r="AH39">
        <v>265</v>
      </c>
      <c r="AI39">
        <v>265</v>
      </c>
      <c r="AJ39">
        <v>265</v>
      </c>
      <c r="AK39">
        <v>265</v>
      </c>
      <c r="AL39">
        <v>265</v>
      </c>
      <c r="AM39">
        <v>265</v>
      </c>
      <c r="AN39">
        <v>265</v>
      </c>
      <c r="AO39">
        <v>265</v>
      </c>
      <c r="AP39">
        <v>265</v>
      </c>
      <c r="AQ39">
        <v>265</v>
      </c>
      <c r="AR39">
        <v>265</v>
      </c>
      <c r="AS39">
        <v>265</v>
      </c>
      <c r="AT39">
        <v>265</v>
      </c>
      <c r="AU39">
        <v>265</v>
      </c>
      <c r="AV39">
        <v>265</v>
      </c>
      <c r="AW39">
        <v>265</v>
      </c>
      <c r="AX39">
        <v>265</v>
      </c>
    </row>
    <row r="40" spans="1:50" x14ac:dyDescent="0.3">
      <c r="A40" t="s">
        <v>82</v>
      </c>
      <c r="B40">
        <v>323</v>
      </c>
      <c r="C40">
        <v>260</v>
      </c>
      <c r="D40">
        <v>260</v>
      </c>
      <c r="E40">
        <v>260</v>
      </c>
      <c r="F40">
        <v>260</v>
      </c>
      <c r="G40">
        <v>260</v>
      </c>
      <c r="H40">
        <v>260</v>
      </c>
      <c r="I40">
        <v>260</v>
      </c>
      <c r="J40">
        <v>260</v>
      </c>
      <c r="K40">
        <v>260</v>
      </c>
      <c r="L40">
        <v>260</v>
      </c>
      <c r="M40">
        <v>260</v>
      </c>
      <c r="N40">
        <v>260</v>
      </c>
      <c r="O40">
        <v>260</v>
      </c>
      <c r="P40">
        <v>260</v>
      </c>
      <c r="Q40">
        <v>260</v>
      </c>
      <c r="R40">
        <v>260</v>
      </c>
      <c r="S40">
        <v>260</v>
      </c>
      <c r="T40">
        <v>265</v>
      </c>
      <c r="U40">
        <v>265</v>
      </c>
      <c r="V40">
        <v>265</v>
      </c>
      <c r="W40">
        <v>265</v>
      </c>
      <c r="X40">
        <v>265</v>
      </c>
      <c r="Y40">
        <v>265</v>
      </c>
      <c r="Z40">
        <v>265</v>
      </c>
      <c r="AA40">
        <v>265</v>
      </c>
      <c r="AB40">
        <v>265</v>
      </c>
      <c r="AC40">
        <v>265</v>
      </c>
      <c r="AD40">
        <v>265</v>
      </c>
      <c r="AE40">
        <v>265</v>
      </c>
      <c r="AF40">
        <v>265</v>
      </c>
      <c r="AG40">
        <v>265</v>
      </c>
      <c r="AH40">
        <v>265</v>
      </c>
      <c r="AI40">
        <v>265</v>
      </c>
      <c r="AJ40">
        <v>265</v>
      </c>
      <c r="AK40">
        <v>265</v>
      </c>
      <c r="AL40">
        <v>265</v>
      </c>
      <c r="AM40">
        <v>265</v>
      </c>
      <c r="AN40">
        <v>265</v>
      </c>
      <c r="AO40">
        <v>265</v>
      </c>
      <c r="AP40">
        <v>265</v>
      </c>
      <c r="AQ40">
        <v>265</v>
      </c>
      <c r="AR40">
        <v>265</v>
      </c>
      <c r="AS40">
        <v>265</v>
      </c>
      <c r="AT40">
        <v>265</v>
      </c>
      <c r="AU40">
        <v>265</v>
      </c>
      <c r="AV40">
        <v>265</v>
      </c>
      <c r="AW40">
        <v>265</v>
      </c>
      <c r="AX40">
        <v>265</v>
      </c>
    </row>
    <row r="42" spans="1:50" x14ac:dyDescent="0.3">
      <c r="A42" t="s">
        <v>277</v>
      </c>
      <c r="B42">
        <v>280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 t="s">
        <v>278</v>
      </c>
      <c r="B43">
        <v>280</v>
      </c>
      <c r="C43">
        <v>250</v>
      </c>
      <c r="D43">
        <v>250</v>
      </c>
      <c r="E43">
        <v>250</v>
      </c>
      <c r="F43">
        <v>250</v>
      </c>
      <c r="G43">
        <v>250</v>
      </c>
      <c r="H43">
        <v>250</v>
      </c>
      <c r="I43">
        <v>250</v>
      </c>
      <c r="J43">
        <v>250</v>
      </c>
      <c r="K43">
        <v>250</v>
      </c>
      <c r="L43">
        <v>250</v>
      </c>
      <c r="M43">
        <v>250</v>
      </c>
      <c r="N43">
        <v>260</v>
      </c>
      <c r="O43">
        <v>260</v>
      </c>
      <c r="P43">
        <v>270</v>
      </c>
      <c r="Q43">
        <v>270</v>
      </c>
      <c r="R43">
        <v>270</v>
      </c>
      <c r="S43">
        <v>270</v>
      </c>
      <c r="T43">
        <v>270</v>
      </c>
      <c r="U43">
        <v>270</v>
      </c>
      <c r="V43">
        <v>270</v>
      </c>
      <c r="W43">
        <v>270</v>
      </c>
      <c r="X43">
        <v>270</v>
      </c>
      <c r="Y43">
        <v>270</v>
      </c>
      <c r="Z43">
        <v>270</v>
      </c>
      <c r="AA43">
        <v>270</v>
      </c>
      <c r="AB43">
        <v>270</v>
      </c>
      <c r="AC43">
        <v>270</v>
      </c>
      <c r="AD43">
        <v>270</v>
      </c>
      <c r="AE43">
        <v>270</v>
      </c>
      <c r="AF43">
        <v>270</v>
      </c>
      <c r="AG43">
        <v>270</v>
      </c>
      <c r="AH43">
        <v>270</v>
      </c>
      <c r="AI43">
        <v>270</v>
      </c>
      <c r="AJ43">
        <v>270</v>
      </c>
      <c r="AK43">
        <v>270</v>
      </c>
      <c r="AL43">
        <v>270</v>
      </c>
      <c r="AM43">
        <v>270</v>
      </c>
      <c r="AN43">
        <v>270</v>
      </c>
      <c r="AO43">
        <v>270</v>
      </c>
      <c r="AP43">
        <v>270</v>
      </c>
      <c r="AQ43">
        <v>270</v>
      </c>
      <c r="AR43">
        <v>275</v>
      </c>
      <c r="AS43">
        <v>275</v>
      </c>
      <c r="AT43">
        <v>250</v>
      </c>
      <c r="AU43">
        <v>250</v>
      </c>
      <c r="AV43">
        <v>250</v>
      </c>
      <c r="AW43">
        <v>250</v>
      </c>
      <c r="AX43">
        <v>250</v>
      </c>
    </row>
    <row r="44" spans="1:50" x14ac:dyDescent="0.3">
      <c r="A44" t="s">
        <v>279</v>
      </c>
      <c r="B44">
        <v>280</v>
      </c>
      <c r="C44">
        <v>250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260</v>
      </c>
      <c r="O44">
        <v>260</v>
      </c>
      <c r="P44">
        <v>270</v>
      </c>
      <c r="Q44">
        <v>270</v>
      </c>
      <c r="R44">
        <v>270</v>
      </c>
      <c r="S44">
        <v>270</v>
      </c>
      <c r="T44">
        <v>270</v>
      </c>
      <c r="U44">
        <v>270</v>
      </c>
      <c r="V44">
        <v>270</v>
      </c>
      <c r="W44">
        <v>270</v>
      </c>
      <c r="X44">
        <v>270</v>
      </c>
      <c r="Y44">
        <v>270</v>
      </c>
      <c r="Z44">
        <v>270</v>
      </c>
      <c r="AA44">
        <v>270</v>
      </c>
      <c r="AB44">
        <v>270</v>
      </c>
      <c r="AC44">
        <v>270</v>
      </c>
      <c r="AD44">
        <v>270</v>
      </c>
      <c r="AE44">
        <v>270</v>
      </c>
      <c r="AF44">
        <v>270</v>
      </c>
      <c r="AG44">
        <v>270</v>
      </c>
      <c r="AH44">
        <v>270</v>
      </c>
      <c r="AI44">
        <v>270</v>
      </c>
      <c r="AJ44">
        <v>270</v>
      </c>
      <c r="AK44">
        <v>270</v>
      </c>
      <c r="AL44">
        <v>270</v>
      </c>
      <c r="AM44">
        <v>270</v>
      </c>
      <c r="AN44">
        <v>270</v>
      </c>
      <c r="AO44">
        <v>270</v>
      </c>
      <c r="AP44">
        <v>270</v>
      </c>
      <c r="AQ44">
        <v>270</v>
      </c>
      <c r="AR44">
        <v>275</v>
      </c>
      <c r="AS44">
        <v>275</v>
      </c>
      <c r="AT44">
        <v>250</v>
      </c>
      <c r="AU44">
        <v>250</v>
      </c>
      <c r="AV44">
        <v>250</v>
      </c>
      <c r="AW44">
        <v>250</v>
      </c>
      <c r="AX44">
        <v>250</v>
      </c>
    </row>
    <row r="45" spans="1:50" x14ac:dyDescent="0.3">
      <c r="A45" t="s">
        <v>280</v>
      </c>
      <c r="B45">
        <v>293</v>
      </c>
      <c r="C45">
        <v>200</v>
      </c>
      <c r="D45">
        <v>200</v>
      </c>
      <c r="E45">
        <v>200</v>
      </c>
      <c r="F45">
        <v>200</v>
      </c>
      <c r="G45">
        <v>200</v>
      </c>
      <c r="H45">
        <v>200</v>
      </c>
      <c r="I45">
        <v>200</v>
      </c>
      <c r="J45">
        <v>200</v>
      </c>
      <c r="K45">
        <v>200</v>
      </c>
      <c r="L45">
        <v>200</v>
      </c>
      <c r="M45">
        <v>200</v>
      </c>
      <c r="N45">
        <v>200</v>
      </c>
      <c r="O45">
        <v>200</v>
      </c>
      <c r="P45">
        <v>200</v>
      </c>
      <c r="Q45">
        <v>200</v>
      </c>
      <c r="R45">
        <v>220</v>
      </c>
      <c r="S45">
        <v>220</v>
      </c>
      <c r="T45">
        <v>220</v>
      </c>
      <c r="U45">
        <v>220</v>
      </c>
      <c r="V45">
        <v>220</v>
      </c>
      <c r="W45">
        <v>220</v>
      </c>
      <c r="X45">
        <v>220</v>
      </c>
      <c r="Y45">
        <v>220</v>
      </c>
      <c r="Z45">
        <v>220</v>
      </c>
      <c r="AA45">
        <v>220</v>
      </c>
      <c r="AB45">
        <v>220</v>
      </c>
      <c r="AC45">
        <v>220</v>
      </c>
      <c r="AD45">
        <v>220</v>
      </c>
      <c r="AE45">
        <v>220</v>
      </c>
      <c r="AF45">
        <v>220</v>
      </c>
      <c r="AG45">
        <v>220</v>
      </c>
      <c r="AH45">
        <v>220</v>
      </c>
      <c r="AI45">
        <v>220</v>
      </c>
      <c r="AJ45">
        <v>220</v>
      </c>
      <c r="AK45">
        <v>220</v>
      </c>
      <c r="AL45">
        <v>220</v>
      </c>
      <c r="AM45">
        <v>220</v>
      </c>
      <c r="AN45">
        <v>220</v>
      </c>
      <c r="AO45">
        <v>220</v>
      </c>
      <c r="AP45">
        <v>220</v>
      </c>
      <c r="AQ45">
        <v>220</v>
      </c>
      <c r="AR45">
        <v>200</v>
      </c>
      <c r="AS45">
        <v>200</v>
      </c>
      <c r="AT45">
        <v>200</v>
      </c>
      <c r="AU45">
        <v>200</v>
      </c>
      <c r="AV45">
        <v>200</v>
      </c>
      <c r="AW45">
        <v>200</v>
      </c>
      <c r="AX45">
        <v>200</v>
      </c>
    </row>
    <row r="47" spans="1:50" x14ac:dyDescent="0.3">
      <c r="A47" t="s">
        <v>281</v>
      </c>
      <c r="B47">
        <v>371.5</v>
      </c>
      <c r="C47">
        <v>180</v>
      </c>
      <c r="D47">
        <v>180</v>
      </c>
      <c r="E47">
        <v>180</v>
      </c>
      <c r="F47">
        <v>180</v>
      </c>
      <c r="G47">
        <v>180</v>
      </c>
      <c r="H47">
        <v>180</v>
      </c>
      <c r="I47">
        <v>180</v>
      </c>
      <c r="J47">
        <v>180</v>
      </c>
      <c r="K47">
        <v>180</v>
      </c>
      <c r="L47">
        <v>180</v>
      </c>
      <c r="M47">
        <v>180</v>
      </c>
      <c r="N47">
        <v>180</v>
      </c>
      <c r="O47">
        <v>180</v>
      </c>
      <c r="P47">
        <v>180</v>
      </c>
      <c r="Q47">
        <v>180</v>
      </c>
      <c r="R47">
        <v>180</v>
      </c>
      <c r="S47">
        <v>180</v>
      </c>
      <c r="T47">
        <v>180</v>
      </c>
      <c r="U47">
        <v>180</v>
      </c>
      <c r="V47">
        <v>180</v>
      </c>
      <c r="W47">
        <v>180</v>
      </c>
      <c r="X47">
        <v>180</v>
      </c>
      <c r="Y47">
        <v>180</v>
      </c>
      <c r="Z47">
        <v>180</v>
      </c>
      <c r="AA47">
        <v>180</v>
      </c>
      <c r="AB47">
        <v>180</v>
      </c>
      <c r="AC47">
        <v>180</v>
      </c>
      <c r="AD47">
        <v>180</v>
      </c>
      <c r="AE47">
        <v>180</v>
      </c>
      <c r="AF47">
        <v>180</v>
      </c>
      <c r="AG47">
        <v>180</v>
      </c>
      <c r="AH47">
        <v>180</v>
      </c>
      <c r="AI47">
        <v>180</v>
      </c>
      <c r="AJ47">
        <v>180</v>
      </c>
      <c r="AK47">
        <v>180</v>
      </c>
      <c r="AL47">
        <v>180</v>
      </c>
      <c r="AM47">
        <v>180</v>
      </c>
      <c r="AN47">
        <v>180</v>
      </c>
      <c r="AO47">
        <v>180</v>
      </c>
      <c r="AP47">
        <v>180</v>
      </c>
      <c r="AQ47">
        <v>180</v>
      </c>
      <c r="AR47">
        <v>180</v>
      </c>
      <c r="AS47">
        <v>180</v>
      </c>
      <c r="AT47">
        <v>180</v>
      </c>
      <c r="AU47">
        <v>180</v>
      </c>
      <c r="AV47">
        <v>180</v>
      </c>
      <c r="AW47">
        <v>180</v>
      </c>
      <c r="AX47">
        <v>180</v>
      </c>
    </row>
    <row r="48" spans="1:50" x14ac:dyDescent="0.3">
      <c r="C48" t="s">
        <v>282</v>
      </c>
      <c r="D48" t="s">
        <v>282</v>
      </c>
      <c r="E48" t="s">
        <v>282</v>
      </c>
      <c r="F48" t="s">
        <v>282</v>
      </c>
      <c r="G48" t="s">
        <v>282</v>
      </c>
      <c r="H48" t="s">
        <v>282</v>
      </c>
      <c r="I48" t="s">
        <v>282</v>
      </c>
      <c r="J48" t="s">
        <v>282</v>
      </c>
      <c r="K48" t="s">
        <v>282</v>
      </c>
      <c r="L48" t="s">
        <v>282</v>
      </c>
      <c r="M48" t="s">
        <v>282</v>
      </c>
      <c r="N48" t="s">
        <v>282</v>
      </c>
      <c r="O48" t="s">
        <v>282</v>
      </c>
      <c r="P48" t="s">
        <v>282</v>
      </c>
      <c r="Q48" t="s">
        <v>282</v>
      </c>
      <c r="R48" t="s">
        <v>282</v>
      </c>
      <c r="S48" t="s">
        <v>282</v>
      </c>
      <c r="T48" t="s">
        <v>282</v>
      </c>
      <c r="U48" t="s">
        <v>282</v>
      </c>
      <c r="V48" t="s">
        <v>282</v>
      </c>
      <c r="W48" t="s">
        <v>282</v>
      </c>
      <c r="X48" t="s">
        <v>282</v>
      </c>
      <c r="Y48" t="s">
        <v>282</v>
      </c>
      <c r="Z48" t="s">
        <v>282</v>
      </c>
      <c r="AA48" t="s">
        <v>282</v>
      </c>
      <c r="AB48" t="s">
        <v>282</v>
      </c>
      <c r="AC48" t="s">
        <v>282</v>
      </c>
      <c r="AD48" t="s">
        <v>282</v>
      </c>
      <c r="AE48" t="s">
        <v>282</v>
      </c>
      <c r="AF48" t="s">
        <v>282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</row>
    <row r="50" spans="1:50" x14ac:dyDescent="0.3">
      <c r="A50" t="s">
        <v>283</v>
      </c>
      <c r="B50">
        <v>162</v>
      </c>
      <c r="C50">
        <v>90</v>
      </c>
      <c r="D50">
        <v>90</v>
      </c>
      <c r="E50">
        <v>90</v>
      </c>
      <c r="F50">
        <v>90</v>
      </c>
      <c r="G50">
        <v>90</v>
      </c>
      <c r="H50">
        <v>90</v>
      </c>
      <c r="I50">
        <v>90</v>
      </c>
      <c r="J50">
        <v>90</v>
      </c>
      <c r="K50">
        <v>90</v>
      </c>
      <c r="L50">
        <v>90</v>
      </c>
      <c r="M50">
        <v>90</v>
      </c>
      <c r="N50">
        <v>90</v>
      </c>
      <c r="O50">
        <v>90</v>
      </c>
      <c r="P50">
        <v>90</v>
      </c>
      <c r="Q50">
        <v>90</v>
      </c>
      <c r="R50">
        <v>90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90</v>
      </c>
      <c r="AD50">
        <v>90</v>
      </c>
      <c r="AE50">
        <v>90</v>
      </c>
      <c r="AF50">
        <v>90</v>
      </c>
      <c r="AG50">
        <v>90</v>
      </c>
      <c r="AH50">
        <v>90</v>
      </c>
      <c r="AI50">
        <v>90</v>
      </c>
      <c r="AJ50">
        <v>90</v>
      </c>
      <c r="AK50">
        <v>90</v>
      </c>
      <c r="AL50">
        <v>90</v>
      </c>
      <c r="AM50">
        <v>90</v>
      </c>
      <c r="AN50">
        <v>90</v>
      </c>
      <c r="AO50">
        <v>90</v>
      </c>
      <c r="AP50">
        <v>90</v>
      </c>
      <c r="AQ50">
        <v>90</v>
      </c>
      <c r="AR50">
        <v>90</v>
      </c>
      <c r="AS50">
        <v>90</v>
      </c>
      <c r="AT50">
        <v>90</v>
      </c>
      <c r="AU50">
        <v>90</v>
      </c>
      <c r="AV50">
        <v>90</v>
      </c>
      <c r="AW50">
        <v>90</v>
      </c>
      <c r="AX50">
        <v>90</v>
      </c>
    </row>
    <row r="51" spans="1:50" x14ac:dyDescent="0.3">
      <c r="A51" t="s">
        <v>284</v>
      </c>
      <c r="B51">
        <v>162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3" spans="1:50" x14ac:dyDescent="0.3">
      <c r="A53" t="s">
        <v>285</v>
      </c>
      <c r="C53">
        <v>122.28</v>
      </c>
      <c r="D53">
        <v>122.28</v>
      </c>
      <c r="E53">
        <v>122.28</v>
      </c>
      <c r="F53">
        <v>122.28</v>
      </c>
      <c r="G53">
        <v>122.28</v>
      </c>
      <c r="H53">
        <v>122.28</v>
      </c>
      <c r="I53">
        <v>122.28</v>
      </c>
      <c r="J53">
        <v>122.28</v>
      </c>
      <c r="K53">
        <v>122.28</v>
      </c>
      <c r="L53">
        <v>122.28</v>
      </c>
      <c r="M53">
        <v>122.28</v>
      </c>
      <c r="N53">
        <v>122.28</v>
      </c>
      <c r="O53">
        <v>122.28</v>
      </c>
      <c r="P53">
        <v>122.28</v>
      </c>
      <c r="Q53">
        <v>151.25</v>
      </c>
      <c r="R53">
        <v>187.57</v>
      </c>
      <c r="S53">
        <v>187.57</v>
      </c>
      <c r="T53">
        <v>245.04</v>
      </c>
      <c r="U53">
        <v>281.36</v>
      </c>
      <c r="V53">
        <v>281.36</v>
      </c>
      <c r="W53">
        <v>281.36</v>
      </c>
      <c r="X53">
        <v>281.36</v>
      </c>
      <c r="Y53">
        <v>281.36</v>
      </c>
      <c r="Z53">
        <v>281.36</v>
      </c>
      <c r="AA53">
        <v>281.36</v>
      </c>
      <c r="AB53">
        <v>281.36</v>
      </c>
      <c r="AC53">
        <v>281.36</v>
      </c>
      <c r="AD53">
        <v>281.36</v>
      </c>
      <c r="AE53">
        <v>281.36</v>
      </c>
      <c r="AF53">
        <v>281.36</v>
      </c>
      <c r="AG53">
        <v>281.36</v>
      </c>
      <c r="AH53">
        <v>281.36</v>
      </c>
      <c r="AI53">
        <v>281.36</v>
      </c>
      <c r="AJ53">
        <v>281.36</v>
      </c>
      <c r="AK53">
        <v>281.36</v>
      </c>
      <c r="AL53">
        <v>331.86</v>
      </c>
      <c r="AM53">
        <v>306.52</v>
      </c>
      <c r="AN53">
        <v>281.36</v>
      </c>
      <c r="AO53">
        <v>281.36</v>
      </c>
      <c r="AP53">
        <v>270.72000000000003</v>
      </c>
      <c r="AQ53">
        <v>187.57</v>
      </c>
      <c r="AR53">
        <v>176.94</v>
      </c>
      <c r="AS53">
        <v>122.28</v>
      </c>
      <c r="AT53">
        <v>122.28</v>
      </c>
      <c r="AU53">
        <v>122.28</v>
      </c>
      <c r="AV53">
        <v>122.28</v>
      </c>
      <c r="AW53">
        <v>122.28</v>
      </c>
      <c r="AX53">
        <v>122.28</v>
      </c>
    </row>
    <row r="54" spans="1:50" x14ac:dyDescent="0.3">
      <c r="A54" t="s">
        <v>286</v>
      </c>
      <c r="C54">
        <v>180.85</v>
      </c>
      <c r="D54">
        <v>180.85</v>
      </c>
      <c r="E54">
        <v>180.85</v>
      </c>
      <c r="F54">
        <v>180.85</v>
      </c>
      <c r="G54">
        <v>210</v>
      </c>
      <c r="H54">
        <v>210</v>
      </c>
      <c r="I54">
        <v>210</v>
      </c>
      <c r="J54">
        <v>210</v>
      </c>
      <c r="K54">
        <v>210</v>
      </c>
      <c r="L54">
        <v>210</v>
      </c>
      <c r="M54">
        <v>210</v>
      </c>
      <c r="N54">
        <v>210</v>
      </c>
      <c r="O54">
        <v>180.85</v>
      </c>
      <c r="P54">
        <v>180.85</v>
      </c>
      <c r="Q54">
        <v>210</v>
      </c>
      <c r="R54">
        <v>180.85</v>
      </c>
      <c r="S54">
        <v>180.85</v>
      </c>
      <c r="T54">
        <v>180.85</v>
      </c>
      <c r="U54">
        <v>180.85</v>
      </c>
      <c r="V54">
        <v>183.18</v>
      </c>
      <c r="W54">
        <v>202.57</v>
      </c>
      <c r="X54">
        <v>227.05</v>
      </c>
      <c r="Y54">
        <v>220.1</v>
      </c>
      <c r="Z54">
        <v>185.52</v>
      </c>
      <c r="AA54">
        <v>180.85</v>
      </c>
      <c r="AB54">
        <v>201.89</v>
      </c>
      <c r="AC54">
        <v>255.49</v>
      </c>
      <c r="AD54">
        <v>273.91000000000003</v>
      </c>
      <c r="AE54">
        <v>328.29</v>
      </c>
      <c r="AF54">
        <v>328.29</v>
      </c>
      <c r="AG54">
        <v>335.98</v>
      </c>
      <c r="AH54">
        <v>251.74</v>
      </c>
      <c r="AI54">
        <v>180.85</v>
      </c>
      <c r="AJ54">
        <v>180.85</v>
      </c>
      <c r="AK54">
        <v>251.74</v>
      </c>
      <c r="AL54">
        <v>340</v>
      </c>
      <c r="AM54">
        <v>340</v>
      </c>
      <c r="AN54">
        <v>251.74</v>
      </c>
      <c r="AO54">
        <v>251.74</v>
      </c>
      <c r="AP54">
        <v>251.74</v>
      </c>
      <c r="AQ54">
        <v>251.74</v>
      </c>
      <c r="AR54">
        <v>251.74</v>
      </c>
      <c r="AS54">
        <v>251.74</v>
      </c>
      <c r="AT54">
        <v>251.74</v>
      </c>
      <c r="AU54">
        <v>251.74</v>
      </c>
      <c r="AV54">
        <v>234.69</v>
      </c>
      <c r="AW54">
        <v>211.35</v>
      </c>
      <c r="AX54">
        <v>250.54</v>
      </c>
    </row>
    <row r="55" spans="1:50" x14ac:dyDescent="0.3">
      <c r="A55" t="s">
        <v>287</v>
      </c>
      <c r="B55">
        <v>165</v>
      </c>
      <c r="C55">
        <v>82.5</v>
      </c>
      <c r="D55">
        <v>82.5</v>
      </c>
      <c r="E55">
        <v>82.5</v>
      </c>
      <c r="F55">
        <v>82.5</v>
      </c>
      <c r="G55">
        <v>82.5</v>
      </c>
      <c r="H55">
        <v>82.5</v>
      </c>
      <c r="I55">
        <v>82.5</v>
      </c>
      <c r="J55">
        <v>82.5</v>
      </c>
      <c r="K55">
        <v>82.5</v>
      </c>
      <c r="L55">
        <v>82.5</v>
      </c>
      <c r="M55">
        <v>82.5</v>
      </c>
      <c r="N55">
        <v>82.5</v>
      </c>
      <c r="O55">
        <v>82.5</v>
      </c>
      <c r="P55">
        <v>82.5</v>
      </c>
      <c r="Q55">
        <v>90.24</v>
      </c>
      <c r="R55">
        <v>121.36</v>
      </c>
      <c r="S55">
        <v>165</v>
      </c>
      <c r="T55">
        <v>165</v>
      </c>
      <c r="U55">
        <v>165</v>
      </c>
      <c r="V55">
        <v>165</v>
      </c>
      <c r="W55">
        <v>165</v>
      </c>
      <c r="X55">
        <v>165</v>
      </c>
      <c r="Y55">
        <v>165</v>
      </c>
      <c r="Z55">
        <v>165</v>
      </c>
      <c r="AA55">
        <v>165</v>
      </c>
      <c r="AB55">
        <v>165</v>
      </c>
      <c r="AC55">
        <v>165</v>
      </c>
      <c r="AD55">
        <v>165</v>
      </c>
      <c r="AE55">
        <v>165</v>
      </c>
      <c r="AF55">
        <v>165</v>
      </c>
      <c r="AG55">
        <v>165</v>
      </c>
      <c r="AH55">
        <v>165</v>
      </c>
      <c r="AI55">
        <v>165</v>
      </c>
      <c r="AJ55">
        <v>165</v>
      </c>
      <c r="AK55">
        <v>165</v>
      </c>
      <c r="AL55">
        <v>165</v>
      </c>
      <c r="AM55">
        <v>165</v>
      </c>
      <c r="AN55">
        <v>165</v>
      </c>
      <c r="AO55">
        <v>165</v>
      </c>
      <c r="AP55">
        <v>165</v>
      </c>
      <c r="AQ55">
        <v>165</v>
      </c>
      <c r="AR55">
        <v>165</v>
      </c>
      <c r="AS55">
        <v>165</v>
      </c>
      <c r="AT55">
        <v>165</v>
      </c>
      <c r="AU55">
        <v>165</v>
      </c>
      <c r="AV55">
        <v>165</v>
      </c>
      <c r="AW55">
        <v>82.5</v>
      </c>
      <c r="AX55">
        <v>165</v>
      </c>
    </row>
    <row r="56" spans="1:50" x14ac:dyDescent="0.3">
      <c r="A56" t="s">
        <v>288</v>
      </c>
      <c r="B56">
        <v>330</v>
      </c>
      <c r="C56">
        <v>165</v>
      </c>
      <c r="D56">
        <v>165</v>
      </c>
      <c r="E56">
        <v>165</v>
      </c>
      <c r="F56">
        <v>165</v>
      </c>
      <c r="G56">
        <v>165</v>
      </c>
      <c r="H56">
        <v>165</v>
      </c>
      <c r="I56">
        <v>165</v>
      </c>
      <c r="J56">
        <v>165</v>
      </c>
      <c r="K56">
        <v>165</v>
      </c>
      <c r="L56">
        <v>165</v>
      </c>
      <c r="M56">
        <v>165</v>
      </c>
      <c r="N56">
        <v>165</v>
      </c>
      <c r="O56">
        <v>165</v>
      </c>
      <c r="P56">
        <v>165</v>
      </c>
      <c r="Q56">
        <v>180.47</v>
      </c>
      <c r="R56">
        <v>242.72</v>
      </c>
      <c r="S56">
        <v>330</v>
      </c>
      <c r="T56">
        <v>330</v>
      </c>
      <c r="U56">
        <v>330</v>
      </c>
      <c r="V56">
        <v>330</v>
      </c>
      <c r="W56">
        <v>330</v>
      </c>
      <c r="X56">
        <v>330</v>
      </c>
      <c r="Y56">
        <v>330</v>
      </c>
      <c r="Z56">
        <v>330</v>
      </c>
      <c r="AA56">
        <v>330</v>
      </c>
      <c r="AB56">
        <v>330</v>
      </c>
      <c r="AC56">
        <v>330</v>
      </c>
      <c r="AD56">
        <v>330</v>
      </c>
      <c r="AE56">
        <v>330</v>
      </c>
      <c r="AF56">
        <v>330</v>
      </c>
      <c r="AG56">
        <v>330</v>
      </c>
      <c r="AH56">
        <v>330</v>
      </c>
      <c r="AI56">
        <v>330</v>
      </c>
      <c r="AJ56">
        <v>330</v>
      </c>
      <c r="AK56">
        <v>330</v>
      </c>
      <c r="AL56">
        <v>330</v>
      </c>
      <c r="AM56">
        <v>330</v>
      </c>
      <c r="AN56">
        <v>330</v>
      </c>
      <c r="AO56">
        <v>330</v>
      </c>
      <c r="AP56">
        <v>330</v>
      </c>
      <c r="AQ56">
        <v>330</v>
      </c>
      <c r="AR56">
        <v>330</v>
      </c>
      <c r="AS56">
        <v>330</v>
      </c>
      <c r="AT56">
        <v>330</v>
      </c>
      <c r="AU56">
        <v>330</v>
      </c>
      <c r="AV56">
        <v>330</v>
      </c>
      <c r="AW56">
        <v>165</v>
      </c>
      <c r="AX56">
        <v>330</v>
      </c>
    </row>
    <row r="57" spans="1:50" x14ac:dyDescent="0.3">
      <c r="C57" t="s">
        <v>289</v>
      </c>
      <c r="D57" t="s">
        <v>289</v>
      </c>
      <c r="E57" t="s">
        <v>289</v>
      </c>
      <c r="F57" t="s">
        <v>289</v>
      </c>
      <c r="G57" t="s">
        <v>289</v>
      </c>
      <c r="H57" t="s">
        <v>289</v>
      </c>
      <c r="I57" t="s">
        <v>289</v>
      </c>
      <c r="J57" t="s">
        <v>289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 t="s">
        <v>289</v>
      </c>
      <c r="T57" t="s">
        <v>289</v>
      </c>
      <c r="U57" t="s">
        <v>289</v>
      </c>
      <c r="V57" t="s">
        <v>289</v>
      </c>
      <c r="W57" t="s">
        <v>289</v>
      </c>
      <c r="X57" t="s">
        <v>289</v>
      </c>
      <c r="Y57" t="s">
        <v>289</v>
      </c>
      <c r="Z57" t="s">
        <v>289</v>
      </c>
      <c r="AA57" t="s">
        <v>289</v>
      </c>
      <c r="AB57" t="s">
        <v>289</v>
      </c>
      <c r="AC57" t="s">
        <v>289</v>
      </c>
      <c r="AD57" t="s">
        <v>289</v>
      </c>
      <c r="AE57" t="s">
        <v>289</v>
      </c>
      <c r="AF57" t="s">
        <v>289</v>
      </c>
      <c r="AG57" t="s">
        <v>289</v>
      </c>
      <c r="AH57" t="s">
        <v>289</v>
      </c>
      <c r="AI57" t="s">
        <v>289</v>
      </c>
      <c r="AJ57" t="s">
        <v>289</v>
      </c>
      <c r="AK57" t="s">
        <v>289</v>
      </c>
      <c r="AL57" t="s">
        <v>289</v>
      </c>
      <c r="AM57" t="s">
        <v>289</v>
      </c>
      <c r="AN57" t="s">
        <v>289</v>
      </c>
      <c r="AO57" t="s">
        <v>289</v>
      </c>
      <c r="AP57" t="s">
        <v>289</v>
      </c>
      <c r="AQ57" t="s">
        <v>289</v>
      </c>
      <c r="AR57" t="s">
        <v>289</v>
      </c>
      <c r="AS57" t="s">
        <v>289</v>
      </c>
      <c r="AT57" t="s">
        <v>289</v>
      </c>
      <c r="AU57" t="s">
        <v>289</v>
      </c>
      <c r="AV57" t="s">
        <v>289</v>
      </c>
      <c r="AW57" t="s">
        <v>289</v>
      </c>
      <c r="AX57" t="s">
        <v>289</v>
      </c>
    </row>
    <row r="59" spans="1:50" x14ac:dyDescent="0.3">
      <c r="A59" t="s">
        <v>290</v>
      </c>
      <c r="C59">
        <v>188.19</v>
      </c>
      <c r="D59">
        <v>188.19</v>
      </c>
      <c r="E59">
        <v>188.19</v>
      </c>
      <c r="F59">
        <v>188.19</v>
      </c>
      <c r="G59">
        <v>188.19</v>
      </c>
      <c r="H59">
        <v>188.19</v>
      </c>
      <c r="I59">
        <v>188.19</v>
      </c>
      <c r="J59">
        <v>188.19</v>
      </c>
      <c r="K59">
        <v>188.19</v>
      </c>
      <c r="L59">
        <v>188.19</v>
      </c>
      <c r="M59">
        <v>188.19</v>
      </c>
      <c r="N59">
        <v>188.19</v>
      </c>
      <c r="O59">
        <v>188.19</v>
      </c>
      <c r="P59">
        <v>188.19</v>
      </c>
      <c r="Q59">
        <v>188.19</v>
      </c>
      <c r="R59">
        <v>188.19</v>
      </c>
      <c r="S59">
        <v>188.19</v>
      </c>
      <c r="T59">
        <v>188.19</v>
      </c>
      <c r="U59">
        <v>188.19</v>
      </c>
      <c r="V59">
        <v>188.19</v>
      </c>
      <c r="W59">
        <v>188.19</v>
      </c>
      <c r="X59">
        <v>188.19</v>
      </c>
      <c r="Y59">
        <v>188.19</v>
      </c>
      <c r="Z59">
        <v>188.19</v>
      </c>
      <c r="AA59">
        <v>188.19</v>
      </c>
      <c r="AB59">
        <v>188.19</v>
      </c>
      <c r="AC59">
        <v>188.19</v>
      </c>
      <c r="AD59">
        <v>188.19</v>
      </c>
      <c r="AE59">
        <v>188.19</v>
      </c>
      <c r="AF59">
        <v>188.19</v>
      </c>
      <c r="AG59">
        <v>188.19</v>
      </c>
      <c r="AH59">
        <v>188.19</v>
      </c>
      <c r="AI59">
        <v>188.19</v>
      </c>
      <c r="AJ59">
        <v>188.19</v>
      </c>
      <c r="AK59">
        <v>188.19</v>
      </c>
      <c r="AL59">
        <v>208.77</v>
      </c>
      <c r="AM59">
        <v>188.19</v>
      </c>
      <c r="AN59">
        <v>188.19</v>
      </c>
      <c r="AO59">
        <v>188.19</v>
      </c>
      <c r="AP59">
        <v>188.19</v>
      </c>
      <c r="AQ59">
        <v>188.19</v>
      </c>
      <c r="AR59">
        <v>188.19</v>
      </c>
      <c r="AS59">
        <v>188.19</v>
      </c>
      <c r="AT59">
        <v>188.19</v>
      </c>
      <c r="AU59">
        <v>188.19</v>
      </c>
      <c r="AV59">
        <v>188.19</v>
      </c>
      <c r="AW59">
        <v>188.19</v>
      </c>
      <c r="AX59">
        <v>188.19</v>
      </c>
    </row>
    <row r="61" spans="1:50" x14ac:dyDescent="0.3">
      <c r="A61" t="s">
        <v>291</v>
      </c>
    </row>
    <row r="63" spans="1:50" x14ac:dyDescent="0.3">
      <c r="A63" t="s">
        <v>31</v>
      </c>
      <c r="B63">
        <v>625</v>
      </c>
      <c r="C63">
        <v>550</v>
      </c>
      <c r="D63">
        <v>530</v>
      </c>
      <c r="E63">
        <v>500</v>
      </c>
      <c r="F63">
        <v>500</v>
      </c>
      <c r="G63">
        <v>500</v>
      </c>
      <c r="H63">
        <v>500</v>
      </c>
      <c r="I63">
        <v>500</v>
      </c>
      <c r="J63">
        <v>500</v>
      </c>
      <c r="K63">
        <v>500</v>
      </c>
      <c r="L63">
        <v>550</v>
      </c>
      <c r="M63">
        <v>603</v>
      </c>
      <c r="N63">
        <v>603</v>
      </c>
      <c r="O63">
        <v>603</v>
      </c>
      <c r="P63">
        <v>603</v>
      </c>
      <c r="Q63">
        <v>603</v>
      </c>
      <c r="R63">
        <v>603</v>
      </c>
      <c r="S63">
        <v>603</v>
      </c>
      <c r="T63">
        <v>603</v>
      </c>
      <c r="U63">
        <v>603</v>
      </c>
      <c r="V63">
        <v>603</v>
      </c>
      <c r="W63">
        <v>603</v>
      </c>
      <c r="X63">
        <v>603</v>
      </c>
      <c r="Y63">
        <v>603</v>
      </c>
      <c r="Z63">
        <v>603</v>
      </c>
      <c r="AA63">
        <v>600.74</v>
      </c>
      <c r="AB63">
        <v>600.74</v>
      </c>
      <c r="AC63">
        <v>600.74</v>
      </c>
      <c r="AD63">
        <v>600.74</v>
      </c>
      <c r="AE63">
        <v>600.74</v>
      </c>
      <c r="AF63">
        <v>600.74</v>
      </c>
      <c r="AG63">
        <v>600.74</v>
      </c>
      <c r="AH63">
        <v>600.74</v>
      </c>
      <c r="AI63">
        <v>600.74</v>
      </c>
      <c r="AJ63">
        <v>600.74</v>
      </c>
      <c r="AK63">
        <v>600.74</v>
      </c>
      <c r="AL63">
        <v>600.74</v>
      </c>
      <c r="AM63">
        <v>600.74</v>
      </c>
      <c r="AN63">
        <v>600.74</v>
      </c>
      <c r="AO63">
        <v>600.74</v>
      </c>
      <c r="AP63">
        <v>600.74</v>
      </c>
      <c r="AQ63">
        <v>600.74</v>
      </c>
      <c r="AR63">
        <v>600.74</v>
      </c>
      <c r="AS63">
        <v>600.74</v>
      </c>
      <c r="AT63">
        <v>600.74</v>
      </c>
      <c r="AU63">
        <v>600.74</v>
      </c>
      <c r="AV63">
        <v>600.74</v>
      </c>
      <c r="AW63">
        <v>600.74</v>
      </c>
      <c r="AX63">
        <v>600.74</v>
      </c>
    </row>
    <row r="65" spans="1:50" x14ac:dyDescent="0.3">
      <c r="A65" t="s">
        <v>66</v>
      </c>
      <c r="B65">
        <v>991</v>
      </c>
      <c r="C65">
        <v>650</v>
      </c>
      <c r="D65">
        <v>650</v>
      </c>
      <c r="E65">
        <v>650</v>
      </c>
      <c r="F65">
        <v>650</v>
      </c>
      <c r="G65">
        <v>650</v>
      </c>
      <c r="H65">
        <v>650</v>
      </c>
      <c r="I65">
        <v>650</v>
      </c>
      <c r="J65">
        <v>650</v>
      </c>
      <c r="K65">
        <v>800</v>
      </c>
      <c r="L65">
        <v>901.6</v>
      </c>
      <c r="M65">
        <v>901.6</v>
      </c>
      <c r="N65">
        <v>901.6</v>
      </c>
      <c r="O65">
        <v>901.6</v>
      </c>
      <c r="P65">
        <v>901.6</v>
      </c>
      <c r="Q65">
        <v>901.6</v>
      </c>
      <c r="R65">
        <v>901.6</v>
      </c>
      <c r="S65">
        <v>901.6</v>
      </c>
      <c r="T65">
        <v>901.6</v>
      </c>
      <c r="U65">
        <v>901.6</v>
      </c>
      <c r="V65">
        <v>901.6</v>
      </c>
      <c r="W65">
        <v>901.6</v>
      </c>
      <c r="X65">
        <v>901.6</v>
      </c>
      <c r="Y65">
        <v>901.6</v>
      </c>
      <c r="Z65">
        <v>901.6</v>
      </c>
      <c r="AA65">
        <v>901.6</v>
      </c>
      <c r="AB65">
        <v>901.6</v>
      </c>
      <c r="AC65">
        <v>901.6</v>
      </c>
      <c r="AD65">
        <v>901.6</v>
      </c>
      <c r="AE65">
        <v>901.6</v>
      </c>
      <c r="AF65">
        <v>901.6</v>
      </c>
      <c r="AG65">
        <v>901.6</v>
      </c>
      <c r="AH65">
        <v>901.6</v>
      </c>
      <c r="AI65">
        <v>901.6</v>
      </c>
      <c r="AJ65">
        <v>901.6</v>
      </c>
      <c r="AK65">
        <v>901.6</v>
      </c>
      <c r="AL65">
        <v>901.6</v>
      </c>
      <c r="AM65">
        <v>901.6</v>
      </c>
      <c r="AN65">
        <v>901.6</v>
      </c>
      <c r="AO65">
        <v>901.6</v>
      </c>
      <c r="AP65">
        <v>901.6</v>
      </c>
      <c r="AQ65">
        <v>901.6</v>
      </c>
      <c r="AR65">
        <v>901.6</v>
      </c>
      <c r="AS65">
        <v>901.6</v>
      </c>
      <c r="AT65">
        <v>901.6</v>
      </c>
      <c r="AU65">
        <v>901.6</v>
      </c>
      <c r="AV65">
        <v>901.6</v>
      </c>
      <c r="AW65">
        <v>901.6</v>
      </c>
      <c r="AX65">
        <v>901.6</v>
      </c>
    </row>
    <row r="66" spans="1:50" x14ac:dyDescent="0.3">
      <c r="A66" t="s">
        <v>68</v>
      </c>
      <c r="B66">
        <v>991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8" spans="1:50" x14ac:dyDescent="0.3">
      <c r="A68" t="s">
        <v>41</v>
      </c>
      <c r="B68">
        <v>1000</v>
      </c>
      <c r="C68">
        <v>980</v>
      </c>
      <c r="D68">
        <v>882</v>
      </c>
      <c r="E68">
        <v>833</v>
      </c>
      <c r="F68">
        <v>833</v>
      </c>
      <c r="G68">
        <v>850</v>
      </c>
      <c r="H68">
        <v>850</v>
      </c>
      <c r="I68">
        <v>850</v>
      </c>
      <c r="J68">
        <v>850</v>
      </c>
      <c r="K68">
        <v>882</v>
      </c>
      <c r="L68">
        <v>931</v>
      </c>
      <c r="M68">
        <v>980</v>
      </c>
      <c r="N68">
        <v>980</v>
      </c>
      <c r="O68">
        <v>980</v>
      </c>
      <c r="P68">
        <v>980</v>
      </c>
      <c r="Q68">
        <v>980</v>
      </c>
      <c r="R68">
        <v>980</v>
      </c>
      <c r="S68">
        <v>980</v>
      </c>
      <c r="T68">
        <v>980</v>
      </c>
      <c r="U68">
        <v>980</v>
      </c>
      <c r="V68">
        <v>980</v>
      </c>
      <c r="W68">
        <v>980</v>
      </c>
      <c r="X68">
        <v>980</v>
      </c>
      <c r="Y68">
        <v>980</v>
      </c>
      <c r="Z68">
        <v>980</v>
      </c>
      <c r="AA68">
        <v>980</v>
      </c>
      <c r="AB68">
        <v>980</v>
      </c>
      <c r="AC68">
        <v>980</v>
      </c>
      <c r="AD68">
        <v>980</v>
      </c>
      <c r="AE68">
        <v>980</v>
      </c>
      <c r="AF68">
        <v>980</v>
      </c>
      <c r="AG68">
        <v>980</v>
      </c>
      <c r="AH68">
        <v>980</v>
      </c>
      <c r="AI68">
        <v>980</v>
      </c>
      <c r="AJ68">
        <v>980</v>
      </c>
      <c r="AK68">
        <v>980</v>
      </c>
      <c r="AL68">
        <v>980</v>
      </c>
      <c r="AM68">
        <v>980</v>
      </c>
      <c r="AN68">
        <v>980</v>
      </c>
      <c r="AO68">
        <v>980</v>
      </c>
      <c r="AP68">
        <v>980</v>
      </c>
      <c r="AQ68">
        <v>980</v>
      </c>
      <c r="AR68">
        <v>980</v>
      </c>
      <c r="AS68">
        <v>980</v>
      </c>
      <c r="AT68">
        <v>980</v>
      </c>
      <c r="AU68">
        <v>980</v>
      </c>
      <c r="AV68">
        <v>980</v>
      </c>
      <c r="AW68">
        <v>980</v>
      </c>
      <c r="AX68">
        <v>980</v>
      </c>
    </row>
    <row r="69" spans="1:50" x14ac:dyDescent="0.3">
      <c r="A69" t="s">
        <v>45</v>
      </c>
      <c r="B69">
        <v>1000</v>
      </c>
      <c r="C69">
        <v>980</v>
      </c>
      <c r="D69">
        <v>882</v>
      </c>
      <c r="E69">
        <v>833</v>
      </c>
      <c r="F69">
        <v>833</v>
      </c>
      <c r="G69">
        <v>850</v>
      </c>
      <c r="H69">
        <v>850</v>
      </c>
      <c r="I69">
        <v>850</v>
      </c>
      <c r="J69">
        <v>850</v>
      </c>
      <c r="K69">
        <v>882</v>
      </c>
      <c r="L69">
        <v>931</v>
      </c>
      <c r="M69">
        <v>980</v>
      </c>
      <c r="N69">
        <v>980</v>
      </c>
      <c r="O69">
        <v>980</v>
      </c>
      <c r="P69">
        <v>980</v>
      </c>
      <c r="Q69">
        <v>980</v>
      </c>
      <c r="R69">
        <v>980</v>
      </c>
      <c r="S69">
        <v>980</v>
      </c>
      <c r="T69">
        <v>980</v>
      </c>
      <c r="U69">
        <v>980</v>
      </c>
      <c r="V69">
        <v>980</v>
      </c>
      <c r="W69">
        <v>980</v>
      </c>
      <c r="X69">
        <v>980</v>
      </c>
      <c r="Y69">
        <v>980</v>
      </c>
      <c r="Z69">
        <v>980</v>
      </c>
      <c r="AA69">
        <v>980</v>
      </c>
      <c r="AB69">
        <v>980</v>
      </c>
      <c r="AC69">
        <v>980</v>
      </c>
      <c r="AD69">
        <v>980</v>
      </c>
      <c r="AE69">
        <v>980</v>
      </c>
      <c r="AF69">
        <v>980</v>
      </c>
      <c r="AG69">
        <v>980</v>
      </c>
      <c r="AH69">
        <v>980</v>
      </c>
      <c r="AI69">
        <v>980</v>
      </c>
      <c r="AJ69">
        <v>980</v>
      </c>
      <c r="AK69">
        <v>980</v>
      </c>
      <c r="AL69">
        <v>980</v>
      </c>
      <c r="AM69">
        <v>980</v>
      </c>
      <c r="AN69">
        <v>980</v>
      </c>
      <c r="AO69">
        <v>980</v>
      </c>
      <c r="AP69">
        <v>980</v>
      </c>
      <c r="AQ69">
        <v>980</v>
      </c>
      <c r="AR69">
        <v>980</v>
      </c>
      <c r="AS69">
        <v>980</v>
      </c>
      <c r="AT69">
        <v>980</v>
      </c>
      <c r="AU69">
        <v>980</v>
      </c>
      <c r="AV69">
        <v>980</v>
      </c>
      <c r="AW69">
        <v>980</v>
      </c>
      <c r="AX69">
        <v>980</v>
      </c>
    </row>
    <row r="71" spans="1:50" x14ac:dyDescent="0.3">
      <c r="A71" t="s">
        <v>292</v>
      </c>
      <c r="B71">
        <v>14.48911</v>
      </c>
      <c r="C71">
        <v>13</v>
      </c>
      <c r="D71">
        <v>13</v>
      </c>
      <c r="E71">
        <v>13</v>
      </c>
      <c r="F71">
        <v>13</v>
      </c>
      <c r="G71">
        <v>13</v>
      </c>
      <c r="H71">
        <v>13</v>
      </c>
      <c r="I71">
        <v>13</v>
      </c>
      <c r="J71">
        <v>13</v>
      </c>
      <c r="K71">
        <v>13</v>
      </c>
      <c r="L71">
        <v>13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13</v>
      </c>
      <c r="V71">
        <v>13</v>
      </c>
      <c r="W71">
        <v>13</v>
      </c>
      <c r="X71">
        <v>13</v>
      </c>
      <c r="Y71">
        <v>13</v>
      </c>
      <c r="Z71">
        <v>13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>
        <v>13</v>
      </c>
      <c r="AJ71">
        <v>13</v>
      </c>
      <c r="AK71">
        <v>13</v>
      </c>
      <c r="AL71">
        <v>13</v>
      </c>
      <c r="AM71">
        <v>13</v>
      </c>
      <c r="AN71">
        <v>13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</row>
    <row r="73" spans="1:50" x14ac:dyDescent="0.3">
      <c r="A73" t="s">
        <v>293</v>
      </c>
      <c r="C73">
        <v>9612.7199999999993</v>
      </c>
      <c r="D73">
        <v>9383.44</v>
      </c>
      <c r="E73">
        <v>9255.44</v>
      </c>
      <c r="F73">
        <v>9255.44</v>
      </c>
      <c r="G73">
        <v>9318.59</v>
      </c>
      <c r="H73">
        <v>9318.59</v>
      </c>
      <c r="I73">
        <v>9318.59</v>
      </c>
      <c r="J73">
        <v>9318.59</v>
      </c>
      <c r="K73">
        <v>9521.83</v>
      </c>
      <c r="L73">
        <v>9782.19</v>
      </c>
      <c r="M73">
        <v>9929.41</v>
      </c>
      <c r="N73">
        <v>9965.67</v>
      </c>
      <c r="O73">
        <v>9982.7999999999993</v>
      </c>
      <c r="P73">
        <v>10295.24</v>
      </c>
      <c r="Q73">
        <v>10487.97</v>
      </c>
      <c r="R73">
        <v>10608.51</v>
      </c>
      <c r="S73">
        <v>10804.43</v>
      </c>
      <c r="T73">
        <v>11528.65</v>
      </c>
      <c r="U73">
        <v>11645.29</v>
      </c>
      <c r="V73">
        <v>11690.44</v>
      </c>
      <c r="W73">
        <v>11744.12</v>
      </c>
      <c r="X73">
        <v>11788.28</v>
      </c>
      <c r="Y73">
        <v>11769.61</v>
      </c>
      <c r="Z73">
        <v>11723.64</v>
      </c>
      <c r="AA73">
        <v>11698.71</v>
      </c>
      <c r="AB73">
        <v>11775.75</v>
      </c>
      <c r="AC73">
        <v>11885.17</v>
      </c>
      <c r="AD73">
        <v>11910.91</v>
      </c>
      <c r="AE73">
        <v>11972.18</v>
      </c>
      <c r="AF73">
        <v>11973.01</v>
      </c>
      <c r="AG73">
        <v>11969.47</v>
      </c>
      <c r="AH73">
        <v>11811.76</v>
      </c>
      <c r="AI73">
        <v>11707.74</v>
      </c>
      <c r="AJ73">
        <v>11675.17</v>
      </c>
      <c r="AK73">
        <v>11710.27</v>
      </c>
      <c r="AL73">
        <v>12228.48</v>
      </c>
      <c r="AM73">
        <v>12063.74</v>
      </c>
      <c r="AN73">
        <v>11721.63</v>
      </c>
      <c r="AO73">
        <v>11721.63</v>
      </c>
      <c r="AP73">
        <v>11706.99</v>
      </c>
      <c r="AQ73">
        <v>11548.84</v>
      </c>
      <c r="AR73">
        <v>11370.06</v>
      </c>
      <c r="AS73">
        <v>10842.87</v>
      </c>
      <c r="AT73">
        <v>10652.2</v>
      </c>
      <c r="AU73">
        <v>10571.6</v>
      </c>
      <c r="AV73">
        <v>10442.02</v>
      </c>
      <c r="AW73">
        <v>10188.790000000001</v>
      </c>
      <c r="AX73">
        <v>10426.379999999999</v>
      </c>
    </row>
    <row r="74" spans="1:50" x14ac:dyDescent="0.3">
      <c r="A74" t="s">
        <v>294</v>
      </c>
      <c r="C74">
        <v>9608.7099999999991</v>
      </c>
      <c r="D74">
        <v>9521.75</v>
      </c>
      <c r="E74">
        <v>9361.02</v>
      </c>
      <c r="F74">
        <v>9297.09</v>
      </c>
      <c r="G74">
        <v>9260.48</v>
      </c>
      <c r="H74">
        <v>9155.5</v>
      </c>
      <c r="I74">
        <v>9107.01</v>
      </c>
      <c r="J74">
        <v>9099.2800000000007</v>
      </c>
      <c r="K74">
        <v>9214.7999999999993</v>
      </c>
      <c r="L74">
        <v>9437.1200000000008</v>
      </c>
      <c r="M74">
        <v>9690.81</v>
      </c>
      <c r="N74">
        <v>9721.19</v>
      </c>
      <c r="O74">
        <v>9839.25</v>
      </c>
      <c r="P74">
        <v>10072.65</v>
      </c>
      <c r="Q74">
        <v>10597.14</v>
      </c>
      <c r="R74">
        <v>10980.11</v>
      </c>
      <c r="S74">
        <v>11566.82</v>
      </c>
      <c r="T74">
        <v>11807.98</v>
      </c>
      <c r="U74">
        <v>12096.13</v>
      </c>
      <c r="V74">
        <v>12224.89</v>
      </c>
      <c r="W74">
        <v>12412.45</v>
      </c>
      <c r="X74">
        <v>12484.3</v>
      </c>
      <c r="Y74">
        <v>12443.81</v>
      </c>
      <c r="Z74">
        <v>12229.03</v>
      </c>
      <c r="AA74">
        <v>12161.38</v>
      </c>
      <c r="AB74">
        <v>12481.66</v>
      </c>
      <c r="AC74">
        <v>13019.4</v>
      </c>
      <c r="AD74">
        <v>12961.77</v>
      </c>
      <c r="AE74">
        <v>12985.36</v>
      </c>
      <c r="AF74">
        <v>12985.48</v>
      </c>
      <c r="AG74">
        <v>12973.9</v>
      </c>
      <c r="AH74">
        <v>12767.49</v>
      </c>
      <c r="AI74">
        <v>12637.31</v>
      </c>
      <c r="AJ74">
        <v>12440.29</v>
      </c>
      <c r="AK74">
        <v>12267.71</v>
      </c>
      <c r="AL74">
        <v>12486.36</v>
      </c>
      <c r="AM74">
        <v>12450.01</v>
      </c>
      <c r="AN74">
        <v>12300.02</v>
      </c>
      <c r="AO74">
        <v>12305.57</v>
      </c>
      <c r="AP74">
        <v>12190.56</v>
      </c>
      <c r="AQ74">
        <v>12108.52</v>
      </c>
      <c r="AR74">
        <v>12000.44</v>
      </c>
      <c r="AS74">
        <v>11916.61</v>
      </c>
      <c r="AT74">
        <v>11740.59</v>
      </c>
      <c r="AU74">
        <v>11431.75</v>
      </c>
      <c r="AV74">
        <v>11058.44</v>
      </c>
      <c r="AW74">
        <v>10968.96</v>
      </c>
      <c r="AX74">
        <v>10713.62</v>
      </c>
    </row>
    <row r="76" spans="1:50" x14ac:dyDescent="0.3">
      <c r="A76" t="s">
        <v>295</v>
      </c>
    </row>
    <row r="77" spans="1:50" x14ac:dyDescent="0.3">
      <c r="C77" t="s">
        <v>253</v>
      </c>
      <c r="D77" t="s">
        <v>253</v>
      </c>
      <c r="E77" t="s">
        <v>253</v>
      </c>
      <c r="F77" t="s">
        <v>253</v>
      </c>
      <c r="G77" t="s">
        <v>253</v>
      </c>
      <c r="H77" t="s">
        <v>253</v>
      </c>
      <c r="I77" t="s">
        <v>253</v>
      </c>
      <c r="J77" t="s">
        <v>253</v>
      </c>
      <c r="K77" t="s">
        <v>253</v>
      </c>
      <c r="L77" t="s">
        <v>253</v>
      </c>
      <c r="M77" t="s">
        <v>253</v>
      </c>
      <c r="N77" t="s">
        <v>253</v>
      </c>
      <c r="O77" t="s">
        <v>253</v>
      </c>
      <c r="P77" t="s">
        <v>253</v>
      </c>
      <c r="Q77" t="s">
        <v>253</v>
      </c>
      <c r="R77" t="s">
        <v>253</v>
      </c>
      <c r="S77" t="s">
        <v>253</v>
      </c>
      <c r="T77" t="s">
        <v>253</v>
      </c>
      <c r="U77" t="s">
        <v>253</v>
      </c>
      <c r="V77" t="s">
        <v>253</v>
      </c>
      <c r="W77" t="s">
        <v>253</v>
      </c>
      <c r="X77" t="s">
        <v>253</v>
      </c>
      <c r="Y77" t="s">
        <v>253</v>
      </c>
      <c r="Z77" t="s">
        <v>253</v>
      </c>
      <c r="AA77" t="s">
        <v>253</v>
      </c>
      <c r="AB77" t="s">
        <v>253</v>
      </c>
      <c r="AC77" t="s">
        <v>253</v>
      </c>
      <c r="AD77" t="s">
        <v>253</v>
      </c>
      <c r="AE77" t="s">
        <v>253</v>
      </c>
      <c r="AF77" t="s">
        <v>253</v>
      </c>
      <c r="AG77" t="s">
        <v>253</v>
      </c>
      <c r="AH77" t="s">
        <v>253</v>
      </c>
      <c r="AI77" t="s">
        <v>253</v>
      </c>
      <c r="AJ77" t="s">
        <v>253</v>
      </c>
      <c r="AK77" t="s">
        <v>253</v>
      </c>
      <c r="AL77" t="s">
        <v>253</v>
      </c>
      <c r="AM77" t="s">
        <v>253</v>
      </c>
      <c r="AN77" t="s">
        <v>253</v>
      </c>
      <c r="AO77" t="s">
        <v>253</v>
      </c>
      <c r="AP77" t="s">
        <v>253</v>
      </c>
      <c r="AQ77" t="s">
        <v>253</v>
      </c>
      <c r="AR77" t="s">
        <v>253</v>
      </c>
      <c r="AS77" t="s">
        <v>253</v>
      </c>
      <c r="AT77" t="s">
        <v>253</v>
      </c>
      <c r="AU77" t="s">
        <v>253</v>
      </c>
      <c r="AV77" t="s">
        <v>253</v>
      </c>
      <c r="AW77" t="s">
        <v>253</v>
      </c>
      <c r="AX77" t="s">
        <v>253</v>
      </c>
    </row>
    <row r="79" spans="1:50" x14ac:dyDescent="0.3">
      <c r="A79" t="s">
        <v>296</v>
      </c>
      <c r="C79">
        <v>17</v>
      </c>
      <c r="D79">
        <v>17</v>
      </c>
      <c r="E79">
        <v>17</v>
      </c>
      <c r="F79">
        <v>17</v>
      </c>
      <c r="G79">
        <v>17</v>
      </c>
      <c r="H79">
        <v>17</v>
      </c>
      <c r="I79">
        <v>17</v>
      </c>
      <c r="J79">
        <v>17</v>
      </c>
      <c r="K79">
        <v>18</v>
      </c>
      <c r="L79">
        <v>18</v>
      </c>
      <c r="M79">
        <v>18</v>
      </c>
      <c r="N79">
        <v>18</v>
      </c>
      <c r="O79">
        <v>19</v>
      </c>
      <c r="P79">
        <v>19</v>
      </c>
      <c r="Q79">
        <v>19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19</v>
      </c>
      <c r="X79">
        <v>19</v>
      </c>
      <c r="Y79">
        <v>19</v>
      </c>
      <c r="Z79">
        <v>19</v>
      </c>
      <c r="AA79">
        <v>19</v>
      </c>
      <c r="AB79">
        <v>19</v>
      </c>
      <c r="AC79">
        <v>19</v>
      </c>
      <c r="AD79">
        <v>19</v>
      </c>
      <c r="AE79">
        <v>21</v>
      </c>
      <c r="AF79">
        <v>17</v>
      </c>
      <c r="AG79">
        <v>17</v>
      </c>
      <c r="AH79">
        <v>14</v>
      </c>
      <c r="AI79">
        <v>14</v>
      </c>
      <c r="AJ79">
        <v>14</v>
      </c>
      <c r="AK79">
        <v>14</v>
      </c>
      <c r="AL79">
        <v>14</v>
      </c>
      <c r="AM79">
        <v>14</v>
      </c>
      <c r="AN79">
        <v>14</v>
      </c>
      <c r="AO79">
        <v>14</v>
      </c>
      <c r="AP79">
        <v>14</v>
      </c>
      <c r="AQ79">
        <v>14</v>
      </c>
      <c r="AR79">
        <v>17</v>
      </c>
      <c r="AS79">
        <v>17</v>
      </c>
      <c r="AT79">
        <v>17</v>
      </c>
      <c r="AU79">
        <v>17</v>
      </c>
      <c r="AV79">
        <v>17</v>
      </c>
      <c r="AW79">
        <v>17</v>
      </c>
      <c r="AX79">
        <v>17</v>
      </c>
    </row>
    <row r="81" spans="1:50" x14ac:dyDescent="0.3">
      <c r="A81" t="s">
        <v>297</v>
      </c>
      <c r="B81">
        <v>174.6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100</v>
      </c>
      <c r="U81">
        <v>100</v>
      </c>
      <c r="V81">
        <v>116.15</v>
      </c>
      <c r="W81">
        <v>101.88</v>
      </c>
      <c r="X81">
        <v>120</v>
      </c>
      <c r="Y81">
        <v>140</v>
      </c>
      <c r="Z81">
        <v>0</v>
      </c>
      <c r="AA81">
        <v>50</v>
      </c>
      <c r="AB81">
        <v>110</v>
      </c>
      <c r="AC81">
        <v>150</v>
      </c>
      <c r="AD81">
        <v>150</v>
      </c>
      <c r="AE81">
        <v>150</v>
      </c>
      <c r="AF81">
        <v>148</v>
      </c>
      <c r="AG81">
        <v>150</v>
      </c>
      <c r="AH81">
        <v>150</v>
      </c>
      <c r="AI81">
        <v>150</v>
      </c>
      <c r="AJ81">
        <v>150</v>
      </c>
      <c r="AK81">
        <v>150</v>
      </c>
      <c r="AL81">
        <v>150</v>
      </c>
      <c r="AM81">
        <v>150</v>
      </c>
      <c r="AN81">
        <v>150</v>
      </c>
      <c r="AO81">
        <v>150</v>
      </c>
      <c r="AP81">
        <v>150</v>
      </c>
      <c r="AQ81">
        <v>150</v>
      </c>
      <c r="AR81">
        <v>150</v>
      </c>
      <c r="AS81">
        <v>150</v>
      </c>
      <c r="AT81">
        <v>150</v>
      </c>
      <c r="AU81">
        <v>150</v>
      </c>
      <c r="AV81">
        <v>150</v>
      </c>
      <c r="AW81">
        <v>150</v>
      </c>
      <c r="AX81">
        <v>0</v>
      </c>
    </row>
    <row r="82" spans="1:50" x14ac:dyDescent="0.3">
      <c r="A82" t="s">
        <v>298</v>
      </c>
      <c r="B82">
        <v>174.6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100</v>
      </c>
      <c r="V82">
        <v>116.15</v>
      </c>
      <c r="W82">
        <v>101.88</v>
      </c>
      <c r="X82">
        <v>120</v>
      </c>
      <c r="Y82">
        <v>140</v>
      </c>
      <c r="Z82">
        <v>0</v>
      </c>
      <c r="AA82">
        <v>0</v>
      </c>
      <c r="AB82">
        <v>110</v>
      </c>
      <c r="AC82">
        <v>150</v>
      </c>
      <c r="AD82">
        <v>150</v>
      </c>
      <c r="AE82">
        <v>150</v>
      </c>
      <c r="AF82">
        <v>148</v>
      </c>
      <c r="AG82">
        <v>150</v>
      </c>
      <c r="AH82">
        <v>150</v>
      </c>
      <c r="AI82">
        <v>150</v>
      </c>
      <c r="AJ82">
        <v>150</v>
      </c>
      <c r="AK82">
        <v>150</v>
      </c>
      <c r="AL82">
        <v>150</v>
      </c>
      <c r="AM82">
        <v>150</v>
      </c>
      <c r="AN82">
        <v>150</v>
      </c>
      <c r="AO82">
        <v>150</v>
      </c>
      <c r="AP82">
        <v>150</v>
      </c>
      <c r="AQ82">
        <v>150</v>
      </c>
      <c r="AR82">
        <v>150</v>
      </c>
      <c r="AS82">
        <v>150</v>
      </c>
      <c r="AT82">
        <v>150</v>
      </c>
      <c r="AU82">
        <v>150</v>
      </c>
      <c r="AV82">
        <v>150</v>
      </c>
      <c r="AW82">
        <v>150</v>
      </c>
      <c r="AX82">
        <v>0</v>
      </c>
    </row>
    <row r="83" spans="1:50" x14ac:dyDescent="0.3">
      <c r="A83" t="s">
        <v>299</v>
      </c>
      <c r="B83">
        <v>174.6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101.88</v>
      </c>
      <c r="X83">
        <v>120</v>
      </c>
      <c r="Y83">
        <v>0</v>
      </c>
      <c r="Z83">
        <v>0</v>
      </c>
      <c r="AA83">
        <v>0</v>
      </c>
      <c r="AB83">
        <v>0</v>
      </c>
      <c r="AC83">
        <v>150</v>
      </c>
      <c r="AD83">
        <v>150</v>
      </c>
      <c r="AE83">
        <v>150</v>
      </c>
      <c r="AF83">
        <v>148</v>
      </c>
      <c r="AG83">
        <v>150</v>
      </c>
      <c r="AH83">
        <v>150</v>
      </c>
      <c r="AI83">
        <v>150</v>
      </c>
      <c r="AJ83">
        <v>150</v>
      </c>
      <c r="AK83">
        <v>150</v>
      </c>
      <c r="AL83">
        <v>150</v>
      </c>
      <c r="AM83">
        <v>150</v>
      </c>
      <c r="AN83">
        <v>150</v>
      </c>
      <c r="AO83">
        <v>150</v>
      </c>
      <c r="AP83">
        <v>150</v>
      </c>
      <c r="AQ83">
        <v>150</v>
      </c>
      <c r="AR83">
        <v>150</v>
      </c>
      <c r="AS83">
        <v>150</v>
      </c>
      <c r="AT83">
        <v>150</v>
      </c>
      <c r="AU83">
        <v>150</v>
      </c>
      <c r="AV83">
        <v>150</v>
      </c>
      <c r="AW83">
        <v>150</v>
      </c>
      <c r="AX83">
        <v>0</v>
      </c>
    </row>
    <row r="84" spans="1:50" x14ac:dyDescent="0.3">
      <c r="A84" t="s">
        <v>300</v>
      </c>
      <c r="B84">
        <v>174.6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150</v>
      </c>
      <c r="AD84">
        <v>150</v>
      </c>
      <c r="AE84">
        <v>150</v>
      </c>
      <c r="AF84">
        <v>148</v>
      </c>
      <c r="AG84">
        <v>150</v>
      </c>
      <c r="AH84">
        <v>150</v>
      </c>
      <c r="AI84">
        <v>150</v>
      </c>
      <c r="AJ84">
        <v>150</v>
      </c>
      <c r="AK84">
        <v>150</v>
      </c>
      <c r="AL84">
        <v>150</v>
      </c>
      <c r="AM84">
        <v>150</v>
      </c>
      <c r="AN84">
        <v>150</v>
      </c>
      <c r="AO84">
        <v>150</v>
      </c>
      <c r="AP84">
        <v>150</v>
      </c>
      <c r="AQ84">
        <v>150</v>
      </c>
      <c r="AR84">
        <v>150</v>
      </c>
      <c r="AS84">
        <v>150</v>
      </c>
      <c r="AT84">
        <v>150</v>
      </c>
      <c r="AU84">
        <v>150</v>
      </c>
      <c r="AV84">
        <v>0</v>
      </c>
      <c r="AW84">
        <v>0</v>
      </c>
      <c r="AX84">
        <v>0</v>
      </c>
    </row>
    <row r="86" spans="1:50" x14ac:dyDescent="0.3">
      <c r="A86" t="s">
        <v>301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3">
      <c r="A87" t="s">
        <v>302</v>
      </c>
      <c r="B87">
        <v>52.3</v>
      </c>
      <c r="C87">
        <v>52.3</v>
      </c>
      <c r="D87">
        <v>52.3</v>
      </c>
      <c r="E87">
        <v>52.3</v>
      </c>
      <c r="F87">
        <v>52.3</v>
      </c>
      <c r="G87">
        <v>52.3</v>
      </c>
      <c r="H87">
        <v>52.3</v>
      </c>
      <c r="I87">
        <v>52.3</v>
      </c>
      <c r="J87">
        <v>52.3</v>
      </c>
      <c r="K87">
        <v>52.3</v>
      </c>
      <c r="L87">
        <v>52.3</v>
      </c>
      <c r="M87">
        <v>52.3</v>
      </c>
      <c r="N87">
        <v>52.3</v>
      </c>
      <c r="O87">
        <v>52.3</v>
      </c>
      <c r="P87">
        <v>52.3</v>
      </c>
      <c r="Q87">
        <v>52.3</v>
      </c>
      <c r="R87">
        <v>52.3</v>
      </c>
      <c r="S87">
        <v>52.3</v>
      </c>
      <c r="T87">
        <v>52.3</v>
      </c>
      <c r="U87">
        <v>52.3</v>
      </c>
      <c r="V87">
        <v>52.3</v>
      </c>
      <c r="W87">
        <v>52.3</v>
      </c>
      <c r="X87">
        <v>52.3</v>
      </c>
      <c r="Y87">
        <v>52.3</v>
      </c>
      <c r="Z87">
        <v>52.3</v>
      </c>
      <c r="AA87">
        <v>52.3</v>
      </c>
      <c r="AB87">
        <v>52.3</v>
      </c>
      <c r="AC87">
        <v>52.3</v>
      </c>
      <c r="AD87">
        <v>52.3</v>
      </c>
      <c r="AE87">
        <v>52.3</v>
      </c>
      <c r="AF87">
        <v>52.3</v>
      </c>
      <c r="AG87">
        <v>52.3</v>
      </c>
      <c r="AH87">
        <v>52.3</v>
      </c>
      <c r="AI87">
        <v>52.3</v>
      </c>
      <c r="AJ87">
        <v>52.3</v>
      </c>
      <c r="AK87">
        <v>52.3</v>
      </c>
      <c r="AL87">
        <v>52.3</v>
      </c>
      <c r="AM87">
        <v>52.3</v>
      </c>
      <c r="AN87">
        <v>52.3</v>
      </c>
      <c r="AO87">
        <v>52.3</v>
      </c>
      <c r="AP87">
        <v>52.3</v>
      </c>
      <c r="AQ87">
        <v>52.3</v>
      </c>
      <c r="AR87">
        <v>52.3</v>
      </c>
      <c r="AS87">
        <v>52.3</v>
      </c>
      <c r="AT87">
        <v>52.3</v>
      </c>
      <c r="AU87">
        <v>52.3</v>
      </c>
      <c r="AV87">
        <v>52.3</v>
      </c>
      <c r="AW87">
        <v>52.3</v>
      </c>
      <c r="AX87">
        <v>52.3</v>
      </c>
    </row>
    <row r="88" spans="1:50" x14ac:dyDescent="0.3">
      <c r="A88" t="s">
        <v>303</v>
      </c>
      <c r="B88">
        <v>52.3</v>
      </c>
      <c r="C88">
        <v>52.3</v>
      </c>
      <c r="D88">
        <v>52.3</v>
      </c>
      <c r="E88">
        <v>52.3</v>
      </c>
      <c r="F88">
        <v>52.3</v>
      </c>
      <c r="G88">
        <v>52.3</v>
      </c>
      <c r="H88">
        <v>52.3</v>
      </c>
      <c r="I88">
        <v>52.3</v>
      </c>
      <c r="J88">
        <v>52.3</v>
      </c>
      <c r="K88">
        <v>52.3</v>
      </c>
      <c r="L88">
        <v>52.3</v>
      </c>
      <c r="M88">
        <v>52.3</v>
      </c>
      <c r="N88">
        <v>52.3</v>
      </c>
      <c r="O88">
        <v>52.3</v>
      </c>
      <c r="P88">
        <v>52.3</v>
      </c>
      <c r="Q88">
        <v>52.3</v>
      </c>
      <c r="R88">
        <v>52.3</v>
      </c>
      <c r="S88">
        <v>52.3</v>
      </c>
      <c r="T88">
        <v>52.3</v>
      </c>
      <c r="U88">
        <v>52.3</v>
      </c>
      <c r="V88">
        <v>52.3</v>
      </c>
      <c r="W88">
        <v>52.3</v>
      </c>
      <c r="X88">
        <v>47.3</v>
      </c>
      <c r="Y88">
        <v>47.3</v>
      </c>
      <c r="Z88">
        <v>52.3</v>
      </c>
      <c r="AA88">
        <v>52.3</v>
      </c>
      <c r="AB88">
        <v>52.3</v>
      </c>
      <c r="AC88">
        <v>52.3</v>
      </c>
      <c r="AD88">
        <v>52.3</v>
      </c>
      <c r="AE88">
        <v>52.3</v>
      </c>
      <c r="AF88">
        <v>52.3</v>
      </c>
      <c r="AG88">
        <v>52.3</v>
      </c>
      <c r="AH88">
        <v>52.3</v>
      </c>
      <c r="AI88">
        <v>52.3</v>
      </c>
      <c r="AJ88">
        <v>52.3</v>
      </c>
      <c r="AK88">
        <v>52.3</v>
      </c>
      <c r="AL88">
        <v>52.3</v>
      </c>
      <c r="AM88">
        <v>52.3</v>
      </c>
      <c r="AN88">
        <v>52.3</v>
      </c>
      <c r="AO88">
        <v>52.3</v>
      </c>
      <c r="AP88">
        <v>52.3</v>
      </c>
      <c r="AQ88">
        <v>52.3</v>
      </c>
      <c r="AR88">
        <v>52.3</v>
      </c>
      <c r="AS88">
        <v>52.3</v>
      </c>
      <c r="AT88">
        <v>52.3</v>
      </c>
      <c r="AU88">
        <v>52.3</v>
      </c>
      <c r="AV88">
        <v>52.3</v>
      </c>
      <c r="AW88">
        <v>52.3</v>
      </c>
      <c r="AX88">
        <v>52.3</v>
      </c>
    </row>
    <row r="90" spans="1:50" x14ac:dyDescent="0.3">
      <c r="A90" t="s">
        <v>304</v>
      </c>
      <c r="B90">
        <v>52</v>
      </c>
      <c r="C90">
        <v>46</v>
      </c>
      <c r="D90">
        <v>46</v>
      </c>
      <c r="E90">
        <v>46</v>
      </c>
      <c r="F90">
        <v>46</v>
      </c>
      <c r="G90">
        <v>46</v>
      </c>
      <c r="H90">
        <v>46</v>
      </c>
      <c r="I90">
        <v>46</v>
      </c>
      <c r="J90">
        <v>46</v>
      </c>
      <c r="K90">
        <v>46</v>
      </c>
      <c r="L90">
        <v>46</v>
      </c>
      <c r="M90">
        <v>46</v>
      </c>
      <c r="N90">
        <v>46</v>
      </c>
      <c r="O90">
        <v>46</v>
      </c>
      <c r="P90">
        <v>46</v>
      </c>
      <c r="Q90">
        <v>46</v>
      </c>
      <c r="R90">
        <v>46</v>
      </c>
      <c r="S90">
        <v>46</v>
      </c>
      <c r="T90">
        <v>46</v>
      </c>
      <c r="U90">
        <v>46</v>
      </c>
      <c r="V90">
        <v>46</v>
      </c>
      <c r="W90">
        <v>46</v>
      </c>
      <c r="X90">
        <v>47</v>
      </c>
      <c r="Y90">
        <v>47</v>
      </c>
      <c r="Z90">
        <v>46</v>
      </c>
      <c r="AA90">
        <v>46</v>
      </c>
      <c r="AB90">
        <v>46</v>
      </c>
      <c r="AC90">
        <v>46</v>
      </c>
      <c r="AD90">
        <v>46</v>
      </c>
      <c r="AE90">
        <v>46</v>
      </c>
      <c r="AF90">
        <v>46</v>
      </c>
      <c r="AG90">
        <v>46</v>
      </c>
      <c r="AH90">
        <v>46</v>
      </c>
      <c r="AI90">
        <v>46</v>
      </c>
      <c r="AJ90">
        <v>46</v>
      </c>
      <c r="AK90">
        <v>46</v>
      </c>
      <c r="AL90">
        <v>46</v>
      </c>
      <c r="AM90">
        <v>46</v>
      </c>
      <c r="AN90">
        <v>46</v>
      </c>
      <c r="AO90">
        <v>46</v>
      </c>
      <c r="AP90">
        <v>46</v>
      </c>
      <c r="AQ90">
        <v>46</v>
      </c>
      <c r="AR90">
        <v>46</v>
      </c>
      <c r="AS90">
        <v>46</v>
      </c>
      <c r="AT90">
        <v>46</v>
      </c>
      <c r="AU90">
        <v>46</v>
      </c>
      <c r="AV90">
        <v>46</v>
      </c>
      <c r="AW90">
        <v>46</v>
      </c>
      <c r="AX90">
        <v>46</v>
      </c>
    </row>
    <row r="92" spans="1:50" x14ac:dyDescent="0.3">
      <c r="A92" t="s">
        <v>305</v>
      </c>
      <c r="B92">
        <v>55</v>
      </c>
      <c r="C92">
        <v>45</v>
      </c>
      <c r="D92">
        <v>45</v>
      </c>
      <c r="E92">
        <v>45</v>
      </c>
      <c r="F92">
        <v>45</v>
      </c>
      <c r="G92">
        <v>45</v>
      </c>
      <c r="H92">
        <v>45</v>
      </c>
      <c r="I92">
        <v>45</v>
      </c>
      <c r="J92">
        <v>45</v>
      </c>
      <c r="K92">
        <v>45</v>
      </c>
      <c r="L92">
        <v>45</v>
      </c>
      <c r="M92">
        <v>45</v>
      </c>
      <c r="N92">
        <v>45</v>
      </c>
      <c r="O92">
        <v>45</v>
      </c>
      <c r="P92">
        <v>45</v>
      </c>
      <c r="Q92">
        <v>45</v>
      </c>
      <c r="R92">
        <v>45</v>
      </c>
      <c r="S92">
        <v>45</v>
      </c>
      <c r="T92">
        <v>45</v>
      </c>
      <c r="U92">
        <v>45</v>
      </c>
      <c r="V92">
        <v>45</v>
      </c>
      <c r="W92">
        <v>45</v>
      </c>
      <c r="X92">
        <v>45</v>
      </c>
      <c r="Y92">
        <v>45</v>
      </c>
      <c r="Z92">
        <v>45</v>
      </c>
      <c r="AA92">
        <v>45</v>
      </c>
      <c r="AB92">
        <v>45</v>
      </c>
      <c r="AC92">
        <v>45</v>
      </c>
      <c r="AD92">
        <v>45</v>
      </c>
      <c r="AE92">
        <v>45</v>
      </c>
      <c r="AF92">
        <v>45</v>
      </c>
      <c r="AG92">
        <v>45</v>
      </c>
      <c r="AH92">
        <v>52</v>
      </c>
      <c r="AI92">
        <v>52</v>
      </c>
      <c r="AJ92">
        <v>52</v>
      </c>
      <c r="AK92">
        <v>52</v>
      </c>
      <c r="AL92">
        <v>52</v>
      </c>
      <c r="AM92">
        <v>52</v>
      </c>
      <c r="AN92">
        <v>52</v>
      </c>
      <c r="AO92">
        <v>52</v>
      </c>
      <c r="AP92">
        <v>52</v>
      </c>
      <c r="AQ92">
        <v>52</v>
      </c>
      <c r="AR92">
        <v>45</v>
      </c>
      <c r="AS92">
        <v>45</v>
      </c>
      <c r="AT92">
        <v>45</v>
      </c>
      <c r="AU92">
        <v>45</v>
      </c>
      <c r="AV92">
        <v>45</v>
      </c>
      <c r="AW92">
        <v>45</v>
      </c>
      <c r="AX92">
        <v>45</v>
      </c>
    </row>
    <row r="93" spans="1:50" x14ac:dyDescent="0.3">
      <c r="A93" t="s">
        <v>306</v>
      </c>
      <c r="B93">
        <v>55</v>
      </c>
      <c r="C93">
        <v>45</v>
      </c>
      <c r="D93">
        <v>45</v>
      </c>
      <c r="E93">
        <v>45</v>
      </c>
      <c r="F93">
        <v>45</v>
      </c>
      <c r="G93">
        <v>45</v>
      </c>
      <c r="H93">
        <v>45</v>
      </c>
      <c r="I93">
        <v>45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52</v>
      </c>
      <c r="AI93">
        <v>52</v>
      </c>
      <c r="AJ93">
        <v>52</v>
      </c>
      <c r="AK93">
        <v>52</v>
      </c>
      <c r="AL93">
        <v>52</v>
      </c>
      <c r="AM93">
        <v>52</v>
      </c>
      <c r="AN93">
        <v>52</v>
      </c>
      <c r="AO93">
        <v>52</v>
      </c>
      <c r="AP93">
        <v>52</v>
      </c>
      <c r="AQ93">
        <v>52</v>
      </c>
      <c r="AR93">
        <v>45</v>
      </c>
      <c r="AS93">
        <v>45</v>
      </c>
      <c r="AT93">
        <v>45</v>
      </c>
      <c r="AU93">
        <v>45</v>
      </c>
      <c r="AV93">
        <v>45</v>
      </c>
      <c r="AW93">
        <v>45</v>
      </c>
      <c r="AX93">
        <v>45</v>
      </c>
    </row>
    <row r="94" spans="1:50" x14ac:dyDescent="0.3">
      <c r="C94" t="s">
        <v>282</v>
      </c>
      <c r="D94" t="s">
        <v>282</v>
      </c>
      <c r="E94" t="s">
        <v>282</v>
      </c>
      <c r="F94" t="s">
        <v>282</v>
      </c>
      <c r="G94" t="s">
        <v>282</v>
      </c>
      <c r="H94" t="s">
        <v>282</v>
      </c>
      <c r="I94" t="s">
        <v>282</v>
      </c>
      <c r="J94" t="s">
        <v>282</v>
      </c>
      <c r="K94" t="s">
        <v>282</v>
      </c>
      <c r="L94" t="s">
        <v>282</v>
      </c>
      <c r="M94" t="s">
        <v>282</v>
      </c>
      <c r="N94" t="s">
        <v>282</v>
      </c>
      <c r="O94" t="s">
        <v>282</v>
      </c>
      <c r="P94" t="s">
        <v>282</v>
      </c>
      <c r="Q94" t="s">
        <v>282</v>
      </c>
      <c r="R94" t="s">
        <v>282</v>
      </c>
      <c r="S94" t="s">
        <v>282</v>
      </c>
      <c r="T94" t="s">
        <v>282</v>
      </c>
      <c r="U94" t="s">
        <v>282</v>
      </c>
      <c r="V94" t="s">
        <v>282</v>
      </c>
      <c r="W94" t="s">
        <v>282</v>
      </c>
      <c r="X94" t="s">
        <v>282</v>
      </c>
      <c r="Y94" t="s">
        <v>282</v>
      </c>
      <c r="Z94" t="s">
        <v>282</v>
      </c>
      <c r="AA94" t="s">
        <v>282</v>
      </c>
      <c r="AB94" t="s">
        <v>282</v>
      </c>
      <c r="AC94" t="s">
        <v>282</v>
      </c>
      <c r="AD94" t="s">
        <v>282</v>
      </c>
      <c r="AE94" t="s">
        <v>282</v>
      </c>
      <c r="AF94" t="s">
        <v>282</v>
      </c>
      <c r="AG94" t="s">
        <v>282</v>
      </c>
      <c r="AH94" t="s">
        <v>282</v>
      </c>
      <c r="AI94" t="s">
        <v>282</v>
      </c>
      <c r="AJ94" t="s">
        <v>282</v>
      </c>
      <c r="AK94" t="s">
        <v>282</v>
      </c>
      <c r="AL94" t="s">
        <v>282</v>
      </c>
      <c r="AM94" t="s">
        <v>282</v>
      </c>
      <c r="AN94" t="s">
        <v>282</v>
      </c>
      <c r="AO94" t="s">
        <v>282</v>
      </c>
      <c r="AP94" t="s">
        <v>282</v>
      </c>
      <c r="AQ94" t="s">
        <v>282</v>
      </c>
      <c r="AR94" t="s">
        <v>282</v>
      </c>
      <c r="AS94" t="s">
        <v>282</v>
      </c>
      <c r="AT94" t="s">
        <v>282</v>
      </c>
      <c r="AU94" t="s">
        <v>282</v>
      </c>
      <c r="AV94" t="s">
        <v>282</v>
      </c>
      <c r="AW94" t="s">
        <v>282</v>
      </c>
      <c r="AX94" t="s">
        <v>282</v>
      </c>
    </row>
    <row r="96" spans="1:50" x14ac:dyDescent="0.3">
      <c r="A96" t="s">
        <v>307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44</v>
      </c>
      <c r="AI96">
        <v>88</v>
      </c>
      <c r="AJ96">
        <v>88</v>
      </c>
      <c r="AK96">
        <v>88</v>
      </c>
      <c r="AL96">
        <v>88</v>
      </c>
      <c r="AM96">
        <v>88</v>
      </c>
      <c r="AN96">
        <v>88</v>
      </c>
      <c r="AO96">
        <v>88</v>
      </c>
      <c r="AP96">
        <v>88</v>
      </c>
      <c r="AQ96">
        <v>88</v>
      </c>
      <c r="AR96">
        <v>88</v>
      </c>
      <c r="AS96">
        <v>30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3">
      <c r="A97" t="s">
        <v>308</v>
      </c>
      <c r="B97">
        <v>144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3">
      <c r="A98" t="s">
        <v>309</v>
      </c>
      <c r="B98">
        <v>137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3">
      <c r="A99" t="s">
        <v>310</v>
      </c>
      <c r="B99">
        <v>137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1" spans="1:50" x14ac:dyDescent="0.3">
      <c r="A101" t="s">
        <v>311</v>
      </c>
      <c r="B101">
        <v>123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96.56</v>
      </c>
      <c r="T101">
        <v>100</v>
      </c>
      <c r="U101">
        <v>100</v>
      </c>
      <c r="V101">
        <v>100</v>
      </c>
      <c r="W101">
        <v>100</v>
      </c>
      <c r="X101">
        <v>100</v>
      </c>
      <c r="Y101">
        <v>100</v>
      </c>
      <c r="Z101">
        <v>0</v>
      </c>
      <c r="AA101">
        <v>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91.42</v>
      </c>
      <c r="AJ101">
        <v>113.99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96.96</v>
      </c>
      <c r="AW101">
        <v>62.51</v>
      </c>
      <c r="AX101">
        <v>0</v>
      </c>
    </row>
    <row r="102" spans="1:50" x14ac:dyDescent="0.3">
      <c r="A102" t="s">
        <v>312</v>
      </c>
      <c r="B102">
        <v>123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96.56</v>
      </c>
      <c r="T102">
        <v>100</v>
      </c>
      <c r="U102">
        <v>100</v>
      </c>
      <c r="V102">
        <v>0</v>
      </c>
      <c r="W102">
        <v>100</v>
      </c>
      <c r="X102">
        <v>100</v>
      </c>
      <c r="Y102">
        <v>0</v>
      </c>
      <c r="Z102">
        <v>0</v>
      </c>
      <c r="AA102">
        <v>0</v>
      </c>
      <c r="AB102">
        <v>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91.42</v>
      </c>
      <c r="AJ102">
        <v>113.99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96.96</v>
      </c>
      <c r="AW102">
        <v>62.51</v>
      </c>
      <c r="AX102">
        <v>0</v>
      </c>
    </row>
    <row r="103" spans="1:50" x14ac:dyDescent="0.3">
      <c r="A103" t="s">
        <v>313</v>
      </c>
      <c r="B103">
        <v>123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91.42</v>
      </c>
      <c r="AJ103">
        <v>113.99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96.96</v>
      </c>
      <c r="AW103">
        <v>0</v>
      </c>
      <c r="AX103">
        <v>0</v>
      </c>
    </row>
    <row r="104" spans="1:50" x14ac:dyDescent="0.3">
      <c r="A104" t="s">
        <v>314</v>
      </c>
      <c r="B104">
        <v>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91.42</v>
      </c>
      <c r="AJ104">
        <v>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0</v>
      </c>
      <c r="AW104">
        <v>0</v>
      </c>
      <c r="AX104">
        <v>0</v>
      </c>
    </row>
    <row r="105" spans="1:50" x14ac:dyDescent="0.3">
      <c r="A105" t="s">
        <v>315</v>
      </c>
      <c r="B105">
        <v>123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0</v>
      </c>
      <c r="AW105">
        <v>0</v>
      </c>
      <c r="AX105">
        <v>0</v>
      </c>
    </row>
    <row r="106" spans="1:50" x14ac:dyDescent="0.3">
      <c r="A106" t="s">
        <v>316</v>
      </c>
      <c r="B106">
        <v>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3">
      <c r="A107" t="s">
        <v>317</v>
      </c>
      <c r="B107">
        <v>123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3">
      <c r="A108" t="s">
        <v>318</v>
      </c>
      <c r="B108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10" spans="1:50" x14ac:dyDescent="0.3">
      <c r="A110" t="s">
        <v>319</v>
      </c>
      <c r="B110">
        <v>239.55</v>
      </c>
      <c r="C110">
        <v>57.14</v>
      </c>
      <c r="D110">
        <v>57.14</v>
      </c>
      <c r="E110">
        <v>57.14</v>
      </c>
      <c r="F110">
        <v>57.14</v>
      </c>
      <c r="G110">
        <v>57.14</v>
      </c>
      <c r="H110">
        <v>57.14</v>
      </c>
      <c r="I110">
        <v>57.14</v>
      </c>
      <c r="J110">
        <v>57.14</v>
      </c>
      <c r="K110">
        <v>57.14</v>
      </c>
      <c r="L110">
        <v>57.14</v>
      </c>
      <c r="M110">
        <v>57.14</v>
      </c>
      <c r="N110">
        <v>57.14</v>
      </c>
      <c r="O110">
        <v>57.14</v>
      </c>
      <c r="P110">
        <v>57.14</v>
      </c>
      <c r="Q110">
        <v>57.14</v>
      </c>
      <c r="R110">
        <v>57.14</v>
      </c>
      <c r="S110">
        <v>57.14</v>
      </c>
      <c r="T110">
        <v>57.14</v>
      </c>
      <c r="U110">
        <v>57.14</v>
      </c>
      <c r="V110">
        <v>114.29</v>
      </c>
      <c r="W110">
        <v>114.29</v>
      </c>
      <c r="X110">
        <v>114.29</v>
      </c>
      <c r="Y110">
        <v>114.29</v>
      </c>
      <c r="Z110">
        <v>114.29</v>
      </c>
      <c r="AA110">
        <v>114.29</v>
      </c>
      <c r="AB110">
        <v>114.29</v>
      </c>
      <c r="AC110">
        <v>136.77000000000001</v>
      </c>
      <c r="AD110">
        <v>136.77000000000001</v>
      </c>
      <c r="AE110">
        <v>136.77000000000001</v>
      </c>
      <c r="AF110">
        <v>136.77000000000001</v>
      </c>
      <c r="AG110">
        <v>136.77000000000001</v>
      </c>
      <c r="AH110">
        <v>136.77000000000001</v>
      </c>
      <c r="AI110">
        <v>171.43</v>
      </c>
      <c r="AJ110">
        <v>171.43</v>
      </c>
      <c r="AK110">
        <v>193.91</v>
      </c>
      <c r="AL110">
        <v>201.35</v>
      </c>
      <c r="AM110">
        <v>194.29</v>
      </c>
      <c r="AN110">
        <v>193.91</v>
      </c>
      <c r="AO110">
        <v>193.91</v>
      </c>
      <c r="AP110">
        <v>193.91</v>
      </c>
      <c r="AQ110">
        <v>193.91</v>
      </c>
      <c r="AR110">
        <v>193.91</v>
      </c>
      <c r="AS110">
        <v>193.91</v>
      </c>
      <c r="AT110">
        <v>136.77000000000001</v>
      </c>
      <c r="AU110">
        <v>79.62</v>
      </c>
      <c r="AV110">
        <v>60.09</v>
      </c>
      <c r="AW110">
        <v>57.14</v>
      </c>
      <c r="AX110">
        <v>76.87</v>
      </c>
    </row>
    <row r="111" spans="1:50" x14ac:dyDescent="0.3">
      <c r="A111" t="s">
        <v>320</v>
      </c>
      <c r="B111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100</v>
      </c>
      <c r="AJ111">
        <v>100</v>
      </c>
      <c r="AK111">
        <v>100</v>
      </c>
      <c r="AL111">
        <v>106.18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0</v>
      </c>
      <c r="AV111">
        <v>0</v>
      </c>
      <c r="AW111">
        <v>0</v>
      </c>
      <c r="AX111">
        <v>0</v>
      </c>
    </row>
    <row r="112" spans="1:50" x14ac:dyDescent="0.3">
      <c r="A112" t="s">
        <v>321</v>
      </c>
      <c r="B112">
        <v>140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139.34</v>
      </c>
      <c r="AD112">
        <v>139.34</v>
      </c>
      <c r="AE112">
        <v>139.34</v>
      </c>
      <c r="AF112">
        <v>139.34</v>
      </c>
      <c r="AG112">
        <v>139.34</v>
      </c>
      <c r="AH112">
        <v>139.34</v>
      </c>
      <c r="AI112">
        <v>100</v>
      </c>
      <c r="AJ112">
        <v>100</v>
      </c>
      <c r="AK112">
        <v>139.34</v>
      </c>
      <c r="AL112">
        <v>140</v>
      </c>
      <c r="AM112">
        <v>140</v>
      </c>
      <c r="AN112">
        <v>139.34</v>
      </c>
      <c r="AO112">
        <v>139.34</v>
      </c>
      <c r="AP112">
        <v>139.34</v>
      </c>
      <c r="AQ112">
        <v>139.34</v>
      </c>
      <c r="AR112">
        <v>139.34</v>
      </c>
      <c r="AS112">
        <v>139.34</v>
      </c>
      <c r="AT112">
        <v>139.34</v>
      </c>
      <c r="AU112">
        <v>139.34</v>
      </c>
      <c r="AV112">
        <v>105.15</v>
      </c>
      <c r="AW112">
        <v>100</v>
      </c>
      <c r="AX112">
        <v>134.52000000000001</v>
      </c>
    </row>
    <row r="113" spans="1:50" x14ac:dyDescent="0.3">
      <c r="A113" t="s">
        <v>322</v>
      </c>
      <c r="B113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100</v>
      </c>
      <c r="AL113">
        <v>106.18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3">
      <c r="A114" t="s">
        <v>323</v>
      </c>
      <c r="B114">
        <v>232.79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3">
      <c r="A115" t="s">
        <v>324</v>
      </c>
      <c r="B115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3">
      <c r="A116" t="s">
        <v>325</v>
      </c>
      <c r="B116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3">
      <c r="A117" t="s">
        <v>326</v>
      </c>
      <c r="B117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9" spans="1:50" x14ac:dyDescent="0.3">
      <c r="A119" t="s">
        <v>327</v>
      </c>
      <c r="B119">
        <v>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3">
      <c r="A120" t="s">
        <v>328</v>
      </c>
      <c r="B120">
        <v>143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2" spans="1:50" x14ac:dyDescent="0.3">
      <c r="A122" t="s">
        <v>89</v>
      </c>
      <c r="B122">
        <v>290</v>
      </c>
      <c r="C122">
        <v>180</v>
      </c>
      <c r="D122">
        <v>180</v>
      </c>
      <c r="E122">
        <v>180</v>
      </c>
      <c r="F122">
        <v>180</v>
      </c>
      <c r="G122">
        <v>180</v>
      </c>
      <c r="H122">
        <v>180</v>
      </c>
      <c r="I122">
        <v>180</v>
      </c>
      <c r="J122">
        <v>180</v>
      </c>
      <c r="K122">
        <v>180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230</v>
      </c>
      <c r="R122">
        <v>250</v>
      </c>
      <c r="S122">
        <v>270</v>
      </c>
      <c r="T122">
        <v>290</v>
      </c>
      <c r="U122">
        <v>290</v>
      </c>
      <c r="V122">
        <v>290</v>
      </c>
      <c r="W122">
        <v>290</v>
      </c>
      <c r="X122">
        <v>290</v>
      </c>
      <c r="Y122">
        <v>290</v>
      </c>
      <c r="Z122">
        <v>290</v>
      </c>
      <c r="AA122">
        <v>290</v>
      </c>
      <c r="AB122">
        <v>290</v>
      </c>
      <c r="AC122">
        <v>290</v>
      </c>
      <c r="AD122">
        <v>290</v>
      </c>
      <c r="AE122">
        <v>290</v>
      </c>
      <c r="AF122">
        <v>290</v>
      </c>
      <c r="AG122">
        <v>290</v>
      </c>
      <c r="AH122">
        <v>290</v>
      </c>
      <c r="AI122">
        <v>290</v>
      </c>
      <c r="AJ122">
        <v>290</v>
      </c>
      <c r="AK122">
        <v>290</v>
      </c>
      <c r="AL122">
        <v>290</v>
      </c>
      <c r="AM122">
        <v>290</v>
      </c>
      <c r="AN122">
        <v>290</v>
      </c>
      <c r="AO122">
        <v>290</v>
      </c>
      <c r="AP122">
        <v>290</v>
      </c>
      <c r="AQ122">
        <v>290</v>
      </c>
      <c r="AR122">
        <v>290</v>
      </c>
      <c r="AS122">
        <v>290</v>
      </c>
      <c r="AT122">
        <v>290</v>
      </c>
      <c r="AU122">
        <v>290</v>
      </c>
      <c r="AV122">
        <v>290</v>
      </c>
      <c r="AW122">
        <v>290</v>
      </c>
      <c r="AX122">
        <v>290</v>
      </c>
    </row>
    <row r="123" spans="1:50" x14ac:dyDescent="0.3">
      <c r="A123" t="s">
        <v>90</v>
      </c>
      <c r="B123">
        <v>290</v>
      </c>
      <c r="C123">
        <v>180</v>
      </c>
      <c r="D123">
        <v>180</v>
      </c>
      <c r="E123">
        <v>180</v>
      </c>
      <c r="F123">
        <v>180</v>
      </c>
      <c r="G123">
        <v>180</v>
      </c>
      <c r="H123">
        <v>180</v>
      </c>
      <c r="I123">
        <v>180</v>
      </c>
      <c r="J123">
        <v>180</v>
      </c>
      <c r="K123">
        <v>180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230</v>
      </c>
      <c r="R123">
        <v>250</v>
      </c>
      <c r="S123">
        <v>270</v>
      </c>
      <c r="T123">
        <v>290</v>
      </c>
      <c r="U123">
        <v>290</v>
      </c>
      <c r="V123">
        <v>290</v>
      </c>
      <c r="W123">
        <v>290</v>
      </c>
      <c r="X123">
        <v>290</v>
      </c>
      <c r="Y123">
        <v>290</v>
      </c>
      <c r="Z123">
        <v>290</v>
      </c>
      <c r="AA123">
        <v>290</v>
      </c>
      <c r="AB123">
        <v>290</v>
      </c>
      <c r="AC123">
        <v>290</v>
      </c>
      <c r="AD123">
        <v>290</v>
      </c>
      <c r="AE123">
        <v>290</v>
      </c>
      <c r="AF123">
        <v>290</v>
      </c>
      <c r="AG123">
        <v>290</v>
      </c>
      <c r="AH123">
        <v>290</v>
      </c>
      <c r="AI123">
        <v>290</v>
      </c>
      <c r="AJ123">
        <v>290</v>
      </c>
      <c r="AK123">
        <v>290</v>
      </c>
      <c r="AL123">
        <v>290</v>
      </c>
      <c r="AM123">
        <v>290</v>
      </c>
      <c r="AN123">
        <v>290</v>
      </c>
      <c r="AO123">
        <v>290</v>
      </c>
      <c r="AP123">
        <v>290</v>
      </c>
      <c r="AQ123">
        <v>290</v>
      </c>
      <c r="AR123">
        <v>290</v>
      </c>
      <c r="AS123">
        <v>290</v>
      </c>
      <c r="AT123">
        <v>290</v>
      </c>
      <c r="AU123">
        <v>290</v>
      </c>
      <c r="AV123">
        <v>290</v>
      </c>
      <c r="AW123">
        <v>290</v>
      </c>
      <c r="AX123">
        <v>290</v>
      </c>
    </row>
    <row r="124" spans="1:50" x14ac:dyDescent="0.3">
      <c r="A124" t="s">
        <v>91</v>
      </c>
      <c r="B124">
        <v>290</v>
      </c>
      <c r="C124">
        <v>180</v>
      </c>
      <c r="D124">
        <v>180</v>
      </c>
      <c r="E124">
        <v>180</v>
      </c>
      <c r="F124">
        <v>180</v>
      </c>
      <c r="G124">
        <v>180</v>
      </c>
      <c r="H124">
        <v>180</v>
      </c>
      <c r="I124">
        <v>180</v>
      </c>
      <c r="J124">
        <v>180</v>
      </c>
      <c r="K124">
        <v>180</v>
      </c>
      <c r="L124">
        <v>200</v>
      </c>
      <c r="M124">
        <v>200</v>
      </c>
      <c r="N124">
        <v>200</v>
      </c>
      <c r="O124">
        <v>200</v>
      </c>
      <c r="P124">
        <v>200</v>
      </c>
      <c r="Q124">
        <v>230</v>
      </c>
      <c r="R124">
        <v>250</v>
      </c>
      <c r="S124">
        <v>270</v>
      </c>
      <c r="T124">
        <v>290</v>
      </c>
      <c r="U124">
        <v>290</v>
      </c>
      <c r="V124">
        <v>290</v>
      </c>
      <c r="W124">
        <v>290</v>
      </c>
      <c r="X124">
        <v>290</v>
      </c>
      <c r="Y124">
        <v>290</v>
      </c>
      <c r="Z124">
        <v>290</v>
      </c>
      <c r="AA124">
        <v>290</v>
      </c>
      <c r="AB124">
        <v>290</v>
      </c>
      <c r="AC124">
        <v>290</v>
      </c>
      <c r="AD124">
        <v>290</v>
      </c>
      <c r="AE124">
        <v>290</v>
      </c>
      <c r="AF124">
        <v>290</v>
      </c>
      <c r="AG124">
        <v>290</v>
      </c>
      <c r="AH124">
        <v>290</v>
      </c>
      <c r="AI124">
        <v>290</v>
      </c>
      <c r="AJ124">
        <v>290</v>
      </c>
      <c r="AK124">
        <v>290</v>
      </c>
      <c r="AL124">
        <v>290</v>
      </c>
      <c r="AM124">
        <v>290</v>
      </c>
      <c r="AN124">
        <v>290</v>
      </c>
      <c r="AO124">
        <v>290</v>
      </c>
      <c r="AP124">
        <v>290</v>
      </c>
      <c r="AQ124">
        <v>290</v>
      </c>
      <c r="AR124">
        <v>290</v>
      </c>
      <c r="AS124">
        <v>290</v>
      </c>
      <c r="AT124">
        <v>290</v>
      </c>
      <c r="AU124">
        <v>290</v>
      </c>
      <c r="AV124">
        <v>290</v>
      </c>
      <c r="AW124">
        <v>290</v>
      </c>
      <c r="AX124">
        <v>290</v>
      </c>
    </row>
    <row r="125" spans="1:50" x14ac:dyDescent="0.3">
      <c r="C125" t="s">
        <v>289</v>
      </c>
      <c r="D125" t="s">
        <v>289</v>
      </c>
      <c r="E125" t="s">
        <v>289</v>
      </c>
      <c r="F125" t="s">
        <v>289</v>
      </c>
      <c r="G125" t="s">
        <v>289</v>
      </c>
      <c r="H125" t="s">
        <v>289</v>
      </c>
      <c r="I125" t="s">
        <v>289</v>
      </c>
      <c r="J125" t="s">
        <v>289</v>
      </c>
      <c r="K125" t="s">
        <v>289</v>
      </c>
      <c r="L125" t="s">
        <v>289</v>
      </c>
      <c r="M125" t="s">
        <v>289</v>
      </c>
      <c r="N125" t="s">
        <v>289</v>
      </c>
      <c r="O125" t="s">
        <v>289</v>
      </c>
      <c r="P125" t="s">
        <v>289</v>
      </c>
      <c r="Q125" t="s">
        <v>289</v>
      </c>
      <c r="R125" t="s">
        <v>289</v>
      </c>
      <c r="S125" t="s">
        <v>289</v>
      </c>
      <c r="T125" t="s">
        <v>289</v>
      </c>
      <c r="U125" t="s">
        <v>289</v>
      </c>
      <c r="V125" t="s">
        <v>289</v>
      </c>
      <c r="W125" t="s">
        <v>289</v>
      </c>
      <c r="X125" t="s">
        <v>289</v>
      </c>
      <c r="Y125" t="s">
        <v>289</v>
      </c>
      <c r="Z125" t="s">
        <v>289</v>
      </c>
      <c r="AA125" t="s">
        <v>289</v>
      </c>
      <c r="AB125" t="s">
        <v>289</v>
      </c>
      <c r="AC125" t="s">
        <v>289</v>
      </c>
      <c r="AD125" t="s">
        <v>289</v>
      </c>
      <c r="AE125" t="s">
        <v>289</v>
      </c>
      <c r="AF125" t="s">
        <v>289</v>
      </c>
      <c r="AG125" t="s">
        <v>289</v>
      </c>
      <c r="AH125" t="s">
        <v>289</v>
      </c>
      <c r="AI125" t="s">
        <v>289</v>
      </c>
      <c r="AJ125" t="s">
        <v>289</v>
      </c>
      <c r="AK125" t="s">
        <v>289</v>
      </c>
      <c r="AL125" t="s">
        <v>289</v>
      </c>
      <c r="AM125" t="s">
        <v>289</v>
      </c>
      <c r="AN125" t="s">
        <v>289</v>
      </c>
      <c r="AO125" t="s">
        <v>289</v>
      </c>
      <c r="AP125" t="s">
        <v>289</v>
      </c>
      <c r="AQ125" t="s">
        <v>289</v>
      </c>
      <c r="AR125" t="s">
        <v>289</v>
      </c>
      <c r="AS125" t="s">
        <v>289</v>
      </c>
      <c r="AT125" t="s">
        <v>289</v>
      </c>
      <c r="AU125" t="s">
        <v>289</v>
      </c>
      <c r="AV125" t="s">
        <v>289</v>
      </c>
      <c r="AW125" t="s">
        <v>289</v>
      </c>
      <c r="AX125" t="s">
        <v>289</v>
      </c>
    </row>
    <row r="127" spans="1:50" x14ac:dyDescent="0.3">
      <c r="A127" t="s">
        <v>329</v>
      </c>
      <c r="C127">
        <v>120.4</v>
      </c>
      <c r="D127">
        <v>120.4</v>
      </c>
      <c r="E127">
        <v>120.4</v>
      </c>
      <c r="F127">
        <v>120.4</v>
      </c>
      <c r="G127">
        <v>120.4</v>
      </c>
      <c r="H127">
        <v>120.4</v>
      </c>
      <c r="I127">
        <v>120.4</v>
      </c>
      <c r="J127">
        <v>120.4</v>
      </c>
      <c r="K127">
        <v>120.4</v>
      </c>
      <c r="L127">
        <v>120.4</v>
      </c>
      <c r="M127">
        <v>120.4</v>
      </c>
      <c r="N127">
        <v>120.4</v>
      </c>
      <c r="O127">
        <v>120.4</v>
      </c>
      <c r="P127">
        <v>120.4</v>
      </c>
      <c r="Q127">
        <v>120.4</v>
      </c>
      <c r="R127">
        <v>120.4</v>
      </c>
      <c r="S127">
        <v>120.4</v>
      </c>
      <c r="T127">
        <v>118</v>
      </c>
      <c r="U127">
        <v>134</v>
      </c>
      <c r="V127">
        <v>132</v>
      </c>
      <c r="W127">
        <v>132</v>
      </c>
      <c r="X127">
        <v>132</v>
      </c>
      <c r="Y127">
        <v>132</v>
      </c>
      <c r="Z127">
        <v>132</v>
      </c>
      <c r="AA127">
        <v>127</v>
      </c>
      <c r="AB127">
        <v>127</v>
      </c>
      <c r="AC127">
        <v>127</v>
      </c>
      <c r="AD127">
        <v>127</v>
      </c>
      <c r="AE127">
        <v>127</v>
      </c>
      <c r="AF127">
        <v>127</v>
      </c>
      <c r="AG127">
        <v>127</v>
      </c>
      <c r="AH127">
        <v>127</v>
      </c>
      <c r="AI127">
        <v>127</v>
      </c>
      <c r="AJ127">
        <v>127</v>
      </c>
      <c r="AK127">
        <v>127</v>
      </c>
      <c r="AL127">
        <v>127</v>
      </c>
      <c r="AM127">
        <v>127</v>
      </c>
      <c r="AN127">
        <v>127</v>
      </c>
      <c r="AO127">
        <v>124</v>
      </c>
      <c r="AP127">
        <v>124</v>
      </c>
      <c r="AQ127">
        <v>124</v>
      </c>
      <c r="AR127">
        <v>124</v>
      </c>
      <c r="AS127">
        <v>124</v>
      </c>
      <c r="AT127">
        <v>124</v>
      </c>
      <c r="AU127">
        <v>124</v>
      </c>
      <c r="AV127">
        <v>124</v>
      </c>
      <c r="AW127">
        <v>124</v>
      </c>
      <c r="AX127">
        <v>124</v>
      </c>
    </row>
    <row r="129" spans="1:50" x14ac:dyDescent="0.3">
      <c r="A129" t="s">
        <v>330</v>
      </c>
      <c r="B129">
        <v>91.728700000000003</v>
      </c>
      <c r="C129">
        <v>87.14</v>
      </c>
      <c r="D129">
        <v>87.14</v>
      </c>
      <c r="E129">
        <v>87.14</v>
      </c>
      <c r="F129">
        <v>87.14</v>
      </c>
      <c r="G129">
        <v>87.14</v>
      </c>
      <c r="H129">
        <v>87.14</v>
      </c>
      <c r="I129">
        <v>87.14</v>
      </c>
      <c r="J129">
        <v>87.14</v>
      </c>
      <c r="K129">
        <v>87.14</v>
      </c>
      <c r="L129">
        <v>87.14</v>
      </c>
      <c r="M129">
        <v>87.14</v>
      </c>
      <c r="N129">
        <v>87.14</v>
      </c>
      <c r="O129">
        <v>87.14</v>
      </c>
      <c r="P129">
        <v>87.14</v>
      </c>
      <c r="Q129">
        <v>87.14</v>
      </c>
      <c r="R129">
        <v>87.14</v>
      </c>
      <c r="S129">
        <v>91.73</v>
      </c>
      <c r="T129">
        <v>91.73</v>
      </c>
      <c r="U129">
        <v>91.73</v>
      </c>
      <c r="V129">
        <v>91.73</v>
      </c>
      <c r="W129">
        <v>91.73</v>
      </c>
      <c r="X129">
        <v>90.42</v>
      </c>
      <c r="Y129">
        <v>90.47</v>
      </c>
      <c r="Z129">
        <v>91.73</v>
      </c>
      <c r="AA129">
        <v>91.73</v>
      </c>
      <c r="AB129">
        <v>91.73</v>
      </c>
      <c r="AC129">
        <v>91.73</v>
      </c>
      <c r="AD129">
        <v>91.73</v>
      </c>
      <c r="AE129">
        <v>91.73</v>
      </c>
      <c r="AF129">
        <v>91.73</v>
      </c>
      <c r="AG129">
        <v>91.73</v>
      </c>
      <c r="AH129">
        <v>91.73</v>
      </c>
      <c r="AI129">
        <v>91.73</v>
      </c>
      <c r="AJ129">
        <v>91.73</v>
      </c>
      <c r="AK129">
        <v>91.73</v>
      </c>
      <c r="AL129">
        <v>91.73</v>
      </c>
      <c r="AM129">
        <v>91.73</v>
      </c>
      <c r="AN129">
        <v>91.73</v>
      </c>
      <c r="AO129">
        <v>91.73</v>
      </c>
      <c r="AP129">
        <v>91.73</v>
      </c>
      <c r="AQ129">
        <v>91.73</v>
      </c>
      <c r="AR129">
        <v>91.73</v>
      </c>
      <c r="AS129">
        <v>88.83</v>
      </c>
      <c r="AT129">
        <v>87.14</v>
      </c>
      <c r="AU129">
        <v>87.14</v>
      </c>
      <c r="AV129">
        <v>87.14</v>
      </c>
      <c r="AW129">
        <v>87.14</v>
      </c>
      <c r="AX129">
        <v>87.14</v>
      </c>
    </row>
    <row r="130" spans="1:50" x14ac:dyDescent="0.3">
      <c r="A130" t="s">
        <v>331</v>
      </c>
      <c r="B130">
        <v>126.78023</v>
      </c>
      <c r="C130">
        <v>120.44</v>
      </c>
      <c r="D130">
        <v>120.44</v>
      </c>
      <c r="E130">
        <v>120.44</v>
      </c>
      <c r="F130">
        <v>120.44</v>
      </c>
      <c r="G130">
        <v>120.44</v>
      </c>
      <c r="H130">
        <v>120.44</v>
      </c>
      <c r="I130">
        <v>120.44</v>
      </c>
      <c r="J130">
        <v>120.44</v>
      </c>
      <c r="K130">
        <v>120.44</v>
      </c>
      <c r="L130">
        <v>120.44</v>
      </c>
      <c r="M130">
        <v>120.44</v>
      </c>
      <c r="N130">
        <v>120.44</v>
      </c>
      <c r="O130">
        <v>120.44</v>
      </c>
      <c r="P130">
        <v>120.44</v>
      </c>
      <c r="Q130">
        <v>120.44</v>
      </c>
      <c r="R130">
        <v>120.44</v>
      </c>
      <c r="S130">
        <v>120.44</v>
      </c>
      <c r="T130">
        <v>120.44</v>
      </c>
      <c r="U130">
        <v>120.44</v>
      </c>
      <c r="V130">
        <v>120.44</v>
      </c>
      <c r="W130">
        <v>120.44</v>
      </c>
      <c r="X130">
        <v>120.44</v>
      </c>
      <c r="Y130">
        <v>120.44</v>
      </c>
      <c r="Z130">
        <v>120.44</v>
      </c>
      <c r="AA130">
        <v>120.44</v>
      </c>
      <c r="AB130">
        <v>120.44</v>
      </c>
      <c r="AC130">
        <v>120.44</v>
      </c>
      <c r="AD130">
        <v>120.44</v>
      </c>
      <c r="AE130">
        <v>120.44</v>
      </c>
      <c r="AF130">
        <v>120.44</v>
      </c>
      <c r="AG130">
        <v>120.44</v>
      </c>
      <c r="AH130">
        <v>120.44</v>
      </c>
      <c r="AI130">
        <v>120.44</v>
      </c>
      <c r="AJ130">
        <v>120.44</v>
      </c>
      <c r="AK130">
        <v>120.44</v>
      </c>
      <c r="AL130">
        <v>126.78</v>
      </c>
      <c r="AM130">
        <v>123.94</v>
      </c>
      <c r="AN130">
        <v>120.44</v>
      </c>
      <c r="AO130">
        <v>120.44</v>
      </c>
      <c r="AP130">
        <v>120.44</v>
      </c>
      <c r="AQ130">
        <v>120.44</v>
      </c>
      <c r="AR130">
        <v>120.44</v>
      </c>
      <c r="AS130">
        <v>120.44</v>
      </c>
      <c r="AT130">
        <v>120.44</v>
      </c>
      <c r="AU130">
        <v>120.44</v>
      </c>
      <c r="AV130">
        <v>120.44</v>
      </c>
      <c r="AW130">
        <v>120.44</v>
      </c>
      <c r="AX130">
        <v>120.44</v>
      </c>
    </row>
    <row r="132" spans="1:50" x14ac:dyDescent="0.3">
      <c r="A132" t="s">
        <v>332</v>
      </c>
      <c r="B132">
        <v>123.36635</v>
      </c>
      <c r="C132">
        <v>105</v>
      </c>
      <c r="D132">
        <v>105</v>
      </c>
      <c r="E132">
        <v>105</v>
      </c>
      <c r="F132">
        <v>105</v>
      </c>
      <c r="G132">
        <v>105</v>
      </c>
      <c r="H132">
        <v>105</v>
      </c>
      <c r="I132">
        <v>105</v>
      </c>
      <c r="J132">
        <v>105</v>
      </c>
      <c r="K132">
        <v>105</v>
      </c>
      <c r="L132">
        <v>105</v>
      </c>
      <c r="M132">
        <v>105</v>
      </c>
      <c r="N132">
        <v>105</v>
      </c>
      <c r="O132">
        <v>105</v>
      </c>
      <c r="P132">
        <v>105</v>
      </c>
      <c r="Q132">
        <v>105</v>
      </c>
      <c r="R132">
        <v>105</v>
      </c>
      <c r="S132">
        <v>105</v>
      </c>
      <c r="T132">
        <v>105</v>
      </c>
      <c r="U132">
        <v>105</v>
      </c>
      <c r="V132">
        <v>105</v>
      </c>
      <c r="W132">
        <v>105</v>
      </c>
      <c r="X132">
        <v>105</v>
      </c>
      <c r="Y132">
        <v>105</v>
      </c>
      <c r="Z132">
        <v>105</v>
      </c>
      <c r="AA132">
        <v>105</v>
      </c>
      <c r="AB132">
        <v>105</v>
      </c>
      <c r="AC132">
        <v>105</v>
      </c>
      <c r="AD132">
        <v>105</v>
      </c>
      <c r="AE132">
        <v>105</v>
      </c>
      <c r="AF132">
        <v>105</v>
      </c>
      <c r="AG132">
        <v>105</v>
      </c>
      <c r="AH132">
        <v>105</v>
      </c>
      <c r="AI132">
        <v>105</v>
      </c>
      <c r="AJ132">
        <v>105</v>
      </c>
      <c r="AK132">
        <v>105</v>
      </c>
      <c r="AL132">
        <v>105</v>
      </c>
      <c r="AM132">
        <v>105</v>
      </c>
      <c r="AN132">
        <v>105</v>
      </c>
      <c r="AO132">
        <v>105</v>
      </c>
      <c r="AP132">
        <v>105</v>
      </c>
      <c r="AQ132">
        <v>105</v>
      </c>
      <c r="AR132">
        <v>105</v>
      </c>
      <c r="AS132">
        <v>105</v>
      </c>
      <c r="AT132">
        <v>105</v>
      </c>
      <c r="AU132">
        <v>105</v>
      </c>
      <c r="AV132">
        <v>105</v>
      </c>
      <c r="AW132">
        <v>105</v>
      </c>
      <c r="AX132">
        <v>105</v>
      </c>
    </row>
    <row r="133" spans="1:50" x14ac:dyDescent="0.3">
      <c r="A133" t="s">
        <v>333</v>
      </c>
      <c r="B133">
        <v>122.32919</v>
      </c>
      <c r="C133">
        <v>115</v>
      </c>
      <c r="D133">
        <v>115</v>
      </c>
      <c r="E133">
        <v>115</v>
      </c>
      <c r="F133">
        <v>115</v>
      </c>
      <c r="G133">
        <v>115</v>
      </c>
      <c r="H133">
        <v>115</v>
      </c>
      <c r="I133">
        <v>115</v>
      </c>
      <c r="J133">
        <v>115</v>
      </c>
      <c r="K133">
        <v>115</v>
      </c>
      <c r="L133">
        <v>115</v>
      </c>
      <c r="M133">
        <v>115</v>
      </c>
      <c r="N133">
        <v>115</v>
      </c>
      <c r="O133">
        <v>115</v>
      </c>
      <c r="P133">
        <v>115</v>
      </c>
      <c r="Q133">
        <v>115</v>
      </c>
      <c r="R133">
        <v>115</v>
      </c>
      <c r="S133">
        <v>115</v>
      </c>
      <c r="T133">
        <v>115</v>
      </c>
      <c r="U133">
        <v>115</v>
      </c>
      <c r="V133">
        <v>115</v>
      </c>
      <c r="W133">
        <v>115</v>
      </c>
      <c r="X133">
        <v>115</v>
      </c>
      <c r="Y133">
        <v>115</v>
      </c>
      <c r="Z133">
        <v>115</v>
      </c>
      <c r="AA133">
        <v>115</v>
      </c>
      <c r="AB133">
        <v>115</v>
      </c>
      <c r="AC133">
        <v>115</v>
      </c>
      <c r="AD133">
        <v>115</v>
      </c>
      <c r="AE133">
        <v>115</v>
      </c>
      <c r="AF133">
        <v>115</v>
      </c>
      <c r="AG133">
        <v>115</v>
      </c>
      <c r="AH133">
        <v>115</v>
      </c>
      <c r="AI133">
        <v>115</v>
      </c>
      <c r="AJ133">
        <v>115</v>
      </c>
      <c r="AK133">
        <v>115</v>
      </c>
      <c r="AL133">
        <v>115</v>
      </c>
      <c r="AM133">
        <v>115</v>
      </c>
      <c r="AN133">
        <v>115</v>
      </c>
      <c r="AO133">
        <v>115</v>
      </c>
      <c r="AP133">
        <v>115</v>
      </c>
      <c r="AQ133">
        <v>115</v>
      </c>
      <c r="AR133">
        <v>115</v>
      </c>
      <c r="AS133">
        <v>115</v>
      </c>
      <c r="AT133">
        <v>115</v>
      </c>
      <c r="AU133">
        <v>115</v>
      </c>
      <c r="AV133">
        <v>115</v>
      </c>
      <c r="AW133">
        <v>115</v>
      </c>
      <c r="AX133">
        <v>115</v>
      </c>
    </row>
    <row r="135" spans="1:50" x14ac:dyDescent="0.3">
      <c r="A135" t="s">
        <v>334</v>
      </c>
      <c r="B135">
        <v>150</v>
      </c>
      <c r="C135">
        <v>35</v>
      </c>
      <c r="D135">
        <v>35</v>
      </c>
      <c r="E135">
        <v>35</v>
      </c>
      <c r="F135">
        <v>35</v>
      </c>
      <c r="G135">
        <v>35</v>
      </c>
      <c r="H135">
        <v>35</v>
      </c>
      <c r="I135">
        <v>35</v>
      </c>
      <c r="J135">
        <v>35</v>
      </c>
      <c r="K135">
        <v>35</v>
      </c>
      <c r="L135">
        <v>35</v>
      </c>
      <c r="M135">
        <v>35</v>
      </c>
      <c r="N135">
        <v>35</v>
      </c>
      <c r="O135">
        <v>35</v>
      </c>
      <c r="P135">
        <v>35</v>
      </c>
      <c r="Q135">
        <v>35</v>
      </c>
      <c r="R135">
        <v>35</v>
      </c>
      <c r="S135">
        <v>35</v>
      </c>
      <c r="T135">
        <v>35</v>
      </c>
      <c r="U135">
        <v>35</v>
      </c>
      <c r="V135">
        <v>35</v>
      </c>
      <c r="W135">
        <v>35</v>
      </c>
      <c r="X135">
        <v>35</v>
      </c>
      <c r="Y135">
        <v>35</v>
      </c>
      <c r="Z135">
        <v>35</v>
      </c>
      <c r="AA135">
        <v>35</v>
      </c>
      <c r="AB135">
        <v>35</v>
      </c>
      <c r="AC135">
        <v>35</v>
      </c>
      <c r="AD135">
        <v>35</v>
      </c>
      <c r="AE135">
        <v>35</v>
      </c>
      <c r="AF135">
        <v>35</v>
      </c>
      <c r="AG135">
        <v>35</v>
      </c>
      <c r="AH135">
        <v>35</v>
      </c>
      <c r="AI135">
        <v>35</v>
      </c>
      <c r="AJ135">
        <v>35</v>
      </c>
      <c r="AK135">
        <v>35</v>
      </c>
      <c r="AL135">
        <v>35</v>
      </c>
      <c r="AM135">
        <v>35</v>
      </c>
      <c r="AN135">
        <v>35</v>
      </c>
      <c r="AO135">
        <v>35</v>
      </c>
      <c r="AP135">
        <v>35</v>
      </c>
      <c r="AQ135">
        <v>35</v>
      </c>
      <c r="AR135">
        <v>35</v>
      </c>
      <c r="AS135">
        <v>35</v>
      </c>
      <c r="AT135">
        <v>35</v>
      </c>
      <c r="AU135">
        <v>35</v>
      </c>
      <c r="AV135">
        <v>35</v>
      </c>
      <c r="AW135">
        <v>35</v>
      </c>
      <c r="AX135">
        <v>35</v>
      </c>
    </row>
    <row r="137" spans="1:50" x14ac:dyDescent="0.3">
      <c r="A137" t="s">
        <v>335</v>
      </c>
      <c r="B137">
        <v>61.273200000000003</v>
      </c>
      <c r="C137">
        <v>55.15</v>
      </c>
      <c r="D137">
        <v>55.15</v>
      </c>
      <c r="E137">
        <v>55.15</v>
      </c>
      <c r="F137">
        <v>55.15</v>
      </c>
      <c r="G137">
        <v>55.15</v>
      </c>
      <c r="H137">
        <v>55.15</v>
      </c>
      <c r="I137">
        <v>55.15</v>
      </c>
      <c r="J137">
        <v>55.15</v>
      </c>
      <c r="K137">
        <v>55.15</v>
      </c>
      <c r="L137">
        <v>55.15</v>
      </c>
      <c r="M137">
        <v>55.15</v>
      </c>
      <c r="N137">
        <v>55.15</v>
      </c>
      <c r="O137">
        <v>55.15</v>
      </c>
      <c r="P137">
        <v>55.15</v>
      </c>
      <c r="Q137">
        <v>55.15</v>
      </c>
      <c r="R137">
        <v>55.15</v>
      </c>
      <c r="S137">
        <v>58.01</v>
      </c>
      <c r="T137">
        <v>55.15</v>
      </c>
      <c r="U137">
        <v>55.23</v>
      </c>
      <c r="V137">
        <v>60.03</v>
      </c>
      <c r="W137">
        <v>59.91</v>
      </c>
      <c r="X137">
        <v>55.15</v>
      </c>
      <c r="Y137">
        <v>55.15</v>
      </c>
      <c r="Z137">
        <v>60.14</v>
      </c>
      <c r="AA137">
        <v>56.93</v>
      </c>
      <c r="AB137">
        <v>56.6</v>
      </c>
      <c r="AC137">
        <v>56.29</v>
      </c>
      <c r="AD137">
        <v>56.27</v>
      </c>
      <c r="AE137">
        <v>56.1</v>
      </c>
      <c r="AF137">
        <v>56.13</v>
      </c>
      <c r="AG137">
        <v>59.34</v>
      </c>
      <c r="AH137">
        <v>59.21</v>
      </c>
      <c r="AI137">
        <v>59.72</v>
      </c>
      <c r="AJ137">
        <v>59.74</v>
      </c>
      <c r="AK137">
        <v>59.7</v>
      </c>
      <c r="AL137">
        <v>61.27</v>
      </c>
      <c r="AM137">
        <v>59.56</v>
      </c>
      <c r="AN137">
        <v>59.7</v>
      </c>
      <c r="AO137">
        <v>59.77</v>
      </c>
      <c r="AP137">
        <v>59.84</v>
      </c>
      <c r="AQ137">
        <v>59.95</v>
      </c>
      <c r="AR137">
        <v>60.26</v>
      </c>
      <c r="AS137">
        <v>55.15</v>
      </c>
      <c r="AT137">
        <v>55.15</v>
      </c>
      <c r="AU137">
        <v>55.15</v>
      </c>
      <c r="AV137">
        <v>55.15</v>
      </c>
      <c r="AW137">
        <v>55.15</v>
      </c>
      <c r="AX137">
        <v>55.15</v>
      </c>
    </row>
    <row r="138" spans="1:50" x14ac:dyDescent="0.3">
      <c r="A138" t="s">
        <v>336</v>
      </c>
      <c r="B138">
        <v>33</v>
      </c>
      <c r="C138">
        <v>29.7</v>
      </c>
      <c r="D138">
        <v>29.7</v>
      </c>
      <c r="E138">
        <v>29.7</v>
      </c>
      <c r="F138">
        <v>29.7</v>
      </c>
      <c r="G138">
        <v>29.7</v>
      </c>
      <c r="H138">
        <v>29.7</v>
      </c>
      <c r="I138">
        <v>29.7</v>
      </c>
      <c r="J138">
        <v>29.7</v>
      </c>
      <c r="K138">
        <v>29.7</v>
      </c>
      <c r="L138">
        <v>29.7</v>
      </c>
      <c r="M138">
        <v>29.7</v>
      </c>
      <c r="N138">
        <v>29.7</v>
      </c>
      <c r="O138">
        <v>29.7</v>
      </c>
      <c r="P138">
        <v>29.7</v>
      </c>
      <c r="Q138">
        <v>29.7</v>
      </c>
      <c r="R138">
        <v>29.7</v>
      </c>
      <c r="S138">
        <v>29.7</v>
      </c>
      <c r="T138">
        <v>32.29</v>
      </c>
      <c r="U138">
        <v>33</v>
      </c>
      <c r="V138">
        <v>29.7</v>
      </c>
      <c r="W138">
        <v>29.7</v>
      </c>
      <c r="X138">
        <v>29.7</v>
      </c>
      <c r="Y138">
        <v>29.7</v>
      </c>
      <c r="Z138">
        <v>29.7</v>
      </c>
      <c r="AA138">
        <v>33</v>
      </c>
      <c r="AB138">
        <v>33</v>
      </c>
      <c r="AC138">
        <v>33</v>
      </c>
      <c r="AD138">
        <v>33</v>
      </c>
      <c r="AE138">
        <v>33</v>
      </c>
      <c r="AF138">
        <v>33</v>
      </c>
      <c r="AG138">
        <v>29.7</v>
      </c>
      <c r="AH138">
        <v>29.7</v>
      </c>
      <c r="AI138">
        <v>29.7</v>
      </c>
      <c r="AJ138">
        <v>29.7</v>
      </c>
      <c r="AK138">
        <v>29.7</v>
      </c>
      <c r="AL138">
        <v>33</v>
      </c>
      <c r="AM138">
        <v>29.7</v>
      </c>
      <c r="AN138">
        <v>29.7</v>
      </c>
      <c r="AO138">
        <v>29.7</v>
      </c>
      <c r="AP138">
        <v>29.7</v>
      </c>
      <c r="AQ138">
        <v>29.7</v>
      </c>
      <c r="AR138">
        <v>29.7</v>
      </c>
      <c r="AS138">
        <v>29.7</v>
      </c>
      <c r="AT138">
        <v>29.7</v>
      </c>
      <c r="AU138">
        <v>29.7</v>
      </c>
      <c r="AV138">
        <v>29.7</v>
      </c>
      <c r="AW138">
        <v>29.7</v>
      </c>
      <c r="AX138">
        <v>29.7</v>
      </c>
    </row>
    <row r="140" spans="1:50" x14ac:dyDescent="0.3">
      <c r="A140" t="s">
        <v>75</v>
      </c>
      <c r="B140">
        <v>660</v>
      </c>
      <c r="C140">
        <v>450</v>
      </c>
      <c r="D140">
        <v>450</v>
      </c>
      <c r="E140">
        <v>450</v>
      </c>
      <c r="F140">
        <v>450</v>
      </c>
      <c r="G140">
        <v>450</v>
      </c>
      <c r="H140">
        <v>450</v>
      </c>
      <c r="I140">
        <v>450</v>
      </c>
      <c r="J140">
        <v>450</v>
      </c>
      <c r="K140">
        <v>450</v>
      </c>
      <c r="L140">
        <v>500</v>
      </c>
      <c r="M140">
        <v>500</v>
      </c>
      <c r="N140">
        <v>500</v>
      </c>
      <c r="O140">
        <v>500</v>
      </c>
      <c r="P140">
        <v>500</v>
      </c>
      <c r="Q140">
        <v>550</v>
      </c>
      <c r="R140">
        <v>600</v>
      </c>
      <c r="S140">
        <v>645</v>
      </c>
      <c r="T140">
        <v>645</v>
      </c>
      <c r="U140">
        <v>645</v>
      </c>
      <c r="V140">
        <v>645</v>
      </c>
      <c r="W140">
        <v>645</v>
      </c>
      <c r="X140">
        <v>645</v>
      </c>
      <c r="Y140">
        <v>645</v>
      </c>
      <c r="Z140">
        <v>645</v>
      </c>
      <c r="AA140">
        <v>646.79999999999995</v>
      </c>
      <c r="AB140">
        <v>646.79999999999995</v>
      </c>
      <c r="AC140">
        <v>646.79999999999995</v>
      </c>
      <c r="AD140">
        <v>646.79999999999995</v>
      </c>
      <c r="AE140">
        <v>646.79999999999995</v>
      </c>
      <c r="AF140">
        <v>646.79999999999995</v>
      </c>
      <c r="AG140">
        <v>646.79999999999995</v>
      </c>
      <c r="AH140">
        <v>646.79999999999995</v>
      </c>
      <c r="AI140">
        <v>646.79999999999995</v>
      </c>
      <c r="AJ140">
        <v>646.79999999999995</v>
      </c>
      <c r="AK140">
        <v>646.79999999999995</v>
      </c>
      <c r="AL140">
        <v>646.79999999999995</v>
      </c>
      <c r="AM140">
        <v>646.79999999999995</v>
      </c>
      <c r="AN140">
        <v>646.79999999999995</v>
      </c>
      <c r="AO140">
        <v>646.79999999999995</v>
      </c>
      <c r="AP140">
        <v>646.79999999999995</v>
      </c>
      <c r="AQ140">
        <v>646.79999999999995</v>
      </c>
      <c r="AR140">
        <v>646.79999999999995</v>
      </c>
      <c r="AS140">
        <v>646.79999999999995</v>
      </c>
      <c r="AT140">
        <v>646.79999999999995</v>
      </c>
      <c r="AU140">
        <v>646.79999999999995</v>
      </c>
      <c r="AV140">
        <v>646.79999999999995</v>
      </c>
      <c r="AW140">
        <v>646.79999999999995</v>
      </c>
      <c r="AX140">
        <v>646.79999999999995</v>
      </c>
    </row>
    <row r="142" spans="1:50" x14ac:dyDescent="0.3">
      <c r="A142" t="s">
        <v>337</v>
      </c>
      <c r="C142">
        <v>50</v>
      </c>
      <c r="D142">
        <v>50</v>
      </c>
      <c r="E142">
        <v>50</v>
      </c>
      <c r="F142">
        <v>50</v>
      </c>
      <c r="G142">
        <v>50</v>
      </c>
      <c r="H142">
        <v>50</v>
      </c>
      <c r="I142">
        <v>50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50</v>
      </c>
      <c r="U142">
        <v>50</v>
      </c>
      <c r="V142">
        <v>50</v>
      </c>
      <c r="W142">
        <v>50</v>
      </c>
      <c r="X142">
        <v>50</v>
      </c>
      <c r="Y142">
        <v>50</v>
      </c>
      <c r="Z142">
        <v>50</v>
      </c>
      <c r="AA142">
        <v>50</v>
      </c>
      <c r="AB142">
        <v>50</v>
      </c>
      <c r="AC142">
        <v>50</v>
      </c>
      <c r="AD142">
        <v>50</v>
      </c>
      <c r="AE142">
        <v>50</v>
      </c>
      <c r="AF142">
        <v>50</v>
      </c>
      <c r="AG142">
        <v>50</v>
      </c>
      <c r="AH142">
        <v>50</v>
      </c>
      <c r="AI142">
        <v>50</v>
      </c>
      <c r="AJ142">
        <v>50</v>
      </c>
      <c r="AK142">
        <v>50</v>
      </c>
      <c r="AL142">
        <v>50</v>
      </c>
      <c r="AM142">
        <v>50</v>
      </c>
      <c r="AN142">
        <v>50</v>
      </c>
      <c r="AO142">
        <v>50</v>
      </c>
      <c r="AP142">
        <v>50</v>
      </c>
      <c r="AQ142">
        <v>50</v>
      </c>
      <c r="AR142">
        <v>50</v>
      </c>
      <c r="AS142">
        <v>50</v>
      </c>
      <c r="AT142">
        <v>50</v>
      </c>
      <c r="AU142">
        <v>50</v>
      </c>
      <c r="AV142">
        <v>50</v>
      </c>
      <c r="AW142">
        <v>50</v>
      </c>
      <c r="AX142">
        <v>50</v>
      </c>
    </row>
    <row r="144" spans="1:50" x14ac:dyDescent="0.3">
      <c r="A144" t="s">
        <v>338</v>
      </c>
      <c r="B144">
        <v>59.57282</v>
      </c>
      <c r="C144">
        <v>56.59</v>
      </c>
      <c r="D144">
        <v>56.59</v>
      </c>
      <c r="E144">
        <v>56.59</v>
      </c>
      <c r="F144">
        <v>56.59</v>
      </c>
      <c r="G144">
        <v>56.59</v>
      </c>
      <c r="H144">
        <v>56.59</v>
      </c>
      <c r="I144">
        <v>56.59</v>
      </c>
      <c r="J144">
        <v>56.59</v>
      </c>
      <c r="K144">
        <v>56.59</v>
      </c>
      <c r="L144">
        <v>56.59</v>
      </c>
      <c r="M144">
        <v>56.59</v>
      </c>
      <c r="N144">
        <v>56.59</v>
      </c>
      <c r="O144">
        <v>56.59</v>
      </c>
      <c r="P144">
        <v>56.59</v>
      </c>
      <c r="Q144">
        <v>56.59</v>
      </c>
      <c r="R144">
        <v>56.59</v>
      </c>
      <c r="S144">
        <v>56.59</v>
      </c>
      <c r="T144">
        <v>56.59</v>
      </c>
      <c r="U144">
        <v>56.59</v>
      </c>
      <c r="V144">
        <v>56.59</v>
      </c>
      <c r="W144">
        <v>56.59</v>
      </c>
      <c r="X144">
        <v>56.59</v>
      </c>
      <c r="Y144">
        <v>56.59</v>
      </c>
      <c r="Z144">
        <v>56.59</v>
      </c>
      <c r="AA144">
        <v>56.59</v>
      </c>
      <c r="AB144">
        <v>56.59</v>
      </c>
      <c r="AC144">
        <v>56.59</v>
      </c>
      <c r="AD144">
        <v>56.59</v>
      </c>
      <c r="AE144">
        <v>56.59</v>
      </c>
      <c r="AF144">
        <v>56.59</v>
      </c>
      <c r="AG144">
        <v>56.59</v>
      </c>
      <c r="AH144">
        <v>56.59</v>
      </c>
      <c r="AI144">
        <v>56.59</v>
      </c>
      <c r="AJ144">
        <v>56.59</v>
      </c>
      <c r="AK144">
        <v>56.59</v>
      </c>
      <c r="AL144">
        <v>59.57</v>
      </c>
      <c r="AM144">
        <v>56.59</v>
      </c>
      <c r="AN144">
        <v>56.59</v>
      </c>
      <c r="AO144">
        <v>56.59</v>
      </c>
      <c r="AP144">
        <v>56.59</v>
      </c>
      <c r="AQ144">
        <v>56.59</v>
      </c>
      <c r="AR144">
        <v>56.59</v>
      </c>
      <c r="AS144">
        <v>56.59</v>
      </c>
      <c r="AT144">
        <v>56.59</v>
      </c>
      <c r="AU144">
        <v>56.59</v>
      </c>
      <c r="AV144">
        <v>56.59</v>
      </c>
      <c r="AW144">
        <v>56.59</v>
      </c>
      <c r="AX144">
        <v>56.59</v>
      </c>
    </row>
    <row r="146" spans="1:50" x14ac:dyDescent="0.3">
      <c r="A146" t="s">
        <v>339</v>
      </c>
      <c r="B146">
        <v>18.537800000000001</v>
      </c>
      <c r="C146">
        <v>16.68</v>
      </c>
      <c r="D146">
        <v>16.68</v>
      </c>
      <c r="E146">
        <v>16.68</v>
      </c>
      <c r="F146">
        <v>16.68</v>
      </c>
      <c r="G146">
        <v>16.68</v>
      </c>
      <c r="H146">
        <v>16.68</v>
      </c>
      <c r="I146">
        <v>16.68</v>
      </c>
      <c r="J146">
        <v>16.68</v>
      </c>
      <c r="K146">
        <v>16.68</v>
      </c>
      <c r="L146">
        <v>16.68</v>
      </c>
      <c r="M146">
        <v>16.68</v>
      </c>
      <c r="N146">
        <v>16.68</v>
      </c>
      <c r="O146">
        <v>16.68</v>
      </c>
      <c r="P146">
        <v>16.68</v>
      </c>
      <c r="Q146">
        <v>16.68</v>
      </c>
      <c r="R146">
        <v>16.68</v>
      </c>
      <c r="S146">
        <v>16.68</v>
      </c>
      <c r="T146">
        <v>16.54</v>
      </c>
      <c r="U146">
        <v>16.68</v>
      </c>
      <c r="V146">
        <v>16.68</v>
      </c>
      <c r="W146">
        <v>16.68</v>
      </c>
      <c r="X146">
        <v>16.68</v>
      </c>
      <c r="Y146">
        <v>16.68</v>
      </c>
      <c r="Z146">
        <v>16.68</v>
      </c>
      <c r="AA146">
        <v>16.68</v>
      </c>
      <c r="AB146">
        <v>16.68</v>
      </c>
      <c r="AC146">
        <v>16.68</v>
      </c>
      <c r="AD146">
        <v>16.68</v>
      </c>
      <c r="AE146">
        <v>16.68</v>
      </c>
      <c r="AF146">
        <v>16.68</v>
      </c>
      <c r="AG146">
        <v>16.68</v>
      </c>
      <c r="AH146">
        <v>16.68</v>
      </c>
      <c r="AI146">
        <v>16.68</v>
      </c>
      <c r="AJ146">
        <v>16.68</v>
      </c>
      <c r="AK146">
        <v>16.68</v>
      </c>
      <c r="AL146">
        <v>18.54</v>
      </c>
      <c r="AM146">
        <v>16.68</v>
      </c>
      <c r="AN146">
        <v>16.68</v>
      </c>
      <c r="AO146">
        <v>16.68</v>
      </c>
      <c r="AP146">
        <v>16.68</v>
      </c>
      <c r="AQ146">
        <v>16.68</v>
      </c>
      <c r="AR146">
        <v>16.68</v>
      </c>
      <c r="AS146">
        <v>16.68</v>
      </c>
      <c r="AT146">
        <v>16.68</v>
      </c>
      <c r="AU146">
        <v>16.68</v>
      </c>
      <c r="AV146">
        <v>16.68</v>
      </c>
      <c r="AW146">
        <v>16.68</v>
      </c>
      <c r="AX146">
        <v>16.68</v>
      </c>
    </row>
    <row r="148" spans="1:50" x14ac:dyDescent="0.3">
      <c r="A148" t="s">
        <v>340</v>
      </c>
      <c r="B148">
        <v>46.6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50" spans="1:50" x14ac:dyDescent="0.3">
      <c r="A150" t="s">
        <v>341</v>
      </c>
      <c r="B150">
        <v>880</v>
      </c>
      <c r="C150">
        <v>380</v>
      </c>
      <c r="D150">
        <v>380</v>
      </c>
      <c r="E150">
        <v>565.88</v>
      </c>
      <c r="F150">
        <v>560.91</v>
      </c>
      <c r="G150">
        <v>587.05999999999995</v>
      </c>
      <c r="H150">
        <v>450</v>
      </c>
      <c r="I150">
        <v>450</v>
      </c>
      <c r="J150">
        <v>527.71</v>
      </c>
      <c r="K150">
        <v>440</v>
      </c>
      <c r="L150">
        <v>440</v>
      </c>
      <c r="M150">
        <v>574.85</v>
      </c>
      <c r="N150">
        <v>420</v>
      </c>
      <c r="O150">
        <v>380</v>
      </c>
      <c r="P150">
        <v>380</v>
      </c>
      <c r="Q150">
        <v>380</v>
      </c>
      <c r="R150">
        <v>704</v>
      </c>
      <c r="S150">
        <v>704</v>
      </c>
      <c r="T150">
        <v>541.13</v>
      </c>
      <c r="U150">
        <v>574.88</v>
      </c>
      <c r="V150">
        <v>704</v>
      </c>
      <c r="W150">
        <v>704</v>
      </c>
      <c r="X150">
        <v>704</v>
      </c>
      <c r="Y150">
        <v>704</v>
      </c>
      <c r="Z150">
        <v>380</v>
      </c>
      <c r="AA150">
        <v>556.42999999999995</v>
      </c>
      <c r="AB150">
        <v>499.28</v>
      </c>
      <c r="AC150">
        <v>725.29</v>
      </c>
      <c r="AD150">
        <v>826.64</v>
      </c>
      <c r="AE150">
        <v>843.95</v>
      </c>
      <c r="AF150">
        <v>842.27</v>
      </c>
      <c r="AG150">
        <v>862.4</v>
      </c>
      <c r="AH150">
        <v>862.4</v>
      </c>
      <c r="AI150">
        <v>704</v>
      </c>
      <c r="AJ150">
        <v>704</v>
      </c>
      <c r="AK150">
        <v>704</v>
      </c>
      <c r="AL150">
        <v>862.4</v>
      </c>
      <c r="AM150">
        <v>862.4</v>
      </c>
      <c r="AN150">
        <v>857.99</v>
      </c>
      <c r="AO150">
        <v>862.4</v>
      </c>
      <c r="AP150">
        <v>862.4</v>
      </c>
      <c r="AQ150">
        <v>803.57</v>
      </c>
      <c r="AR150">
        <v>704</v>
      </c>
      <c r="AS150">
        <v>836.72</v>
      </c>
      <c r="AT150">
        <v>862.4</v>
      </c>
      <c r="AU150">
        <v>862.4</v>
      </c>
      <c r="AV150">
        <v>704</v>
      </c>
      <c r="AW150">
        <v>704</v>
      </c>
      <c r="AX150">
        <v>380</v>
      </c>
    </row>
    <row r="151" spans="1:50" x14ac:dyDescent="0.3">
      <c r="A151" t="s">
        <v>342</v>
      </c>
      <c r="B151">
        <v>880</v>
      </c>
      <c r="C151">
        <v>380</v>
      </c>
      <c r="D151">
        <v>468.1</v>
      </c>
      <c r="E151">
        <v>380</v>
      </c>
      <c r="F151">
        <v>400</v>
      </c>
      <c r="G151">
        <v>480</v>
      </c>
      <c r="H151">
        <v>450</v>
      </c>
      <c r="I151">
        <v>450</v>
      </c>
      <c r="J151">
        <v>500</v>
      </c>
      <c r="K151">
        <v>450</v>
      </c>
      <c r="L151">
        <v>440</v>
      </c>
      <c r="M151">
        <v>450</v>
      </c>
      <c r="N151">
        <v>420</v>
      </c>
      <c r="O151">
        <v>380</v>
      </c>
      <c r="P151">
        <v>380</v>
      </c>
      <c r="Q151">
        <v>528.9</v>
      </c>
      <c r="R151">
        <v>506.57</v>
      </c>
      <c r="S151">
        <v>704</v>
      </c>
      <c r="T151">
        <v>704</v>
      </c>
      <c r="U151">
        <v>704</v>
      </c>
      <c r="V151">
        <v>704</v>
      </c>
      <c r="W151">
        <v>704</v>
      </c>
      <c r="X151">
        <v>695.12</v>
      </c>
      <c r="Y151">
        <v>626.92999999999995</v>
      </c>
      <c r="Z151">
        <v>602.53</v>
      </c>
      <c r="AA151">
        <v>380</v>
      </c>
      <c r="AB151">
        <v>704</v>
      </c>
      <c r="AC151">
        <v>862.4</v>
      </c>
      <c r="AD151">
        <v>862.4</v>
      </c>
      <c r="AE151">
        <v>862.4</v>
      </c>
      <c r="AF151">
        <v>862.4</v>
      </c>
      <c r="AG151">
        <v>844.59</v>
      </c>
      <c r="AH151">
        <v>729.5</v>
      </c>
      <c r="AI151">
        <v>704</v>
      </c>
      <c r="AJ151">
        <v>639.26</v>
      </c>
      <c r="AK151">
        <v>704</v>
      </c>
      <c r="AL151">
        <v>862.4</v>
      </c>
      <c r="AM151">
        <v>862.4</v>
      </c>
      <c r="AN151">
        <v>862.4</v>
      </c>
      <c r="AO151">
        <v>719.71</v>
      </c>
      <c r="AP151">
        <v>826.93</v>
      </c>
      <c r="AQ151">
        <v>862.4</v>
      </c>
      <c r="AR151">
        <v>704</v>
      </c>
      <c r="AS151">
        <v>862.4</v>
      </c>
      <c r="AT151">
        <v>816.35</v>
      </c>
      <c r="AU151">
        <v>734.5</v>
      </c>
      <c r="AV151">
        <v>704</v>
      </c>
      <c r="AW151">
        <v>704</v>
      </c>
      <c r="AX151">
        <v>633.76</v>
      </c>
    </row>
    <row r="153" spans="1:50" x14ac:dyDescent="0.3">
      <c r="A153" t="s">
        <v>74</v>
      </c>
      <c r="B153">
        <v>924</v>
      </c>
      <c r="C153">
        <v>685.19</v>
      </c>
      <c r="D153">
        <v>833</v>
      </c>
      <c r="E153">
        <v>833</v>
      </c>
      <c r="F153">
        <v>833</v>
      </c>
      <c r="G153">
        <v>833</v>
      </c>
      <c r="H153">
        <v>833</v>
      </c>
      <c r="I153">
        <v>833</v>
      </c>
      <c r="J153">
        <v>833</v>
      </c>
      <c r="K153">
        <v>882</v>
      </c>
      <c r="L153">
        <v>905.52</v>
      </c>
      <c r="M153">
        <v>905.52</v>
      </c>
      <c r="N153">
        <v>905.52</v>
      </c>
      <c r="O153">
        <v>905.52</v>
      </c>
      <c r="P153">
        <v>689.83</v>
      </c>
      <c r="Q153">
        <v>905.52</v>
      </c>
      <c r="R153">
        <v>905.52</v>
      </c>
      <c r="S153">
        <v>905.52</v>
      </c>
      <c r="T153">
        <v>905.52</v>
      </c>
      <c r="U153">
        <v>905.52</v>
      </c>
      <c r="V153">
        <v>905.52</v>
      </c>
      <c r="W153">
        <v>905.52</v>
      </c>
      <c r="X153">
        <v>905.52</v>
      </c>
      <c r="Y153">
        <v>905.52</v>
      </c>
      <c r="Z153">
        <v>905.52</v>
      </c>
      <c r="AA153">
        <v>905.52</v>
      </c>
      <c r="AB153">
        <v>905.52</v>
      </c>
      <c r="AC153">
        <v>905.52</v>
      </c>
      <c r="AD153">
        <v>905.52</v>
      </c>
      <c r="AE153">
        <v>905.52</v>
      </c>
      <c r="AF153">
        <v>905.52</v>
      </c>
      <c r="AG153">
        <v>905.52</v>
      </c>
      <c r="AH153">
        <v>905.52</v>
      </c>
      <c r="AI153">
        <v>905.52</v>
      </c>
      <c r="AJ153">
        <v>905.52</v>
      </c>
      <c r="AK153">
        <v>905.52</v>
      </c>
      <c r="AL153">
        <v>905.52</v>
      </c>
      <c r="AM153">
        <v>905.52</v>
      </c>
      <c r="AN153">
        <v>905.52</v>
      </c>
      <c r="AO153">
        <v>905.52</v>
      </c>
      <c r="AP153">
        <v>905.52</v>
      </c>
      <c r="AQ153">
        <v>905.52</v>
      </c>
      <c r="AR153">
        <v>905.52</v>
      </c>
      <c r="AS153">
        <v>905.52</v>
      </c>
      <c r="AT153">
        <v>905.52</v>
      </c>
      <c r="AU153">
        <v>905.52</v>
      </c>
      <c r="AV153">
        <v>905.52</v>
      </c>
      <c r="AW153">
        <v>905.52</v>
      </c>
      <c r="AX153">
        <v>905.52</v>
      </c>
    </row>
    <row r="155" spans="1:50" x14ac:dyDescent="0.3">
      <c r="A155" t="s">
        <v>343</v>
      </c>
      <c r="B155">
        <v>145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1.1000000000000001</v>
      </c>
      <c r="O155">
        <v>12.64</v>
      </c>
      <c r="P155">
        <v>26.94</v>
      </c>
      <c r="Q155">
        <v>48.64</v>
      </c>
      <c r="R155">
        <v>62.68</v>
      </c>
      <c r="S155">
        <v>70.87</v>
      </c>
      <c r="T155">
        <v>83.8</v>
      </c>
      <c r="U155">
        <v>92.5</v>
      </c>
      <c r="V155">
        <v>101.67</v>
      </c>
      <c r="W155">
        <v>107.96</v>
      </c>
      <c r="X155">
        <v>112.43</v>
      </c>
      <c r="Y155">
        <v>114.41</v>
      </c>
      <c r="Z155">
        <v>114.46</v>
      </c>
      <c r="AA155">
        <v>110.68</v>
      </c>
      <c r="AB155">
        <v>106.8</v>
      </c>
      <c r="AC155">
        <v>98.36</v>
      </c>
      <c r="AD155">
        <v>83.41</v>
      </c>
      <c r="AE155">
        <v>82.21</v>
      </c>
      <c r="AF155">
        <v>80.27</v>
      </c>
      <c r="AG155">
        <v>48.2</v>
      </c>
      <c r="AH155">
        <v>30.98</v>
      </c>
      <c r="AI155">
        <v>31.89</v>
      </c>
      <c r="AJ155">
        <v>15.27</v>
      </c>
      <c r="AK155">
        <v>1.97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3">
      <c r="A156" t="s">
        <v>343</v>
      </c>
      <c r="B156">
        <v>1.0000000000000001E-5</v>
      </c>
    </row>
    <row r="158" spans="1:50" x14ac:dyDescent="0.3">
      <c r="A158" t="s">
        <v>344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60" spans="1:50" x14ac:dyDescent="0.3">
      <c r="A160" t="s">
        <v>293</v>
      </c>
      <c r="C160">
        <v>3641.03</v>
      </c>
      <c r="D160">
        <v>3876.94</v>
      </c>
      <c r="E160">
        <v>3974.72</v>
      </c>
      <c r="F160">
        <v>3989.75</v>
      </c>
      <c r="G160">
        <v>4095.9</v>
      </c>
      <c r="H160">
        <v>3928.84</v>
      </c>
      <c r="I160">
        <v>3928.84</v>
      </c>
      <c r="J160">
        <v>4056.55</v>
      </c>
      <c r="K160">
        <v>3968.84</v>
      </c>
      <c r="L160">
        <v>4092.36</v>
      </c>
      <c r="M160">
        <v>4237.21</v>
      </c>
      <c r="N160">
        <v>4053.46</v>
      </c>
      <c r="O160">
        <v>3986</v>
      </c>
      <c r="P160">
        <v>3784.61</v>
      </c>
      <c r="Q160">
        <v>4310.8999999999996</v>
      </c>
      <c r="R160">
        <v>4736.6099999999997</v>
      </c>
      <c r="S160">
        <v>5247.8</v>
      </c>
      <c r="T160">
        <v>5261.93</v>
      </c>
      <c r="U160">
        <v>5521.31</v>
      </c>
      <c r="V160">
        <v>5648.55</v>
      </c>
      <c r="W160">
        <v>5828.06</v>
      </c>
      <c r="X160">
        <v>5867.94</v>
      </c>
      <c r="Y160">
        <v>5621.78</v>
      </c>
      <c r="Z160">
        <v>4903.68</v>
      </c>
      <c r="AA160">
        <v>4900.6899999999996</v>
      </c>
      <c r="AB160">
        <v>5433.33</v>
      </c>
      <c r="AC160">
        <v>6550.81</v>
      </c>
      <c r="AD160">
        <v>6637.19</v>
      </c>
      <c r="AE160">
        <v>6655.13</v>
      </c>
      <c r="AF160">
        <v>6639.54</v>
      </c>
      <c r="AG160">
        <v>6617.7</v>
      </c>
      <c r="AH160">
        <v>6540.26</v>
      </c>
      <c r="AI160">
        <v>6462.78</v>
      </c>
      <c r="AJ160">
        <v>6357.73</v>
      </c>
      <c r="AK160">
        <v>6628.98</v>
      </c>
      <c r="AL160">
        <v>6980.32</v>
      </c>
      <c r="AM160">
        <v>6948.21</v>
      </c>
      <c r="AN160">
        <v>6939.4</v>
      </c>
      <c r="AO160">
        <v>6798.19</v>
      </c>
      <c r="AP160">
        <v>6905.48</v>
      </c>
      <c r="AQ160">
        <v>6882.23</v>
      </c>
      <c r="AR160">
        <v>6613.57</v>
      </c>
      <c r="AS160">
        <v>6838.68</v>
      </c>
      <c r="AT160">
        <v>6629.48</v>
      </c>
      <c r="AU160">
        <v>6390.48</v>
      </c>
      <c r="AV160">
        <v>5788.74</v>
      </c>
      <c r="AW160">
        <v>5614.78</v>
      </c>
      <c r="AX160">
        <v>4699.7700000000004</v>
      </c>
    </row>
    <row r="161" spans="1:50" x14ac:dyDescent="0.3">
      <c r="A161" t="s">
        <v>294</v>
      </c>
      <c r="C161">
        <v>5611.22</v>
      </c>
      <c r="D161">
        <v>5556.5</v>
      </c>
      <c r="E161">
        <v>5559.7</v>
      </c>
      <c r="F161">
        <v>5487.27</v>
      </c>
      <c r="G161">
        <v>5454.03</v>
      </c>
      <c r="H161">
        <v>5419.43</v>
      </c>
      <c r="I161">
        <v>5449.91</v>
      </c>
      <c r="J161">
        <v>5496.09</v>
      </c>
      <c r="K161">
        <v>5653.09</v>
      </c>
      <c r="L161">
        <v>5849.75</v>
      </c>
      <c r="M161">
        <v>6062.53</v>
      </c>
      <c r="N161">
        <v>5991.73</v>
      </c>
      <c r="O161">
        <v>5881.08</v>
      </c>
      <c r="P161">
        <v>5906.04</v>
      </c>
      <c r="Q161">
        <v>6154.67</v>
      </c>
      <c r="R161">
        <v>6386.04</v>
      </c>
      <c r="S161">
        <v>6622.96</v>
      </c>
      <c r="T161">
        <v>6699.48</v>
      </c>
      <c r="U161">
        <v>6777.92</v>
      </c>
      <c r="V161">
        <v>6814.69</v>
      </c>
      <c r="W161">
        <v>6906.12</v>
      </c>
      <c r="X161">
        <v>6871.25</v>
      </c>
      <c r="Y161">
        <v>6792.99</v>
      </c>
      <c r="Z161">
        <v>6575.48</v>
      </c>
      <c r="AA161">
        <v>6591.31</v>
      </c>
      <c r="AB161">
        <v>6835.87</v>
      </c>
      <c r="AC161">
        <v>7066.63</v>
      </c>
      <c r="AD161">
        <v>7114.41</v>
      </c>
      <c r="AE161">
        <v>7145.62</v>
      </c>
      <c r="AF161">
        <v>7149</v>
      </c>
      <c r="AG161">
        <v>7216.61</v>
      </c>
      <c r="AH161">
        <v>7211.11</v>
      </c>
      <c r="AI161">
        <v>7202.71</v>
      </c>
      <c r="AJ161">
        <v>7198.02</v>
      </c>
      <c r="AK161">
        <v>7282.94</v>
      </c>
      <c r="AL161">
        <v>7501.56</v>
      </c>
      <c r="AM161">
        <v>7439</v>
      </c>
      <c r="AN161">
        <v>7375.06</v>
      </c>
      <c r="AO161">
        <v>7350.95</v>
      </c>
      <c r="AP161">
        <v>7340.11</v>
      </c>
      <c r="AQ161">
        <v>7352.65</v>
      </c>
      <c r="AR161">
        <v>7238.87</v>
      </c>
      <c r="AS161">
        <v>7108.86</v>
      </c>
      <c r="AT161">
        <v>6963.52</v>
      </c>
      <c r="AU161">
        <v>6839.05</v>
      </c>
      <c r="AV161">
        <v>6696.74</v>
      </c>
      <c r="AW161">
        <v>6571.76</v>
      </c>
      <c r="AX161">
        <v>6442.47</v>
      </c>
    </row>
    <row r="163" spans="1:50" x14ac:dyDescent="0.3">
      <c r="A163" t="s">
        <v>345</v>
      </c>
    </row>
    <row r="164" spans="1:50" x14ac:dyDescent="0.3">
      <c r="C164" t="s">
        <v>253</v>
      </c>
      <c r="D164" t="s">
        <v>253</v>
      </c>
      <c r="E164" t="s">
        <v>253</v>
      </c>
      <c r="F164" t="s">
        <v>253</v>
      </c>
      <c r="G164" t="s">
        <v>253</v>
      </c>
      <c r="H164" t="s">
        <v>253</v>
      </c>
      <c r="I164" t="s">
        <v>253</v>
      </c>
      <c r="J164" t="s">
        <v>253</v>
      </c>
      <c r="K164" t="s">
        <v>253</v>
      </c>
      <c r="L164" t="s">
        <v>253</v>
      </c>
      <c r="M164" t="s">
        <v>253</v>
      </c>
      <c r="N164" t="s">
        <v>253</v>
      </c>
      <c r="O164" t="s">
        <v>253</v>
      </c>
      <c r="P164" t="s">
        <v>253</v>
      </c>
      <c r="Q164" t="s">
        <v>253</v>
      </c>
      <c r="R164" t="s">
        <v>253</v>
      </c>
      <c r="S164" t="s">
        <v>253</v>
      </c>
      <c r="T164" t="s">
        <v>253</v>
      </c>
      <c r="U164" t="s">
        <v>253</v>
      </c>
      <c r="V164" t="s">
        <v>253</v>
      </c>
      <c r="W164" t="s">
        <v>253</v>
      </c>
      <c r="X164" t="s">
        <v>253</v>
      </c>
      <c r="Y164" t="s">
        <v>253</v>
      </c>
      <c r="Z164" t="s">
        <v>253</v>
      </c>
      <c r="AA164" t="s">
        <v>253</v>
      </c>
      <c r="AB164" t="s">
        <v>253</v>
      </c>
      <c r="AC164" t="s">
        <v>253</v>
      </c>
      <c r="AD164" t="s">
        <v>253</v>
      </c>
      <c r="AE164" t="s">
        <v>253</v>
      </c>
      <c r="AF164" t="s">
        <v>253</v>
      </c>
      <c r="AG164" t="s">
        <v>253</v>
      </c>
      <c r="AH164" t="s">
        <v>253</v>
      </c>
      <c r="AI164" t="s">
        <v>253</v>
      </c>
      <c r="AJ164" t="s">
        <v>253</v>
      </c>
      <c r="AK164" t="s">
        <v>253</v>
      </c>
      <c r="AL164" t="s">
        <v>253</v>
      </c>
      <c r="AM164" t="s">
        <v>253</v>
      </c>
      <c r="AN164" t="s">
        <v>253</v>
      </c>
      <c r="AO164" t="s">
        <v>253</v>
      </c>
      <c r="AP164" t="s">
        <v>253</v>
      </c>
      <c r="AQ164" t="s">
        <v>253</v>
      </c>
      <c r="AR164" t="s">
        <v>253</v>
      </c>
      <c r="AS164" t="s">
        <v>253</v>
      </c>
      <c r="AT164" t="s">
        <v>253</v>
      </c>
      <c r="AU164" t="s">
        <v>253</v>
      </c>
      <c r="AV164" t="s">
        <v>253</v>
      </c>
      <c r="AW164" t="s">
        <v>253</v>
      </c>
      <c r="AX164" t="s">
        <v>253</v>
      </c>
    </row>
    <row r="166" spans="1:50" x14ac:dyDescent="0.3">
      <c r="A166" t="s">
        <v>346</v>
      </c>
      <c r="C166">
        <v>8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14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27</v>
      </c>
      <c r="AC166">
        <v>27</v>
      </c>
      <c r="AD166">
        <v>27</v>
      </c>
      <c r="AE166">
        <v>27</v>
      </c>
      <c r="AF166">
        <v>27</v>
      </c>
      <c r="AG166">
        <v>27</v>
      </c>
      <c r="AH166">
        <v>27</v>
      </c>
      <c r="AI166">
        <v>27</v>
      </c>
      <c r="AJ166">
        <v>27</v>
      </c>
      <c r="AK166">
        <v>27</v>
      </c>
      <c r="AL166">
        <v>27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27</v>
      </c>
      <c r="AS166">
        <v>14</v>
      </c>
      <c r="AT166">
        <v>14</v>
      </c>
      <c r="AU166">
        <v>14</v>
      </c>
      <c r="AV166">
        <v>14</v>
      </c>
      <c r="AW166">
        <v>14</v>
      </c>
      <c r="AX166">
        <v>14</v>
      </c>
    </row>
    <row r="168" spans="1:50" x14ac:dyDescent="0.3">
      <c r="A168" t="s">
        <v>347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30</v>
      </c>
      <c r="Z168">
        <v>30</v>
      </c>
      <c r="AA168">
        <v>30</v>
      </c>
      <c r="AB168">
        <v>30</v>
      </c>
      <c r="AC168">
        <v>30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30</v>
      </c>
      <c r="AK168">
        <v>30</v>
      </c>
      <c r="AL168">
        <v>30</v>
      </c>
      <c r="AM168">
        <v>30</v>
      </c>
      <c r="AN168">
        <v>30</v>
      </c>
      <c r="AO168">
        <v>30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70" spans="1:50" x14ac:dyDescent="0.3">
      <c r="A170" t="s">
        <v>348</v>
      </c>
      <c r="B170">
        <v>110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2" spans="1:50" x14ac:dyDescent="0.3">
      <c r="A172" t="s">
        <v>349</v>
      </c>
      <c r="C172">
        <v>101.61</v>
      </c>
      <c r="D172">
        <v>101.61</v>
      </c>
      <c r="E172">
        <v>101.61</v>
      </c>
      <c r="F172">
        <v>101.61</v>
      </c>
      <c r="G172">
        <v>101.61</v>
      </c>
      <c r="H172">
        <v>101.61</v>
      </c>
      <c r="I172">
        <v>101.61</v>
      </c>
      <c r="J172">
        <v>101.61</v>
      </c>
      <c r="K172">
        <v>101.61</v>
      </c>
      <c r="L172">
        <v>101.61</v>
      </c>
      <c r="M172">
        <v>101.61</v>
      </c>
      <c r="N172">
        <v>101.61</v>
      </c>
      <c r="O172">
        <v>101.61</v>
      </c>
      <c r="P172">
        <v>101.61</v>
      </c>
      <c r="Q172">
        <v>101.61</v>
      </c>
      <c r="R172">
        <v>101.61</v>
      </c>
      <c r="S172">
        <v>101.61</v>
      </c>
      <c r="T172">
        <v>116.13</v>
      </c>
      <c r="U172">
        <v>116.13</v>
      </c>
      <c r="V172">
        <v>217.74</v>
      </c>
      <c r="W172">
        <v>275.81</v>
      </c>
      <c r="X172">
        <v>275.81</v>
      </c>
      <c r="Y172">
        <v>275.81</v>
      </c>
      <c r="Z172">
        <v>246.77</v>
      </c>
      <c r="AA172">
        <v>246.77</v>
      </c>
      <c r="AB172">
        <v>309.19</v>
      </c>
      <c r="AC172">
        <v>309.19</v>
      </c>
      <c r="AD172">
        <v>309.19</v>
      </c>
      <c r="AE172">
        <v>309.19</v>
      </c>
      <c r="AF172">
        <v>309.19</v>
      </c>
      <c r="AG172">
        <v>309.19</v>
      </c>
      <c r="AH172">
        <v>298.32</v>
      </c>
      <c r="AI172">
        <v>249.17</v>
      </c>
      <c r="AJ172">
        <v>261.68</v>
      </c>
      <c r="AK172">
        <v>298.32</v>
      </c>
      <c r="AL172">
        <v>307.02999999999997</v>
      </c>
      <c r="AM172">
        <v>298.32</v>
      </c>
      <c r="AN172">
        <v>298.32</v>
      </c>
      <c r="AO172">
        <v>298.32</v>
      </c>
      <c r="AP172">
        <v>293.64</v>
      </c>
      <c r="AQ172">
        <v>246.77</v>
      </c>
      <c r="AR172">
        <v>246.77</v>
      </c>
      <c r="AS172">
        <v>246.77</v>
      </c>
      <c r="AT172">
        <v>246.77</v>
      </c>
      <c r="AU172">
        <v>101.61</v>
      </c>
      <c r="AV172">
        <v>101.61</v>
      </c>
      <c r="AW172">
        <v>101.61</v>
      </c>
      <c r="AX172">
        <v>101.61</v>
      </c>
    </row>
    <row r="173" spans="1:50" x14ac:dyDescent="0.3">
      <c r="A173" t="s">
        <v>350</v>
      </c>
      <c r="C173">
        <v>101.61</v>
      </c>
      <c r="D173">
        <v>101.61</v>
      </c>
      <c r="E173">
        <v>101.61</v>
      </c>
      <c r="F173">
        <v>101.61</v>
      </c>
      <c r="G173">
        <v>101.61</v>
      </c>
      <c r="H173">
        <v>101.61</v>
      </c>
      <c r="I173">
        <v>101.61</v>
      </c>
      <c r="J173">
        <v>101.61</v>
      </c>
      <c r="K173">
        <v>101.61</v>
      </c>
      <c r="L173">
        <v>101.61</v>
      </c>
      <c r="M173">
        <v>101.61</v>
      </c>
      <c r="N173">
        <v>101.61</v>
      </c>
      <c r="O173">
        <v>101.61</v>
      </c>
      <c r="P173">
        <v>203.23</v>
      </c>
      <c r="Q173">
        <v>203.23</v>
      </c>
      <c r="R173">
        <v>304.83999999999997</v>
      </c>
      <c r="S173">
        <v>304.83999999999997</v>
      </c>
      <c r="T173">
        <v>348.39</v>
      </c>
      <c r="U173">
        <v>348.39</v>
      </c>
      <c r="V173">
        <v>348.39</v>
      </c>
      <c r="W173">
        <v>348.39</v>
      </c>
      <c r="X173">
        <v>348.39</v>
      </c>
      <c r="Y173">
        <v>348.39</v>
      </c>
      <c r="Z173">
        <v>304.83999999999997</v>
      </c>
      <c r="AA173">
        <v>304.83999999999997</v>
      </c>
      <c r="AB173">
        <v>404</v>
      </c>
      <c r="AC173">
        <v>404</v>
      </c>
      <c r="AD173">
        <v>404</v>
      </c>
      <c r="AE173">
        <v>404</v>
      </c>
      <c r="AF173">
        <v>404</v>
      </c>
      <c r="AG173">
        <v>404</v>
      </c>
      <c r="AH173">
        <v>304.83999999999997</v>
      </c>
      <c r="AI173">
        <v>304.83999999999997</v>
      </c>
      <c r="AJ173">
        <v>304.83999999999997</v>
      </c>
      <c r="AK173">
        <v>304.83999999999997</v>
      </c>
      <c r="AL173">
        <v>315</v>
      </c>
      <c r="AM173">
        <v>304.83999999999997</v>
      </c>
      <c r="AN173">
        <v>304.83999999999997</v>
      </c>
      <c r="AO173">
        <v>304.83999999999997</v>
      </c>
      <c r="AP173">
        <v>304.83999999999997</v>
      </c>
      <c r="AQ173">
        <v>304.83999999999997</v>
      </c>
      <c r="AR173">
        <v>304.83999999999997</v>
      </c>
      <c r="AS173">
        <v>203.23</v>
      </c>
      <c r="AT173">
        <v>101.61</v>
      </c>
      <c r="AU173">
        <v>101.61</v>
      </c>
      <c r="AV173">
        <v>101.61</v>
      </c>
      <c r="AW173">
        <v>101.61</v>
      </c>
      <c r="AX173">
        <v>101.61</v>
      </c>
    </row>
    <row r="174" spans="1:50" x14ac:dyDescent="0.3">
      <c r="A174" t="s">
        <v>351</v>
      </c>
      <c r="B174">
        <v>773.39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6" spans="1:50" x14ac:dyDescent="0.3">
      <c r="A176" t="s">
        <v>352</v>
      </c>
      <c r="B176">
        <v>615</v>
      </c>
      <c r="C176">
        <v>458</v>
      </c>
      <c r="D176">
        <v>458</v>
      </c>
      <c r="E176">
        <v>458</v>
      </c>
      <c r="F176">
        <v>458</v>
      </c>
      <c r="G176">
        <v>458</v>
      </c>
      <c r="H176">
        <v>458</v>
      </c>
      <c r="I176">
        <v>458</v>
      </c>
      <c r="J176">
        <v>458</v>
      </c>
      <c r="K176">
        <v>458</v>
      </c>
      <c r="L176">
        <v>458</v>
      </c>
      <c r="M176">
        <v>458</v>
      </c>
      <c r="N176">
        <v>458</v>
      </c>
      <c r="O176">
        <v>458</v>
      </c>
      <c r="P176">
        <v>458</v>
      </c>
      <c r="Q176">
        <v>458</v>
      </c>
      <c r="R176">
        <v>458</v>
      </c>
      <c r="S176">
        <v>458</v>
      </c>
      <c r="T176">
        <v>458</v>
      </c>
      <c r="U176">
        <v>458</v>
      </c>
      <c r="V176">
        <v>458</v>
      </c>
      <c r="W176">
        <v>458</v>
      </c>
      <c r="X176">
        <v>458</v>
      </c>
      <c r="Y176">
        <v>458</v>
      </c>
      <c r="Z176">
        <v>458</v>
      </c>
      <c r="AA176">
        <v>458</v>
      </c>
      <c r="AB176">
        <v>458</v>
      </c>
      <c r="AC176">
        <v>458</v>
      </c>
      <c r="AD176">
        <v>458</v>
      </c>
      <c r="AE176">
        <v>458</v>
      </c>
      <c r="AF176">
        <v>458</v>
      </c>
      <c r="AG176">
        <v>458</v>
      </c>
      <c r="AH176">
        <v>458</v>
      </c>
      <c r="AI176">
        <v>458</v>
      </c>
      <c r="AJ176">
        <v>458</v>
      </c>
      <c r="AK176">
        <v>458</v>
      </c>
      <c r="AL176">
        <v>458</v>
      </c>
      <c r="AM176">
        <v>458</v>
      </c>
      <c r="AN176">
        <v>458</v>
      </c>
      <c r="AO176">
        <v>458</v>
      </c>
      <c r="AP176">
        <v>458</v>
      </c>
      <c r="AQ176">
        <v>458</v>
      </c>
      <c r="AR176">
        <v>458</v>
      </c>
      <c r="AS176">
        <v>458</v>
      </c>
      <c r="AT176">
        <v>458</v>
      </c>
      <c r="AU176">
        <v>458</v>
      </c>
      <c r="AV176">
        <v>458</v>
      </c>
      <c r="AW176">
        <v>458</v>
      </c>
      <c r="AX176">
        <v>458</v>
      </c>
    </row>
    <row r="177" spans="1:50" x14ac:dyDescent="0.3">
      <c r="C177" t="s">
        <v>282</v>
      </c>
      <c r="D177" t="s">
        <v>282</v>
      </c>
      <c r="E177" t="s">
        <v>282</v>
      </c>
      <c r="F177" t="s">
        <v>282</v>
      </c>
      <c r="G177" t="s">
        <v>282</v>
      </c>
      <c r="H177" t="s">
        <v>282</v>
      </c>
      <c r="I177" t="s">
        <v>282</v>
      </c>
      <c r="J177" t="s">
        <v>282</v>
      </c>
      <c r="K177" t="s">
        <v>282</v>
      </c>
      <c r="L177" t="s">
        <v>282</v>
      </c>
      <c r="M177" t="s">
        <v>282</v>
      </c>
      <c r="N177" t="s">
        <v>282</v>
      </c>
      <c r="O177" t="s">
        <v>282</v>
      </c>
      <c r="P177" t="s">
        <v>282</v>
      </c>
      <c r="Q177" t="s">
        <v>282</v>
      </c>
      <c r="R177" t="s">
        <v>282</v>
      </c>
      <c r="S177" t="s">
        <v>282</v>
      </c>
      <c r="T177" t="s">
        <v>282</v>
      </c>
      <c r="U177" t="s">
        <v>282</v>
      </c>
      <c r="V177" t="s">
        <v>282</v>
      </c>
      <c r="W177" t="s">
        <v>282</v>
      </c>
      <c r="X177" t="s">
        <v>282</v>
      </c>
      <c r="Y177" t="s">
        <v>282</v>
      </c>
      <c r="Z177" t="s">
        <v>282</v>
      </c>
      <c r="AA177" t="s">
        <v>282</v>
      </c>
      <c r="AB177" t="s">
        <v>282</v>
      </c>
      <c r="AC177" t="s">
        <v>282</v>
      </c>
      <c r="AD177" t="s">
        <v>282</v>
      </c>
      <c r="AE177" t="s">
        <v>282</v>
      </c>
      <c r="AF177" t="s">
        <v>282</v>
      </c>
      <c r="AG177" t="s">
        <v>282</v>
      </c>
      <c r="AH177" t="s">
        <v>282</v>
      </c>
      <c r="AI177" t="s">
        <v>282</v>
      </c>
      <c r="AJ177" t="s">
        <v>282</v>
      </c>
      <c r="AK177" t="s">
        <v>282</v>
      </c>
      <c r="AL177" t="s">
        <v>282</v>
      </c>
      <c r="AM177" t="s">
        <v>282</v>
      </c>
      <c r="AN177" t="s">
        <v>282</v>
      </c>
      <c r="AO177" t="s">
        <v>282</v>
      </c>
      <c r="AP177" t="s">
        <v>282</v>
      </c>
      <c r="AQ177" t="s">
        <v>282</v>
      </c>
      <c r="AR177" t="s">
        <v>282</v>
      </c>
      <c r="AS177" t="s">
        <v>282</v>
      </c>
      <c r="AT177" t="s">
        <v>282</v>
      </c>
      <c r="AU177" t="s">
        <v>282</v>
      </c>
      <c r="AV177" t="s">
        <v>282</v>
      </c>
      <c r="AW177" t="s">
        <v>282</v>
      </c>
      <c r="AX177" t="s">
        <v>282</v>
      </c>
    </row>
    <row r="179" spans="1:50" x14ac:dyDescent="0.3">
      <c r="A179" t="s">
        <v>86</v>
      </c>
      <c r="B179">
        <v>280</v>
      </c>
      <c r="C179">
        <v>230</v>
      </c>
      <c r="D179">
        <v>230</v>
      </c>
      <c r="E179">
        <v>230</v>
      </c>
      <c r="F179">
        <v>230</v>
      </c>
      <c r="G179">
        <v>200</v>
      </c>
      <c r="H179">
        <v>200</v>
      </c>
      <c r="I179">
        <v>200</v>
      </c>
      <c r="J179">
        <v>200</v>
      </c>
      <c r="K179">
        <v>200</v>
      </c>
      <c r="L179">
        <v>200</v>
      </c>
      <c r="M179">
        <v>200</v>
      </c>
      <c r="N179">
        <v>200</v>
      </c>
      <c r="O179">
        <v>200</v>
      </c>
      <c r="P179">
        <v>200</v>
      </c>
      <c r="Q179">
        <v>200</v>
      </c>
      <c r="R179">
        <v>230</v>
      </c>
      <c r="S179">
        <v>230</v>
      </c>
      <c r="T179">
        <v>230</v>
      </c>
      <c r="U179">
        <v>230</v>
      </c>
      <c r="V179">
        <v>230</v>
      </c>
      <c r="W179">
        <v>230</v>
      </c>
      <c r="X179">
        <v>230</v>
      </c>
      <c r="Y179">
        <v>230</v>
      </c>
      <c r="Z179">
        <v>230</v>
      </c>
      <c r="AA179">
        <v>230</v>
      </c>
      <c r="AB179">
        <v>250</v>
      </c>
      <c r="AC179">
        <v>250</v>
      </c>
      <c r="AD179">
        <v>250</v>
      </c>
      <c r="AE179">
        <v>250</v>
      </c>
      <c r="AF179">
        <v>250</v>
      </c>
      <c r="AG179">
        <v>250</v>
      </c>
      <c r="AH179">
        <v>250</v>
      </c>
      <c r="AI179">
        <v>250</v>
      </c>
      <c r="AJ179">
        <v>250</v>
      </c>
      <c r="AK179">
        <v>250</v>
      </c>
      <c r="AL179">
        <v>250</v>
      </c>
      <c r="AM179">
        <v>250</v>
      </c>
      <c r="AN179">
        <v>250</v>
      </c>
      <c r="AO179">
        <v>250</v>
      </c>
      <c r="AP179">
        <v>200</v>
      </c>
      <c r="AQ179">
        <v>200</v>
      </c>
      <c r="AR179">
        <v>200</v>
      </c>
      <c r="AS179">
        <v>200</v>
      </c>
      <c r="AT179">
        <v>200</v>
      </c>
      <c r="AU179">
        <v>200</v>
      </c>
      <c r="AV179">
        <v>200</v>
      </c>
      <c r="AW179">
        <v>200</v>
      </c>
      <c r="AX179">
        <v>200</v>
      </c>
    </row>
    <row r="180" spans="1:50" x14ac:dyDescent="0.3">
      <c r="A180" t="s">
        <v>85</v>
      </c>
      <c r="B180">
        <v>280</v>
      </c>
      <c r="C180">
        <v>230</v>
      </c>
      <c r="D180">
        <v>230</v>
      </c>
      <c r="E180">
        <v>230</v>
      </c>
      <c r="F180">
        <v>230</v>
      </c>
      <c r="G180">
        <v>200</v>
      </c>
      <c r="H180">
        <v>200</v>
      </c>
      <c r="I180">
        <v>200</v>
      </c>
      <c r="J180">
        <v>200</v>
      </c>
      <c r="K180">
        <v>200</v>
      </c>
      <c r="L180">
        <v>200</v>
      </c>
      <c r="M180">
        <v>200</v>
      </c>
      <c r="N180">
        <v>200</v>
      </c>
      <c r="O180">
        <v>200</v>
      </c>
      <c r="P180">
        <v>200</v>
      </c>
      <c r="Q180">
        <v>200</v>
      </c>
      <c r="R180">
        <v>230</v>
      </c>
      <c r="S180">
        <v>230</v>
      </c>
      <c r="T180">
        <v>230</v>
      </c>
      <c r="U180">
        <v>230</v>
      </c>
      <c r="V180">
        <v>230</v>
      </c>
      <c r="W180">
        <v>230</v>
      </c>
      <c r="X180">
        <v>230</v>
      </c>
      <c r="Y180">
        <v>230</v>
      </c>
      <c r="Z180">
        <v>230</v>
      </c>
      <c r="AA180">
        <v>230</v>
      </c>
      <c r="AB180">
        <v>250</v>
      </c>
      <c r="AC180">
        <v>250</v>
      </c>
      <c r="AD180">
        <v>250</v>
      </c>
      <c r="AE180">
        <v>250</v>
      </c>
      <c r="AF180">
        <v>250</v>
      </c>
      <c r="AG180">
        <v>250</v>
      </c>
      <c r="AH180">
        <v>250</v>
      </c>
      <c r="AI180">
        <v>250</v>
      </c>
      <c r="AJ180">
        <v>250</v>
      </c>
      <c r="AK180">
        <v>250</v>
      </c>
      <c r="AL180">
        <v>250</v>
      </c>
      <c r="AM180">
        <v>250</v>
      </c>
      <c r="AN180">
        <v>250</v>
      </c>
      <c r="AO180">
        <v>250</v>
      </c>
      <c r="AP180">
        <v>200</v>
      </c>
      <c r="AQ180">
        <v>200</v>
      </c>
      <c r="AR180">
        <v>200</v>
      </c>
      <c r="AS180">
        <v>200</v>
      </c>
      <c r="AT180">
        <v>200</v>
      </c>
      <c r="AU180">
        <v>200</v>
      </c>
      <c r="AV180">
        <v>200</v>
      </c>
      <c r="AW180">
        <v>200</v>
      </c>
      <c r="AX180">
        <v>200</v>
      </c>
    </row>
    <row r="181" spans="1:50" x14ac:dyDescent="0.3">
      <c r="C181" t="s">
        <v>289</v>
      </c>
      <c r="D181" t="s">
        <v>289</v>
      </c>
      <c r="E181" t="s">
        <v>289</v>
      </c>
      <c r="F181" t="s">
        <v>289</v>
      </c>
      <c r="G181" t="s">
        <v>289</v>
      </c>
      <c r="H181" t="s">
        <v>289</v>
      </c>
      <c r="I181" t="s">
        <v>289</v>
      </c>
      <c r="J181" t="s">
        <v>289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 t="s">
        <v>289</v>
      </c>
      <c r="T181" t="s">
        <v>289</v>
      </c>
      <c r="U181" t="s">
        <v>289</v>
      </c>
      <c r="V181" t="s">
        <v>289</v>
      </c>
      <c r="W181" t="s">
        <v>289</v>
      </c>
      <c r="X181" t="s">
        <v>289</v>
      </c>
      <c r="Y181" t="s">
        <v>289</v>
      </c>
      <c r="Z181" t="s">
        <v>289</v>
      </c>
      <c r="AA181" t="s">
        <v>289</v>
      </c>
      <c r="AB181" t="s">
        <v>289</v>
      </c>
      <c r="AC181" t="s">
        <v>289</v>
      </c>
      <c r="AD181" t="s">
        <v>289</v>
      </c>
      <c r="AE181" t="s">
        <v>289</v>
      </c>
      <c r="AF181" t="s">
        <v>289</v>
      </c>
      <c r="AG181" t="s">
        <v>289</v>
      </c>
      <c r="AH181" t="s">
        <v>289</v>
      </c>
      <c r="AI181" t="s">
        <v>289</v>
      </c>
      <c r="AJ181" t="s">
        <v>289</v>
      </c>
      <c r="AK181" t="s">
        <v>289</v>
      </c>
      <c r="AL181" t="s">
        <v>289</v>
      </c>
      <c r="AM181" t="s">
        <v>289</v>
      </c>
      <c r="AN181" t="s">
        <v>289</v>
      </c>
      <c r="AO181" t="s">
        <v>289</v>
      </c>
      <c r="AP181" t="s">
        <v>289</v>
      </c>
      <c r="AQ181" t="s">
        <v>289</v>
      </c>
      <c r="AR181" t="s">
        <v>289</v>
      </c>
      <c r="AS181" t="s">
        <v>289</v>
      </c>
      <c r="AT181" t="s">
        <v>289</v>
      </c>
      <c r="AU181" t="s">
        <v>289</v>
      </c>
      <c r="AV181" t="s">
        <v>289</v>
      </c>
      <c r="AW181" t="s">
        <v>289</v>
      </c>
      <c r="AX181" t="s">
        <v>289</v>
      </c>
    </row>
    <row r="183" spans="1:50" x14ac:dyDescent="0.3">
      <c r="A183" t="s">
        <v>353</v>
      </c>
      <c r="B183">
        <v>54.560989999999997</v>
      </c>
      <c r="C183">
        <v>33</v>
      </c>
      <c r="D183">
        <v>33</v>
      </c>
      <c r="E183">
        <v>33</v>
      </c>
      <c r="F183">
        <v>33</v>
      </c>
      <c r="G183">
        <v>33</v>
      </c>
      <c r="H183">
        <v>33</v>
      </c>
      <c r="I183">
        <v>33</v>
      </c>
      <c r="J183">
        <v>33</v>
      </c>
      <c r="K183">
        <v>33</v>
      </c>
      <c r="L183">
        <v>33</v>
      </c>
      <c r="M183">
        <v>33</v>
      </c>
      <c r="N183">
        <v>33</v>
      </c>
      <c r="O183">
        <v>33</v>
      </c>
      <c r="P183">
        <v>33</v>
      </c>
      <c r="Q183">
        <v>33</v>
      </c>
      <c r="R183">
        <v>33</v>
      </c>
      <c r="S183">
        <v>33</v>
      </c>
      <c r="T183">
        <v>33</v>
      </c>
      <c r="U183">
        <v>33</v>
      </c>
      <c r="V183">
        <v>33</v>
      </c>
      <c r="W183">
        <v>33</v>
      </c>
      <c r="X183">
        <v>33</v>
      </c>
      <c r="Y183">
        <v>33</v>
      </c>
      <c r="Z183">
        <v>33</v>
      </c>
      <c r="AA183">
        <v>33</v>
      </c>
      <c r="AB183">
        <v>33</v>
      </c>
      <c r="AC183">
        <v>33</v>
      </c>
      <c r="AD183">
        <v>33</v>
      </c>
      <c r="AE183">
        <v>33</v>
      </c>
      <c r="AF183">
        <v>33</v>
      </c>
      <c r="AG183">
        <v>33</v>
      </c>
      <c r="AH183">
        <v>33</v>
      </c>
      <c r="AI183">
        <v>33</v>
      </c>
      <c r="AJ183">
        <v>33</v>
      </c>
      <c r="AK183">
        <v>33</v>
      </c>
      <c r="AL183">
        <v>33</v>
      </c>
      <c r="AM183">
        <v>33</v>
      </c>
      <c r="AN183">
        <v>33</v>
      </c>
      <c r="AO183">
        <v>33</v>
      </c>
      <c r="AP183">
        <v>33</v>
      </c>
      <c r="AQ183">
        <v>33</v>
      </c>
      <c r="AR183">
        <v>33</v>
      </c>
      <c r="AS183">
        <v>33</v>
      </c>
      <c r="AT183">
        <v>33</v>
      </c>
      <c r="AU183">
        <v>33</v>
      </c>
      <c r="AV183">
        <v>33</v>
      </c>
      <c r="AW183">
        <v>33</v>
      </c>
      <c r="AX183">
        <v>33</v>
      </c>
    </row>
    <row r="185" spans="1:50" x14ac:dyDescent="0.3">
      <c r="A185" t="s">
        <v>87</v>
      </c>
      <c r="B185">
        <v>281</v>
      </c>
      <c r="C185">
        <v>184.4</v>
      </c>
      <c r="D185">
        <v>274.39999999999998</v>
      </c>
      <c r="E185">
        <v>274.39999999999998</v>
      </c>
      <c r="F185">
        <v>274.39999999999998</v>
      </c>
      <c r="G185">
        <v>274.39999999999998</v>
      </c>
      <c r="H185">
        <v>274.39999999999998</v>
      </c>
      <c r="I185">
        <v>274.39999999999998</v>
      </c>
      <c r="J185">
        <v>274.39999999999998</v>
      </c>
      <c r="K185">
        <v>274.39999999999998</v>
      </c>
      <c r="L185">
        <v>274.39999999999998</v>
      </c>
      <c r="M185">
        <v>274.39999999999998</v>
      </c>
      <c r="N185">
        <v>231</v>
      </c>
      <c r="O185">
        <v>141</v>
      </c>
      <c r="P185">
        <v>184.4</v>
      </c>
      <c r="Q185">
        <v>274.39999999999998</v>
      </c>
      <c r="R185">
        <v>274.39999999999998</v>
      </c>
      <c r="S185">
        <v>274.39999999999998</v>
      </c>
      <c r="T185">
        <v>274.39999999999998</v>
      </c>
      <c r="U185">
        <v>274.39999999999998</v>
      </c>
      <c r="V185">
        <v>274.39999999999998</v>
      </c>
      <c r="W185">
        <v>274.39999999999998</v>
      </c>
      <c r="X185">
        <v>274.39999999999998</v>
      </c>
      <c r="Y185">
        <v>274.39999999999998</v>
      </c>
      <c r="Z185">
        <v>274.39999999999998</v>
      </c>
      <c r="AA185">
        <v>274.39999999999998</v>
      </c>
      <c r="AB185">
        <v>274.39999999999998</v>
      </c>
      <c r="AC185">
        <v>274.39999999999998</v>
      </c>
      <c r="AD185">
        <v>274.39999999999998</v>
      </c>
      <c r="AE185">
        <v>274.39999999999998</v>
      </c>
      <c r="AF185">
        <v>274.39999999999998</v>
      </c>
      <c r="AG185">
        <v>274.39999999999998</v>
      </c>
      <c r="AH185">
        <v>274.39999999999998</v>
      </c>
      <c r="AI185">
        <v>274.39999999999998</v>
      </c>
      <c r="AJ185">
        <v>274.39999999999998</v>
      </c>
      <c r="AK185">
        <v>274.39999999999998</v>
      </c>
      <c r="AL185">
        <v>274.39999999999998</v>
      </c>
      <c r="AM185">
        <v>274.39999999999998</v>
      </c>
      <c r="AN185">
        <v>274.39999999999998</v>
      </c>
      <c r="AO185">
        <v>274.39999999999998</v>
      </c>
      <c r="AP185">
        <v>274.39999999999998</v>
      </c>
      <c r="AQ185">
        <v>274.39999999999998</v>
      </c>
      <c r="AR185">
        <v>274.39999999999998</v>
      </c>
      <c r="AS185">
        <v>274.39999999999998</v>
      </c>
      <c r="AT185">
        <v>274.39999999999998</v>
      </c>
      <c r="AU185">
        <v>274.39999999999998</v>
      </c>
      <c r="AV185">
        <v>274.39999999999998</v>
      </c>
      <c r="AW185">
        <v>274.39999999999998</v>
      </c>
      <c r="AX185">
        <v>274.39999999999998</v>
      </c>
    </row>
    <row r="186" spans="1:50" x14ac:dyDescent="0.3">
      <c r="A186" t="s">
        <v>88</v>
      </c>
      <c r="B186">
        <v>281</v>
      </c>
      <c r="C186">
        <v>184.4</v>
      </c>
      <c r="D186">
        <v>274.39999999999998</v>
      </c>
      <c r="E186">
        <v>274.39999999999998</v>
      </c>
      <c r="F186">
        <v>274.39999999999998</v>
      </c>
      <c r="G186">
        <v>274.39999999999998</v>
      </c>
      <c r="H186">
        <v>274.39999999999998</v>
      </c>
      <c r="I186">
        <v>274.39999999999998</v>
      </c>
      <c r="J186">
        <v>274.39999999999998</v>
      </c>
      <c r="K186">
        <v>274.39999999999998</v>
      </c>
      <c r="L186">
        <v>274.39999999999998</v>
      </c>
      <c r="M186">
        <v>274.39999999999998</v>
      </c>
      <c r="N186">
        <v>227.05</v>
      </c>
      <c r="O186">
        <v>141</v>
      </c>
      <c r="P186">
        <v>184.4</v>
      </c>
      <c r="Q186">
        <v>274.39999999999998</v>
      </c>
      <c r="R186">
        <v>274.39999999999998</v>
      </c>
      <c r="S186">
        <v>274.39999999999998</v>
      </c>
      <c r="T186">
        <v>274.39999999999998</v>
      </c>
      <c r="U186">
        <v>274.39999999999998</v>
      </c>
      <c r="V186">
        <v>274.39999999999998</v>
      </c>
      <c r="W186">
        <v>274.39999999999998</v>
      </c>
      <c r="X186">
        <v>274.39999999999998</v>
      </c>
      <c r="Y186">
        <v>274.39999999999998</v>
      </c>
      <c r="Z186">
        <v>274.39999999999998</v>
      </c>
      <c r="AA186">
        <v>274.39999999999998</v>
      </c>
      <c r="AB186">
        <v>274.39999999999998</v>
      </c>
      <c r="AC186">
        <v>274.39999999999998</v>
      </c>
      <c r="AD186">
        <v>274.39999999999998</v>
      </c>
      <c r="AE186">
        <v>274.39999999999998</v>
      </c>
      <c r="AF186">
        <v>274.39999999999998</v>
      </c>
      <c r="AG186">
        <v>274.39999999999998</v>
      </c>
      <c r="AH186">
        <v>274.39999999999998</v>
      </c>
      <c r="AI186">
        <v>274.39999999999998</v>
      </c>
      <c r="AJ186">
        <v>274.39999999999998</v>
      </c>
      <c r="AK186">
        <v>274.39999999999998</v>
      </c>
      <c r="AL186">
        <v>274.39999999999998</v>
      </c>
      <c r="AM186">
        <v>274.39999999999998</v>
      </c>
      <c r="AN186">
        <v>274.39999999999998</v>
      </c>
      <c r="AO186">
        <v>274.39999999999998</v>
      </c>
      <c r="AP186">
        <v>274.39999999999998</v>
      </c>
      <c r="AQ186">
        <v>274.39999999999998</v>
      </c>
      <c r="AR186">
        <v>274.39999999999998</v>
      </c>
      <c r="AS186">
        <v>274.39999999999998</v>
      </c>
      <c r="AT186">
        <v>274.39999999999998</v>
      </c>
      <c r="AU186">
        <v>274.39999999999998</v>
      </c>
      <c r="AV186">
        <v>274.39999999999998</v>
      </c>
      <c r="AW186">
        <v>274.39999999999998</v>
      </c>
      <c r="AX186">
        <v>274.39999999999998</v>
      </c>
    </row>
    <row r="187" spans="1:50" x14ac:dyDescent="0.3">
      <c r="A187" t="s">
        <v>65</v>
      </c>
      <c r="B187">
        <v>614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3">
      <c r="A188" t="s">
        <v>25</v>
      </c>
      <c r="B188">
        <v>945</v>
      </c>
      <c r="C188">
        <v>500</v>
      </c>
      <c r="D188">
        <v>500</v>
      </c>
      <c r="E188">
        <v>500</v>
      </c>
      <c r="F188">
        <v>500</v>
      </c>
      <c r="G188">
        <v>500</v>
      </c>
      <c r="H188">
        <v>500</v>
      </c>
      <c r="I188">
        <v>500</v>
      </c>
      <c r="J188">
        <v>500</v>
      </c>
      <c r="K188">
        <v>500</v>
      </c>
      <c r="L188">
        <v>500</v>
      </c>
      <c r="M188">
        <v>500</v>
      </c>
      <c r="N188">
        <v>500</v>
      </c>
      <c r="O188">
        <v>500</v>
      </c>
      <c r="P188">
        <v>500</v>
      </c>
      <c r="Q188">
        <v>500</v>
      </c>
      <c r="R188">
        <v>500</v>
      </c>
      <c r="S188">
        <v>500</v>
      </c>
      <c r="T188">
        <v>500</v>
      </c>
      <c r="U188">
        <v>500</v>
      </c>
      <c r="V188">
        <v>500</v>
      </c>
      <c r="W188">
        <v>500</v>
      </c>
      <c r="X188">
        <v>500</v>
      </c>
      <c r="Y188">
        <v>500</v>
      </c>
      <c r="Z188">
        <v>500</v>
      </c>
      <c r="AA188">
        <v>500</v>
      </c>
      <c r="AB188">
        <v>500</v>
      </c>
      <c r="AC188">
        <v>500</v>
      </c>
      <c r="AD188">
        <v>500</v>
      </c>
      <c r="AE188">
        <v>500</v>
      </c>
      <c r="AF188">
        <v>500</v>
      </c>
      <c r="AG188">
        <v>500</v>
      </c>
      <c r="AH188">
        <v>500</v>
      </c>
      <c r="AI188">
        <v>500</v>
      </c>
      <c r="AJ188">
        <v>500</v>
      </c>
      <c r="AK188">
        <v>500</v>
      </c>
      <c r="AL188">
        <v>500</v>
      </c>
      <c r="AM188">
        <v>500</v>
      </c>
      <c r="AN188">
        <v>500</v>
      </c>
      <c r="AO188">
        <v>500</v>
      </c>
      <c r="AP188">
        <v>500</v>
      </c>
      <c r="AQ188">
        <v>500</v>
      </c>
      <c r="AR188">
        <v>500</v>
      </c>
      <c r="AS188">
        <v>500</v>
      </c>
      <c r="AT188">
        <v>500</v>
      </c>
      <c r="AU188">
        <v>500</v>
      </c>
      <c r="AV188">
        <v>500</v>
      </c>
      <c r="AW188">
        <v>500</v>
      </c>
      <c r="AX188">
        <v>500</v>
      </c>
    </row>
    <row r="190" spans="1:50" x14ac:dyDescent="0.3">
      <c r="A190" t="s">
        <v>38</v>
      </c>
      <c r="B190">
        <v>950</v>
      </c>
      <c r="C190">
        <v>880</v>
      </c>
      <c r="D190">
        <v>850</v>
      </c>
      <c r="E190">
        <v>850</v>
      </c>
      <c r="F190">
        <v>850</v>
      </c>
      <c r="G190">
        <v>850</v>
      </c>
      <c r="H190">
        <v>850</v>
      </c>
      <c r="I190">
        <v>850</v>
      </c>
      <c r="J190">
        <v>850</v>
      </c>
      <c r="K190">
        <v>900</v>
      </c>
      <c r="L190">
        <v>930</v>
      </c>
      <c r="M190">
        <v>930</v>
      </c>
      <c r="N190">
        <v>930</v>
      </c>
      <c r="O190">
        <v>930</v>
      </c>
      <c r="P190">
        <v>930</v>
      </c>
      <c r="Q190">
        <v>930</v>
      </c>
      <c r="R190">
        <v>930</v>
      </c>
      <c r="S190">
        <v>930</v>
      </c>
      <c r="T190">
        <v>930</v>
      </c>
      <c r="U190">
        <v>930</v>
      </c>
      <c r="V190">
        <v>930</v>
      </c>
      <c r="W190">
        <v>930</v>
      </c>
      <c r="X190">
        <v>930</v>
      </c>
      <c r="Y190">
        <v>930</v>
      </c>
      <c r="Z190">
        <v>930</v>
      </c>
      <c r="AA190">
        <v>931</v>
      </c>
      <c r="AB190">
        <v>931</v>
      </c>
      <c r="AC190">
        <v>931</v>
      </c>
      <c r="AD190">
        <v>931</v>
      </c>
      <c r="AE190">
        <v>931</v>
      </c>
      <c r="AF190">
        <v>931</v>
      </c>
      <c r="AG190">
        <v>931</v>
      </c>
      <c r="AH190">
        <v>931</v>
      </c>
      <c r="AI190">
        <v>931</v>
      </c>
      <c r="AJ190">
        <v>931</v>
      </c>
      <c r="AK190">
        <v>931</v>
      </c>
      <c r="AL190">
        <v>931</v>
      </c>
      <c r="AM190">
        <v>931</v>
      </c>
      <c r="AN190">
        <v>931</v>
      </c>
      <c r="AO190">
        <v>931</v>
      </c>
      <c r="AP190">
        <v>931</v>
      </c>
      <c r="AQ190">
        <v>931</v>
      </c>
      <c r="AR190">
        <v>931</v>
      </c>
      <c r="AS190">
        <v>931</v>
      </c>
      <c r="AT190">
        <v>931</v>
      </c>
      <c r="AU190">
        <v>931</v>
      </c>
      <c r="AV190">
        <v>931</v>
      </c>
      <c r="AW190">
        <v>931</v>
      </c>
      <c r="AX190">
        <v>931</v>
      </c>
    </row>
    <row r="191" spans="1:50" x14ac:dyDescent="0.3">
      <c r="A191" t="s">
        <v>39</v>
      </c>
      <c r="B191">
        <v>950</v>
      </c>
      <c r="C191">
        <v>880</v>
      </c>
      <c r="D191">
        <v>850</v>
      </c>
      <c r="E191">
        <v>850</v>
      </c>
      <c r="F191">
        <v>850</v>
      </c>
      <c r="G191">
        <v>850</v>
      </c>
      <c r="H191">
        <v>850</v>
      </c>
      <c r="I191">
        <v>850</v>
      </c>
      <c r="J191">
        <v>850</v>
      </c>
      <c r="K191">
        <v>900</v>
      </c>
      <c r="L191">
        <v>930</v>
      </c>
      <c r="M191">
        <v>930</v>
      </c>
      <c r="N191">
        <v>930</v>
      </c>
      <c r="O191">
        <v>930</v>
      </c>
      <c r="P191">
        <v>930</v>
      </c>
      <c r="Q191">
        <v>930</v>
      </c>
      <c r="R191">
        <v>930</v>
      </c>
      <c r="S191">
        <v>930</v>
      </c>
      <c r="T191">
        <v>930</v>
      </c>
      <c r="U191">
        <v>930</v>
      </c>
      <c r="V191">
        <v>930</v>
      </c>
      <c r="W191">
        <v>930</v>
      </c>
      <c r="X191">
        <v>930</v>
      </c>
      <c r="Y191">
        <v>930</v>
      </c>
      <c r="Z191">
        <v>930</v>
      </c>
      <c r="AA191">
        <v>931</v>
      </c>
      <c r="AB191">
        <v>931</v>
      </c>
      <c r="AC191">
        <v>931</v>
      </c>
      <c r="AD191">
        <v>931</v>
      </c>
      <c r="AE191">
        <v>931</v>
      </c>
      <c r="AF191">
        <v>931</v>
      </c>
      <c r="AG191">
        <v>931</v>
      </c>
      <c r="AH191">
        <v>931</v>
      </c>
      <c r="AI191">
        <v>931</v>
      </c>
      <c r="AJ191">
        <v>931</v>
      </c>
      <c r="AK191">
        <v>931</v>
      </c>
      <c r="AL191">
        <v>931</v>
      </c>
      <c r="AM191">
        <v>931</v>
      </c>
      <c r="AN191">
        <v>931</v>
      </c>
      <c r="AO191">
        <v>931</v>
      </c>
      <c r="AP191">
        <v>931</v>
      </c>
      <c r="AQ191">
        <v>931</v>
      </c>
      <c r="AR191">
        <v>931</v>
      </c>
      <c r="AS191">
        <v>931</v>
      </c>
      <c r="AT191">
        <v>931</v>
      </c>
      <c r="AU191">
        <v>931</v>
      </c>
      <c r="AV191">
        <v>931</v>
      </c>
      <c r="AW191">
        <v>931</v>
      </c>
      <c r="AX191">
        <v>931</v>
      </c>
    </row>
    <row r="193" spans="1:50" x14ac:dyDescent="0.3">
      <c r="A193" t="s">
        <v>32</v>
      </c>
      <c r="B193">
        <v>1000</v>
      </c>
      <c r="C193">
        <v>980</v>
      </c>
      <c r="D193">
        <v>980</v>
      </c>
      <c r="E193">
        <v>980</v>
      </c>
      <c r="F193">
        <v>980</v>
      </c>
      <c r="G193">
        <v>980</v>
      </c>
      <c r="H193">
        <v>980</v>
      </c>
      <c r="I193">
        <v>980</v>
      </c>
      <c r="J193">
        <v>980</v>
      </c>
      <c r="K193">
        <v>980</v>
      </c>
      <c r="L193">
        <v>980</v>
      </c>
      <c r="M193">
        <v>980</v>
      </c>
      <c r="N193">
        <v>980</v>
      </c>
      <c r="O193">
        <v>980</v>
      </c>
      <c r="P193">
        <v>980</v>
      </c>
      <c r="Q193">
        <v>980</v>
      </c>
      <c r="R193">
        <v>980</v>
      </c>
      <c r="S193">
        <v>980</v>
      </c>
      <c r="T193">
        <v>980</v>
      </c>
      <c r="U193">
        <v>980</v>
      </c>
      <c r="V193">
        <v>980</v>
      </c>
      <c r="W193">
        <v>980</v>
      </c>
      <c r="X193">
        <v>980</v>
      </c>
      <c r="Y193">
        <v>980</v>
      </c>
      <c r="Z193">
        <v>980</v>
      </c>
      <c r="AA193">
        <v>980</v>
      </c>
      <c r="AB193">
        <v>980</v>
      </c>
      <c r="AC193">
        <v>980</v>
      </c>
      <c r="AD193">
        <v>980</v>
      </c>
      <c r="AE193">
        <v>980</v>
      </c>
      <c r="AF193">
        <v>980</v>
      </c>
      <c r="AG193">
        <v>980</v>
      </c>
      <c r="AH193">
        <v>980</v>
      </c>
      <c r="AI193">
        <v>980</v>
      </c>
      <c r="AJ193">
        <v>980</v>
      </c>
      <c r="AK193">
        <v>980</v>
      </c>
      <c r="AL193">
        <v>980</v>
      </c>
      <c r="AM193">
        <v>980</v>
      </c>
      <c r="AN193">
        <v>980</v>
      </c>
      <c r="AO193">
        <v>980</v>
      </c>
      <c r="AP193">
        <v>980</v>
      </c>
      <c r="AQ193">
        <v>980</v>
      </c>
      <c r="AR193">
        <v>980</v>
      </c>
      <c r="AS193">
        <v>980</v>
      </c>
      <c r="AT193">
        <v>980</v>
      </c>
      <c r="AU193">
        <v>980</v>
      </c>
      <c r="AV193">
        <v>980</v>
      </c>
      <c r="AW193">
        <v>980</v>
      </c>
      <c r="AX193">
        <v>980</v>
      </c>
    </row>
    <row r="194" spans="1:50" x14ac:dyDescent="0.3">
      <c r="A194" t="s">
        <v>34</v>
      </c>
      <c r="B194">
        <v>1000</v>
      </c>
      <c r="C194">
        <v>980</v>
      </c>
      <c r="D194">
        <v>980</v>
      </c>
      <c r="E194">
        <v>980</v>
      </c>
      <c r="F194">
        <v>980</v>
      </c>
      <c r="G194">
        <v>980</v>
      </c>
      <c r="H194">
        <v>980</v>
      </c>
      <c r="I194">
        <v>980</v>
      </c>
      <c r="J194">
        <v>980</v>
      </c>
      <c r="K194">
        <v>980</v>
      </c>
      <c r="L194">
        <v>980</v>
      </c>
      <c r="M194">
        <v>980</v>
      </c>
      <c r="N194">
        <v>980</v>
      </c>
      <c r="O194">
        <v>980</v>
      </c>
      <c r="P194">
        <v>980</v>
      </c>
      <c r="Q194">
        <v>980</v>
      </c>
      <c r="R194">
        <v>980</v>
      </c>
      <c r="S194">
        <v>980</v>
      </c>
      <c r="T194">
        <v>980</v>
      </c>
      <c r="U194">
        <v>980</v>
      </c>
      <c r="V194">
        <v>980</v>
      </c>
      <c r="W194">
        <v>980</v>
      </c>
      <c r="X194">
        <v>980</v>
      </c>
      <c r="Y194">
        <v>980</v>
      </c>
      <c r="Z194">
        <v>980</v>
      </c>
      <c r="AA194">
        <v>980</v>
      </c>
      <c r="AB194">
        <v>980</v>
      </c>
      <c r="AC194">
        <v>980</v>
      </c>
      <c r="AD194">
        <v>980</v>
      </c>
      <c r="AE194">
        <v>980</v>
      </c>
      <c r="AF194">
        <v>980</v>
      </c>
      <c r="AG194">
        <v>980</v>
      </c>
      <c r="AH194">
        <v>980</v>
      </c>
      <c r="AI194">
        <v>980</v>
      </c>
      <c r="AJ194">
        <v>980</v>
      </c>
      <c r="AK194">
        <v>980</v>
      </c>
      <c r="AL194">
        <v>980</v>
      </c>
      <c r="AM194">
        <v>980</v>
      </c>
      <c r="AN194">
        <v>980</v>
      </c>
      <c r="AO194">
        <v>980</v>
      </c>
      <c r="AP194">
        <v>980</v>
      </c>
      <c r="AQ194">
        <v>980</v>
      </c>
      <c r="AR194">
        <v>980</v>
      </c>
      <c r="AS194">
        <v>980</v>
      </c>
      <c r="AT194">
        <v>980</v>
      </c>
      <c r="AU194">
        <v>980</v>
      </c>
      <c r="AV194">
        <v>980</v>
      </c>
      <c r="AW194">
        <v>980</v>
      </c>
      <c r="AX194">
        <v>980</v>
      </c>
    </row>
    <row r="195" spans="1:50" x14ac:dyDescent="0.3">
      <c r="C195" t="s">
        <v>354</v>
      </c>
      <c r="D195" t="s">
        <v>354</v>
      </c>
      <c r="E195" t="s">
        <v>354</v>
      </c>
      <c r="F195" t="s">
        <v>354</v>
      </c>
      <c r="G195" t="s">
        <v>354</v>
      </c>
      <c r="H195" t="s">
        <v>354</v>
      </c>
      <c r="I195" t="s">
        <v>354</v>
      </c>
      <c r="J195" t="s">
        <v>354</v>
      </c>
      <c r="K195" t="s">
        <v>354</v>
      </c>
      <c r="L195" t="s">
        <v>354</v>
      </c>
      <c r="M195" t="s">
        <v>354</v>
      </c>
      <c r="N195" t="s">
        <v>354</v>
      </c>
      <c r="O195" t="s">
        <v>354</v>
      </c>
      <c r="P195" t="s">
        <v>354</v>
      </c>
      <c r="Q195" t="s">
        <v>354</v>
      </c>
      <c r="R195" t="s">
        <v>354</v>
      </c>
      <c r="S195" t="s">
        <v>354</v>
      </c>
      <c r="T195" t="s">
        <v>354</v>
      </c>
      <c r="U195" t="s">
        <v>354</v>
      </c>
      <c r="V195" t="s">
        <v>354</v>
      </c>
      <c r="W195" t="s">
        <v>354</v>
      </c>
      <c r="X195" t="s">
        <v>354</v>
      </c>
      <c r="Y195" t="s">
        <v>354</v>
      </c>
      <c r="Z195" t="s">
        <v>354</v>
      </c>
      <c r="AA195" t="s">
        <v>354</v>
      </c>
      <c r="AB195" t="s">
        <v>354</v>
      </c>
      <c r="AC195" t="s">
        <v>354</v>
      </c>
      <c r="AD195" t="s">
        <v>354</v>
      </c>
      <c r="AE195" t="s">
        <v>354</v>
      </c>
      <c r="AF195" t="s">
        <v>354</v>
      </c>
      <c r="AG195" t="s">
        <v>354</v>
      </c>
      <c r="AH195" t="s">
        <v>354</v>
      </c>
      <c r="AI195" t="s">
        <v>354</v>
      </c>
      <c r="AJ195" t="s">
        <v>354</v>
      </c>
      <c r="AK195" t="s">
        <v>354</v>
      </c>
      <c r="AL195" t="s">
        <v>354</v>
      </c>
      <c r="AM195" t="s">
        <v>354</v>
      </c>
      <c r="AN195" t="s">
        <v>354</v>
      </c>
      <c r="AO195" t="s">
        <v>354</v>
      </c>
      <c r="AP195" t="s">
        <v>354</v>
      </c>
      <c r="AQ195" t="s">
        <v>354</v>
      </c>
      <c r="AR195" t="s">
        <v>354</v>
      </c>
      <c r="AS195" t="s">
        <v>354</v>
      </c>
      <c r="AT195" t="s">
        <v>354</v>
      </c>
      <c r="AU195" t="s">
        <v>354</v>
      </c>
      <c r="AV195" t="s">
        <v>354</v>
      </c>
      <c r="AW195" t="s">
        <v>354</v>
      </c>
      <c r="AX195" t="s">
        <v>354</v>
      </c>
    </row>
    <row r="197" spans="1:50" x14ac:dyDescent="0.3">
      <c r="A197" t="s">
        <v>52</v>
      </c>
      <c r="B197">
        <v>660.8</v>
      </c>
      <c r="C197">
        <v>500</v>
      </c>
      <c r="D197">
        <v>500</v>
      </c>
      <c r="E197">
        <v>500</v>
      </c>
      <c r="F197">
        <v>500</v>
      </c>
      <c r="G197">
        <v>500</v>
      </c>
      <c r="H197">
        <v>500</v>
      </c>
      <c r="I197">
        <v>500</v>
      </c>
      <c r="J197">
        <v>500</v>
      </c>
      <c r="K197">
        <v>530</v>
      </c>
      <c r="L197">
        <v>570</v>
      </c>
      <c r="M197">
        <v>600</v>
      </c>
      <c r="N197">
        <v>600</v>
      </c>
      <c r="O197">
        <v>600</v>
      </c>
      <c r="P197">
        <v>600</v>
      </c>
      <c r="Q197">
        <v>620</v>
      </c>
      <c r="R197">
        <v>647.58000000000004</v>
      </c>
      <c r="S197">
        <v>647.58000000000004</v>
      </c>
      <c r="T197">
        <v>647.58000000000004</v>
      </c>
      <c r="U197">
        <v>647.58000000000004</v>
      </c>
      <c r="V197">
        <v>647.58000000000004</v>
      </c>
      <c r="W197">
        <v>647.58000000000004</v>
      </c>
      <c r="X197">
        <v>647.58000000000004</v>
      </c>
      <c r="Y197">
        <v>647.58000000000004</v>
      </c>
      <c r="Z197">
        <v>647.58000000000004</v>
      </c>
      <c r="AA197">
        <v>647.58000000000004</v>
      </c>
      <c r="AB197">
        <v>647.58000000000004</v>
      </c>
      <c r="AC197">
        <v>647.58000000000004</v>
      </c>
      <c r="AD197">
        <v>647.58000000000004</v>
      </c>
      <c r="AE197">
        <v>647.58000000000004</v>
      </c>
      <c r="AF197">
        <v>647.58000000000004</v>
      </c>
      <c r="AG197">
        <v>647.58000000000004</v>
      </c>
      <c r="AH197">
        <v>647.58000000000004</v>
      </c>
      <c r="AI197">
        <v>647.58000000000004</v>
      </c>
      <c r="AJ197">
        <v>647.58000000000004</v>
      </c>
      <c r="AK197">
        <v>647.58000000000004</v>
      </c>
      <c r="AL197">
        <v>647.58000000000004</v>
      </c>
      <c r="AM197">
        <v>647.58000000000004</v>
      </c>
      <c r="AN197">
        <v>647.58000000000004</v>
      </c>
      <c r="AO197">
        <v>647.58000000000004</v>
      </c>
      <c r="AP197">
        <v>647.58000000000004</v>
      </c>
      <c r="AQ197">
        <v>647.58000000000004</v>
      </c>
      <c r="AR197">
        <v>647.58000000000004</v>
      </c>
      <c r="AS197">
        <v>647.58000000000004</v>
      </c>
      <c r="AT197">
        <v>647.58000000000004</v>
      </c>
      <c r="AU197">
        <v>647.58000000000004</v>
      </c>
      <c r="AV197">
        <v>647.58000000000004</v>
      </c>
      <c r="AW197">
        <v>647.58000000000004</v>
      </c>
      <c r="AX197">
        <v>647.58000000000004</v>
      </c>
    </row>
    <row r="198" spans="1:50" x14ac:dyDescent="0.3">
      <c r="A198" t="s">
        <v>53</v>
      </c>
      <c r="B198">
        <v>660.8</v>
      </c>
      <c r="C198">
        <v>500</v>
      </c>
      <c r="D198">
        <v>500</v>
      </c>
      <c r="E198">
        <v>500</v>
      </c>
      <c r="F198">
        <v>500</v>
      </c>
      <c r="G198">
        <v>500</v>
      </c>
      <c r="H198">
        <v>500</v>
      </c>
      <c r="I198">
        <v>500</v>
      </c>
      <c r="J198">
        <v>500</v>
      </c>
      <c r="K198">
        <v>530</v>
      </c>
      <c r="L198">
        <v>570</v>
      </c>
      <c r="M198">
        <v>600</v>
      </c>
      <c r="N198">
        <v>600</v>
      </c>
      <c r="O198">
        <v>600</v>
      </c>
      <c r="P198">
        <v>600</v>
      </c>
      <c r="Q198">
        <v>620</v>
      </c>
      <c r="R198">
        <v>647.58000000000004</v>
      </c>
      <c r="S198">
        <v>647.58000000000004</v>
      </c>
      <c r="T198">
        <v>647.58000000000004</v>
      </c>
      <c r="U198">
        <v>647.58000000000004</v>
      </c>
      <c r="V198">
        <v>647.58000000000004</v>
      </c>
      <c r="W198">
        <v>647.58000000000004</v>
      </c>
      <c r="X198">
        <v>647.58000000000004</v>
      </c>
      <c r="Y198">
        <v>647.58000000000004</v>
      </c>
      <c r="Z198">
        <v>647.58000000000004</v>
      </c>
      <c r="AA198">
        <v>647.58000000000004</v>
      </c>
      <c r="AB198">
        <v>647.58000000000004</v>
      </c>
      <c r="AC198">
        <v>647.58000000000004</v>
      </c>
      <c r="AD198">
        <v>647.58000000000004</v>
      </c>
      <c r="AE198">
        <v>647.58000000000004</v>
      </c>
      <c r="AF198">
        <v>647.58000000000004</v>
      </c>
      <c r="AG198">
        <v>647.58000000000004</v>
      </c>
      <c r="AH198">
        <v>647.58000000000004</v>
      </c>
      <c r="AI198">
        <v>647.58000000000004</v>
      </c>
      <c r="AJ198">
        <v>647.58000000000004</v>
      </c>
      <c r="AK198">
        <v>647.58000000000004</v>
      </c>
      <c r="AL198">
        <v>647.58000000000004</v>
      </c>
      <c r="AM198">
        <v>647.58000000000004</v>
      </c>
      <c r="AN198">
        <v>647.58000000000004</v>
      </c>
      <c r="AO198">
        <v>647.58000000000004</v>
      </c>
      <c r="AP198">
        <v>647.58000000000004</v>
      </c>
      <c r="AQ198">
        <v>647.58000000000004</v>
      </c>
      <c r="AR198">
        <v>647.58000000000004</v>
      </c>
      <c r="AS198">
        <v>647.58000000000004</v>
      </c>
      <c r="AT198">
        <v>647.58000000000004</v>
      </c>
      <c r="AU198">
        <v>647.58000000000004</v>
      </c>
      <c r="AV198">
        <v>647.58000000000004</v>
      </c>
      <c r="AW198">
        <v>647.58000000000004</v>
      </c>
      <c r="AX198">
        <v>647.58000000000004</v>
      </c>
    </row>
    <row r="199" spans="1:50" x14ac:dyDescent="0.3">
      <c r="A199" t="s">
        <v>28</v>
      </c>
      <c r="B199">
        <v>661.1</v>
      </c>
      <c r="C199">
        <v>510</v>
      </c>
      <c r="D199">
        <v>500</v>
      </c>
      <c r="E199">
        <v>500</v>
      </c>
      <c r="F199">
        <v>500</v>
      </c>
      <c r="G199">
        <v>500</v>
      </c>
      <c r="H199">
        <v>500</v>
      </c>
      <c r="I199">
        <v>500</v>
      </c>
      <c r="J199">
        <v>500</v>
      </c>
      <c r="K199">
        <v>530</v>
      </c>
      <c r="L199">
        <v>550</v>
      </c>
      <c r="M199">
        <v>600</v>
      </c>
      <c r="N199">
        <v>600</v>
      </c>
      <c r="O199">
        <v>600</v>
      </c>
      <c r="P199">
        <v>600</v>
      </c>
      <c r="Q199">
        <v>620</v>
      </c>
      <c r="R199">
        <v>647.79999999999995</v>
      </c>
      <c r="S199">
        <v>647.79999999999995</v>
      </c>
      <c r="T199">
        <v>647.79999999999995</v>
      </c>
      <c r="U199">
        <v>647.79999999999995</v>
      </c>
      <c r="V199">
        <v>647.79999999999995</v>
      </c>
      <c r="W199">
        <v>647.79999999999995</v>
      </c>
      <c r="X199">
        <v>647.79999999999995</v>
      </c>
      <c r="Y199">
        <v>647.79999999999995</v>
      </c>
      <c r="Z199">
        <v>647.79999999999995</v>
      </c>
      <c r="AA199">
        <v>647.88</v>
      </c>
      <c r="AB199">
        <v>647.88</v>
      </c>
      <c r="AC199">
        <v>647.88</v>
      </c>
      <c r="AD199">
        <v>647.88</v>
      </c>
      <c r="AE199">
        <v>647.88</v>
      </c>
      <c r="AF199">
        <v>647.88</v>
      </c>
      <c r="AG199">
        <v>647.88</v>
      </c>
      <c r="AH199">
        <v>647.88</v>
      </c>
      <c r="AI199">
        <v>647.88</v>
      </c>
      <c r="AJ199">
        <v>647.88</v>
      </c>
      <c r="AK199">
        <v>647.88</v>
      </c>
      <c r="AL199">
        <v>647.88</v>
      </c>
      <c r="AM199">
        <v>647.88</v>
      </c>
      <c r="AN199">
        <v>647.88</v>
      </c>
      <c r="AO199">
        <v>647.88</v>
      </c>
      <c r="AP199">
        <v>647.88</v>
      </c>
      <c r="AQ199">
        <v>647.88</v>
      </c>
      <c r="AR199">
        <v>647.88</v>
      </c>
      <c r="AS199">
        <v>647.88</v>
      </c>
      <c r="AT199">
        <v>647.88</v>
      </c>
      <c r="AU199">
        <v>647.88</v>
      </c>
      <c r="AV199">
        <v>647.88</v>
      </c>
      <c r="AW199">
        <v>647.88</v>
      </c>
      <c r="AX199">
        <v>647.88</v>
      </c>
    </row>
    <row r="200" spans="1:50" x14ac:dyDescent="0.3">
      <c r="A200" t="s">
        <v>30</v>
      </c>
      <c r="B200">
        <v>661.1</v>
      </c>
      <c r="C200">
        <v>510</v>
      </c>
      <c r="D200">
        <v>500</v>
      </c>
      <c r="E200">
        <v>500</v>
      </c>
      <c r="F200">
        <v>500</v>
      </c>
      <c r="G200">
        <v>500</v>
      </c>
      <c r="H200">
        <v>500</v>
      </c>
      <c r="I200">
        <v>500</v>
      </c>
      <c r="J200">
        <v>500</v>
      </c>
      <c r="K200">
        <v>530</v>
      </c>
      <c r="L200">
        <v>550</v>
      </c>
      <c r="M200">
        <v>600</v>
      </c>
      <c r="N200">
        <v>600</v>
      </c>
      <c r="O200">
        <v>600</v>
      </c>
      <c r="P200">
        <v>600</v>
      </c>
      <c r="Q200">
        <v>620</v>
      </c>
      <c r="R200">
        <v>647.79999999999995</v>
      </c>
      <c r="S200">
        <v>647.79999999999995</v>
      </c>
      <c r="T200">
        <v>647.79999999999995</v>
      </c>
      <c r="U200">
        <v>647.79999999999995</v>
      </c>
      <c r="V200">
        <v>647.79999999999995</v>
      </c>
      <c r="W200">
        <v>647.79999999999995</v>
      </c>
      <c r="X200">
        <v>647.79999999999995</v>
      </c>
      <c r="Y200">
        <v>647.79999999999995</v>
      </c>
      <c r="Z200">
        <v>647.79999999999995</v>
      </c>
      <c r="AA200">
        <v>647.88</v>
      </c>
      <c r="AB200">
        <v>647.88</v>
      </c>
      <c r="AC200">
        <v>647.88</v>
      </c>
      <c r="AD200">
        <v>647.88</v>
      </c>
      <c r="AE200">
        <v>647.88</v>
      </c>
      <c r="AF200">
        <v>647.88</v>
      </c>
      <c r="AG200">
        <v>647.88</v>
      </c>
      <c r="AH200">
        <v>647.88</v>
      </c>
      <c r="AI200">
        <v>647.88</v>
      </c>
      <c r="AJ200">
        <v>647.88</v>
      </c>
      <c r="AK200">
        <v>647.88</v>
      </c>
      <c r="AL200">
        <v>647.88</v>
      </c>
      <c r="AM200">
        <v>647.88</v>
      </c>
      <c r="AN200">
        <v>647.88</v>
      </c>
      <c r="AO200">
        <v>647.88</v>
      </c>
      <c r="AP200">
        <v>647.88</v>
      </c>
      <c r="AQ200">
        <v>647.88</v>
      </c>
      <c r="AR200">
        <v>647.88</v>
      </c>
      <c r="AS200">
        <v>647.88</v>
      </c>
      <c r="AT200">
        <v>647.88</v>
      </c>
      <c r="AU200">
        <v>647.88</v>
      </c>
      <c r="AV200">
        <v>647.88</v>
      </c>
      <c r="AW200">
        <v>647.88</v>
      </c>
      <c r="AX200">
        <v>647.88</v>
      </c>
    </row>
    <row r="202" spans="1:50" x14ac:dyDescent="0.3">
      <c r="A202" t="s">
        <v>293</v>
      </c>
      <c r="C202">
        <v>7771.02</v>
      </c>
      <c r="D202">
        <v>7871.02</v>
      </c>
      <c r="E202">
        <v>7871.02</v>
      </c>
      <c r="F202">
        <v>7871.02</v>
      </c>
      <c r="G202">
        <v>7811.02</v>
      </c>
      <c r="H202">
        <v>7811.02</v>
      </c>
      <c r="I202">
        <v>7811.02</v>
      </c>
      <c r="J202">
        <v>7811.02</v>
      </c>
      <c r="K202">
        <v>8031.02</v>
      </c>
      <c r="L202">
        <v>8211.02</v>
      </c>
      <c r="M202">
        <v>8371.02</v>
      </c>
      <c r="N202">
        <v>8280.27</v>
      </c>
      <c r="O202">
        <v>8104.22</v>
      </c>
      <c r="P202">
        <v>8292.64</v>
      </c>
      <c r="Q202">
        <v>8552.64</v>
      </c>
      <c r="R202">
        <v>8831.01</v>
      </c>
      <c r="S202">
        <v>8831.01</v>
      </c>
      <c r="T202">
        <v>8889.08</v>
      </c>
      <c r="U202">
        <v>8889.08</v>
      </c>
      <c r="V202">
        <v>8990.69</v>
      </c>
      <c r="W202">
        <v>9048.76</v>
      </c>
      <c r="X202">
        <v>9048.76</v>
      </c>
      <c r="Y202">
        <v>9078.76</v>
      </c>
      <c r="Z202">
        <v>9006.17</v>
      </c>
      <c r="AA202">
        <v>9008.33</v>
      </c>
      <c r="AB202">
        <v>9222.91</v>
      </c>
      <c r="AC202">
        <v>9222.91</v>
      </c>
      <c r="AD202">
        <v>9192.91</v>
      </c>
      <c r="AE202">
        <v>9192.91</v>
      </c>
      <c r="AF202">
        <v>9192.91</v>
      </c>
      <c r="AG202">
        <v>9192.91</v>
      </c>
      <c r="AH202">
        <v>9082.8799999999992</v>
      </c>
      <c r="AI202">
        <v>9033.73</v>
      </c>
      <c r="AJ202">
        <v>9076.24</v>
      </c>
      <c r="AK202">
        <v>9112.8799999999992</v>
      </c>
      <c r="AL202">
        <v>9131.75</v>
      </c>
      <c r="AM202">
        <v>9112.8799999999992</v>
      </c>
      <c r="AN202">
        <v>9112.8799999999992</v>
      </c>
      <c r="AO202">
        <v>9112.8799999999992</v>
      </c>
      <c r="AP202">
        <v>8978.2000000000007</v>
      </c>
      <c r="AQ202">
        <v>8931.33</v>
      </c>
      <c r="AR202">
        <v>8931.33</v>
      </c>
      <c r="AS202">
        <v>8816.7199999999993</v>
      </c>
      <c r="AT202">
        <v>8715.1</v>
      </c>
      <c r="AU202">
        <v>8569.94</v>
      </c>
      <c r="AV202">
        <v>8569.94</v>
      </c>
      <c r="AW202">
        <v>8569.94</v>
      </c>
      <c r="AX202">
        <v>8569.94</v>
      </c>
    </row>
    <row r="203" spans="1:50" x14ac:dyDescent="0.3">
      <c r="A203" t="s">
        <v>294</v>
      </c>
      <c r="C203">
        <v>4016.86</v>
      </c>
      <c r="D203">
        <v>3947.98</v>
      </c>
      <c r="E203">
        <v>3917.71</v>
      </c>
      <c r="F203">
        <v>3884.43</v>
      </c>
      <c r="G203">
        <v>3851.49</v>
      </c>
      <c r="H203">
        <v>3838.38</v>
      </c>
      <c r="I203">
        <v>3840.29</v>
      </c>
      <c r="J203">
        <v>3876.54</v>
      </c>
      <c r="K203">
        <v>4038.88</v>
      </c>
      <c r="L203">
        <v>4244.68</v>
      </c>
      <c r="M203">
        <v>4407.25</v>
      </c>
      <c r="N203">
        <v>4316.66</v>
      </c>
      <c r="O203">
        <v>4164.84</v>
      </c>
      <c r="P203">
        <v>4188.79</v>
      </c>
      <c r="Q203">
        <v>4394.2700000000004</v>
      </c>
      <c r="R203">
        <v>4585.34</v>
      </c>
      <c r="S203">
        <v>4792.1099999999997</v>
      </c>
      <c r="T203">
        <v>4861.38</v>
      </c>
      <c r="U203">
        <v>4974.49</v>
      </c>
      <c r="V203">
        <v>5006.0600000000004</v>
      </c>
      <c r="W203">
        <v>5058.32</v>
      </c>
      <c r="X203">
        <v>5069.5600000000004</v>
      </c>
      <c r="Y203">
        <v>5013.42</v>
      </c>
      <c r="Z203">
        <v>4849.6000000000004</v>
      </c>
      <c r="AA203">
        <v>4890.33</v>
      </c>
      <c r="AB203">
        <v>5040.6499999999996</v>
      </c>
      <c r="AC203">
        <v>5225.95</v>
      </c>
      <c r="AD203">
        <v>5249.41</v>
      </c>
      <c r="AE203">
        <v>5246.04</v>
      </c>
      <c r="AF203">
        <v>5234.7299999999996</v>
      </c>
      <c r="AG203">
        <v>5229.62</v>
      </c>
      <c r="AH203">
        <v>5140.0600000000004</v>
      </c>
      <c r="AI203">
        <v>5092.4799999999996</v>
      </c>
      <c r="AJ203">
        <v>5128.66</v>
      </c>
      <c r="AK203">
        <v>5333.87</v>
      </c>
      <c r="AL203">
        <v>5728.55</v>
      </c>
      <c r="AM203">
        <v>5680.81</v>
      </c>
      <c r="AN203">
        <v>5635.28</v>
      </c>
      <c r="AO203">
        <v>5569.38</v>
      </c>
      <c r="AP203">
        <v>5525.59</v>
      </c>
      <c r="AQ203">
        <v>5436.33</v>
      </c>
      <c r="AR203">
        <v>5282</v>
      </c>
      <c r="AS203">
        <v>5123.8</v>
      </c>
      <c r="AT203">
        <v>4952.66</v>
      </c>
      <c r="AU203">
        <v>4805.8900000000003</v>
      </c>
      <c r="AV203">
        <v>4661.5600000000004</v>
      </c>
      <c r="AW203">
        <v>4539.21</v>
      </c>
      <c r="AX203">
        <v>4403.34</v>
      </c>
    </row>
    <row r="205" spans="1:50" x14ac:dyDescent="0.3">
      <c r="A205" t="s">
        <v>355</v>
      </c>
    </row>
    <row r="206" spans="1:50" x14ac:dyDescent="0.3">
      <c r="C206" t="s">
        <v>253</v>
      </c>
      <c r="D206" t="s">
        <v>253</v>
      </c>
      <c r="E206" t="s">
        <v>253</v>
      </c>
      <c r="F206" t="s">
        <v>253</v>
      </c>
      <c r="G206" t="s">
        <v>253</v>
      </c>
      <c r="H206" t="s">
        <v>253</v>
      </c>
      <c r="I206" t="s">
        <v>253</v>
      </c>
      <c r="J206" t="s">
        <v>253</v>
      </c>
      <c r="K206" t="s">
        <v>253</v>
      </c>
      <c r="L206" t="s">
        <v>253</v>
      </c>
      <c r="M206" t="s">
        <v>253</v>
      </c>
      <c r="N206" t="s">
        <v>253</v>
      </c>
      <c r="O206" t="s">
        <v>253</v>
      </c>
      <c r="P206" t="s">
        <v>253</v>
      </c>
      <c r="Q206" t="s">
        <v>253</v>
      </c>
      <c r="R206" t="s">
        <v>253</v>
      </c>
      <c r="S206" t="s">
        <v>253</v>
      </c>
      <c r="T206" t="s">
        <v>253</v>
      </c>
      <c r="U206" t="s">
        <v>253</v>
      </c>
      <c r="V206" t="s">
        <v>253</v>
      </c>
      <c r="W206" t="s">
        <v>253</v>
      </c>
      <c r="X206" t="s">
        <v>253</v>
      </c>
      <c r="Y206" t="s">
        <v>253</v>
      </c>
      <c r="Z206" t="s">
        <v>253</v>
      </c>
      <c r="AA206" t="s">
        <v>253</v>
      </c>
      <c r="AB206" t="s">
        <v>253</v>
      </c>
      <c r="AC206" t="s">
        <v>253</v>
      </c>
      <c r="AD206" t="s">
        <v>253</v>
      </c>
      <c r="AE206" t="s">
        <v>253</v>
      </c>
      <c r="AF206" t="s">
        <v>253</v>
      </c>
      <c r="AG206" t="s">
        <v>253</v>
      </c>
      <c r="AH206" t="s">
        <v>253</v>
      </c>
      <c r="AI206" t="s">
        <v>253</v>
      </c>
      <c r="AJ206" t="s">
        <v>253</v>
      </c>
      <c r="AK206" t="s">
        <v>253</v>
      </c>
      <c r="AL206" t="s">
        <v>253</v>
      </c>
      <c r="AM206" t="s">
        <v>253</v>
      </c>
      <c r="AN206" t="s">
        <v>253</v>
      </c>
      <c r="AO206" t="s">
        <v>253</v>
      </c>
      <c r="AP206" t="s">
        <v>253</v>
      </c>
      <c r="AQ206" t="s">
        <v>253</v>
      </c>
      <c r="AR206" t="s">
        <v>253</v>
      </c>
      <c r="AS206" t="s">
        <v>253</v>
      </c>
      <c r="AT206" t="s">
        <v>253</v>
      </c>
      <c r="AU206" t="s">
        <v>253</v>
      </c>
      <c r="AV206" t="s">
        <v>253</v>
      </c>
      <c r="AW206" t="s">
        <v>253</v>
      </c>
      <c r="AX206" t="s">
        <v>253</v>
      </c>
    </row>
    <row r="208" spans="1:50" x14ac:dyDescent="0.3">
      <c r="A208" t="s">
        <v>356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">
      <c r="A209" t="s">
        <v>357</v>
      </c>
      <c r="C209">
        <v>154.94999999999999</v>
      </c>
      <c r="D209">
        <v>154.94999999999999</v>
      </c>
      <c r="E209">
        <v>154.94999999999999</v>
      </c>
      <c r="F209">
        <v>154.94999999999999</v>
      </c>
      <c r="G209">
        <v>154.94999999999999</v>
      </c>
      <c r="H209">
        <v>154.94999999999999</v>
      </c>
      <c r="I209">
        <v>154.94999999999999</v>
      </c>
      <c r="J209">
        <v>154.94999999999999</v>
      </c>
      <c r="K209">
        <v>154.94999999999999</v>
      </c>
      <c r="L209">
        <v>154.94999999999999</v>
      </c>
      <c r="M209">
        <v>154.94999999999999</v>
      </c>
      <c r="N209">
        <v>154.94999999999999</v>
      </c>
      <c r="O209">
        <v>154.94999999999999</v>
      </c>
      <c r="P209">
        <v>174.12</v>
      </c>
      <c r="Q209">
        <v>256.67</v>
      </c>
      <c r="R209">
        <v>285.33999999999997</v>
      </c>
      <c r="S209">
        <v>284.48</v>
      </c>
      <c r="T209">
        <v>284.41000000000003</v>
      </c>
      <c r="U209">
        <v>285.08999999999997</v>
      </c>
      <c r="V209">
        <v>286.27999999999997</v>
      </c>
      <c r="W209">
        <v>325.39999999999998</v>
      </c>
      <c r="X209">
        <v>325.39999999999998</v>
      </c>
      <c r="Y209">
        <v>325.39999999999998</v>
      </c>
      <c r="Z209">
        <v>325.39999999999998</v>
      </c>
      <c r="AA209">
        <v>325.39999999999998</v>
      </c>
      <c r="AB209">
        <v>325.39999999999998</v>
      </c>
      <c r="AC209">
        <v>325.39999999999998</v>
      </c>
      <c r="AD209">
        <v>325.39999999999998</v>
      </c>
      <c r="AE209">
        <v>325.39999999999998</v>
      </c>
      <c r="AF209">
        <v>325.39999999999998</v>
      </c>
      <c r="AG209">
        <v>325.39999999999998</v>
      </c>
      <c r="AH209">
        <v>325.39999999999998</v>
      </c>
      <c r="AI209">
        <v>325.39999999999998</v>
      </c>
      <c r="AJ209">
        <v>325.39999999999998</v>
      </c>
      <c r="AK209">
        <v>325.39999999999998</v>
      </c>
      <c r="AL209">
        <v>372.45</v>
      </c>
      <c r="AM209">
        <v>325.39999999999998</v>
      </c>
      <c r="AN209">
        <v>325.39999999999998</v>
      </c>
      <c r="AO209">
        <v>325.39999999999998</v>
      </c>
      <c r="AP209">
        <v>325.39999999999998</v>
      </c>
      <c r="AQ209">
        <v>325.39999999999998</v>
      </c>
      <c r="AR209">
        <v>325.39999999999998</v>
      </c>
      <c r="AS209">
        <v>325.39999999999998</v>
      </c>
      <c r="AT209">
        <v>240.18</v>
      </c>
      <c r="AU209">
        <v>240.18</v>
      </c>
      <c r="AV209">
        <v>240.18</v>
      </c>
      <c r="AW209">
        <v>240.18</v>
      </c>
      <c r="AX209">
        <v>240.18</v>
      </c>
    </row>
    <row r="210" spans="1:50" x14ac:dyDescent="0.3">
      <c r="A210" t="s">
        <v>358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C211" t="s">
        <v>282</v>
      </c>
      <c r="D211" t="s">
        <v>282</v>
      </c>
      <c r="E211" t="s">
        <v>282</v>
      </c>
      <c r="F211" t="s">
        <v>282</v>
      </c>
      <c r="G211" t="s">
        <v>282</v>
      </c>
      <c r="H211" t="s">
        <v>282</v>
      </c>
      <c r="I211" t="s">
        <v>282</v>
      </c>
      <c r="J211" t="s">
        <v>282</v>
      </c>
      <c r="K211" t="s">
        <v>282</v>
      </c>
      <c r="L211" t="s">
        <v>282</v>
      </c>
      <c r="M211" t="s">
        <v>282</v>
      </c>
      <c r="N211" t="s">
        <v>282</v>
      </c>
      <c r="O211" t="s">
        <v>282</v>
      </c>
      <c r="P211" t="s">
        <v>282</v>
      </c>
      <c r="Q211" t="s">
        <v>282</v>
      </c>
      <c r="R211" t="s">
        <v>282</v>
      </c>
      <c r="S211" t="s">
        <v>282</v>
      </c>
      <c r="T211" t="s">
        <v>282</v>
      </c>
      <c r="U211" t="s">
        <v>282</v>
      </c>
      <c r="V211" t="s">
        <v>282</v>
      </c>
      <c r="W211" t="s">
        <v>282</v>
      </c>
      <c r="X211" t="s">
        <v>282</v>
      </c>
      <c r="Y211" t="s">
        <v>282</v>
      </c>
      <c r="Z211" t="s">
        <v>282</v>
      </c>
      <c r="AA211" t="s">
        <v>282</v>
      </c>
      <c r="AB211" t="s">
        <v>282</v>
      </c>
      <c r="AC211" t="s">
        <v>282</v>
      </c>
      <c r="AD211" t="s">
        <v>282</v>
      </c>
      <c r="AE211" t="s">
        <v>282</v>
      </c>
      <c r="AF211" t="s">
        <v>282</v>
      </c>
      <c r="AG211" t="s">
        <v>282</v>
      </c>
      <c r="AH211" t="s">
        <v>282</v>
      </c>
      <c r="AI211" t="s">
        <v>282</v>
      </c>
      <c r="AJ211" t="s">
        <v>282</v>
      </c>
      <c r="AK211" t="s">
        <v>282</v>
      </c>
      <c r="AL211" t="s">
        <v>282</v>
      </c>
      <c r="AM211" t="s">
        <v>282</v>
      </c>
      <c r="AN211" t="s">
        <v>282</v>
      </c>
      <c r="AO211" t="s">
        <v>282</v>
      </c>
      <c r="AP211" t="s">
        <v>282</v>
      </c>
      <c r="AQ211" t="s">
        <v>282</v>
      </c>
      <c r="AR211" t="s">
        <v>282</v>
      </c>
      <c r="AS211" t="s">
        <v>282</v>
      </c>
      <c r="AT211" t="s">
        <v>282</v>
      </c>
      <c r="AU211" t="s">
        <v>282</v>
      </c>
      <c r="AV211" t="s">
        <v>282</v>
      </c>
      <c r="AW211" t="s">
        <v>282</v>
      </c>
      <c r="AX211" t="s">
        <v>282</v>
      </c>
    </row>
    <row r="213" spans="1:50" x14ac:dyDescent="0.3">
      <c r="A213" t="s">
        <v>359</v>
      </c>
      <c r="C213">
        <v>19</v>
      </c>
      <c r="D213">
        <v>19</v>
      </c>
      <c r="E213">
        <v>19</v>
      </c>
      <c r="F213">
        <v>19</v>
      </c>
      <c r="G213">
        <v>19</v>
      </c>
      <c r="H213">
        <v>19</v>
      </c>
      <c r="I213">
        <v>19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</v>
      </c>
      <c r="P213">
        <v>1</v>
      </c>
      <c r="Q213">
        <v>1</v>
      </c>
      <c r="R213">
        <v>1</v>
      </c>
      <c r="S213">
        <v>9</v>
      </c>
      <c r="T213">
        <v>9</v>
      </c>
      <c r="U213">
        <v>9</v>
      </c>
      <c r="V213">
        <v>20</v>
      </c>
      <c r="W213">
        <v>20</v>
      </c>
      <c r="X213">
        <v>20</v>
      </c>
      <c r="Y213">
        <v>20</v>
      </c>
      <c r="Z213">
        <v>19</v>
      </c>
      <c r="AA213">
        <v>19</v>
      </c>
      <c r="AB213">
        <v>19</v>
      </c>
      <c r="AC213">
        <v>20</v>
      </c>
      <c r="AD213">
        <v>20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21</v>
      </c>
      <c r="AL213">
        <v>21</v>
      </c>
      <c r="AM213">
        <v>21</v>
      </c>
      <c r="AN213">
        <v>21</v>
      </c>
      <c r="AO213">
        <v>21</v>
      </c>
      <c r="AP213">
        <v>19</v>
      </c>
      <c r="AQ213">
        <v>19</v>
      </c>
      <c r="AR213">
        <v>19</v>
      </c>
      <c r="AS213">
        <v>19</v>
      </c>
      <c r="AT213">
        <v>19</v>
      </c>
      <c r="AU213">
        <v>19</v>
      </c>
      <c r="AV213">
        <v>19</v>
      </c>
      <c r="AW213">
        <v>19</v>
      </c>
      <c r="AX213">
        <v>19</v>
      </c>
    </row>
    <row r="214" spans="1:50" x14ac:dyDescent="0.3">
      <c r="A214" t="s">
        <v>360</v>
      </c>
      <c r="C214">
        <v>33</v>
      </c>
      <c r="D214">
        <v>33</v>
      </c>
      <c r="E214">
        <v>33</v>
      </c>
      <c r="F214">
        <v>32</v>
      </c>
      <c r="G214">
        <v>33</v>
      </c>
      <c r="H214">
        <v>31</v>
      </c>
      <c r="I214">
        <v>31</v>
      </c>
      <c r="J214">
        <v>33</v>
      </c>
      <c r="K214">
        <v>33</v>
      </c>
      <c r="L214">
        <v>33</v>
      </c>
      <c r="M214">
        <v>33</v>
      </c>
      <c r="N214">
        <v>33</v>
      </c>
      <c r="O214">
        <v>32</v>
      </c>
      <c r="P214">
        <v>32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32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37</v>
      </c>
      <c r="AK214">
        <v>37</v>
      </c>
      <c r="AL214">
        <v>38</v>
      </c>
      <c r="AM214">
        <v>38</v>
      </c>
      <c r="AN214">
        <v>38</v>
      </c>
      <c r="AO214">
        <v>37</v>
      </c>
      <c r="AP214">
        <v>38</v>
      </c>
      <c r="AQ214">
        <v>39</v>
      </c>
      <c r="AR214">
        <v>38</v>
      </c>
      <c r="AS214">
        <v>39</v>
      </c>
      <c r="AT214">
        <v>39</v>
      </c>
      <c r="AU214">
        <v>39</v>
      </c>
      <c r="AV214">
        <v>38</v>
      </c>
      <c r="AW214">
        <v>38</v>
      </c>
      <c r="AX214">
        <v>39</v>
      </c>
    </row>
    <row r="216" spans="1:50" x14ac:dyDescent="0.3">
      <c r="A216" t="s">
        <v>361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30</v>
      </c>
      <c r="AK216">
        <v>30</v>
      </c>
      <c r="AL216">
        <v>30</v>
      </c>
      <c r="AM216">
        <v>29</v>
      </c>
      <c r="AN216">
        <v>30</v>
      </c>
      <c r="AO216">
        <v>29</v>
      </c>
      <c r="AP216">
        <v>29</v>
      </c>
      <c r="AQ216">
        <v>30</v>
      </c>
      <c r="AR216">
        <v>29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8" spans="1:50" x14ac:dyDescent="0.3">
      <c r="A218" t="s">
        <v>362</v>
      </c>
      <c r="B218">
        <v>80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">
      <c r="A219" t="s">
        <v>363</v>
      </c>
      <c r="B219">
        <v>80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t="s">
        <v>364</v>
      </c>
      <c r="B220">
        <v>166.5</v>
      </c>
      <c r="C220">
        <v>93</v>
      </c>
      <c r="D220">
        <v>93</v>
      </c>
      <c r="E220">
        <v>93</v>
      </c>
      <c r="F220">
        <v>93</v>
      </c>
      <c r="G220">
        <v>93</v>
      </c>
      <c r="H220">
        <v>93</v>
      </c>
      <c r="I220">
        <v>93</v>
      </c>
      <c r="J220">
        <v>93</v>
      </c>
      <c r="K220">
        <v>93</v>
      </c>
      <c r="L220">
        <v>93</v>
      </c>
      <c r="M220">
        <v>93</v>
      </c>
      <c r="N220">
        <v>93</v>
      </c>
      <c r="O220">
        <v>93</v>
      </c>
      <c r="P220">
        <v>93</v>
      </c>
      <c r="Q220">
        <v>93</v>
      </c>
      <c r="R220">
        <v>93</v>
      </c>
      <c r="S220">
        <v>93</v>
      </c>
      <c r="T220">
        <v>93</v>
      </c>
      <c r="U220">
        <v>93</v>
      </c>
      <c r="V220">
        <v>93</v>
      </c>
      <c r="W220">
        <v>93</v>
      </c>
      <c r="X220">
        <v>93</v>
      </c>
      <c r="Y220">
        <v>93</v>
      </c>
      <c r="Z220">
        <v>93</v>
      </c>
      <c r="AA220">
        <v>93</v>
      </c>
      <c r="AB220">
        <v>93</v>
      </c>
      <c r="AC220">
        <v>93</v>
      </c>
      <c r="AD220">
        <v>93</v>
      </c>
      <c r="AE220">
        <v>93</v>
      </c>
      <c r="AF220">
        <v>93</v>
      </c>
      <c r="AG220">
        <v>93</v>
      </c>
      <c r="AH220">
        <v>93</v>
      </c>
      <c r="AI220">
        <v>93</v>
      </c>
      <c r="AJ220">
        <v>93</v>
      </c>
      <c r="AK220">
        <v>93</v>
      </c>
      <c r="AL220">
        <v>93</v>
      </c>
      <c r="AM220">
        <v>93</v>
      </c>
      <c r="AN220">
        <v>93</v>
      </c>
      <c r="AO220">
        <v>93</v>
      </c>
      <c r="AP220">
        <v>93</v>
      </c>
      <c r="AQ220">
        <v>93</v>
      </c>
      <c r="AR220">
        <v>93</v>
      </c>
      <c r="AS220">
        <v>93</v>
      </c>
      <c r="AT220">
        <v>93</v>
      </c>
      <c r="AU220">
        <v>93</v>
      </c>
      <c r="AV220">
        <v>93</v>
      </c>
      <c r="AW220">
        <v>93</v>
      </c>
      <c r="AX220">
        <v>93</v>
      </c>
    </row>
    <row r="221" spans="1:50" x14ac:dyDescent="0.3">
      <c r="A221" t="s">
        <v>365</v>
      </c>
      <c r="B221">
        <v>166.5</v>
      </c>
      <c r="C221">
        <v>93</v>
      </c>
      <c r="D221">
        <v>93</v>
      </c>
      <c r="E221">
        <v>93</v>
      </c>
      <c r="F221">
        <v>93</v>
      </c>
      <c r="G221">
        <v>93</v>
      </c>
      <c r="H221">
        <v>93</v>
      </c>
      <c r="I221">
        <v>93</v>
      </c>
      <c r="J221">
        <v>93</v>
      </c>
      <c r="K221">
        <v>93</v>
      </c>
      <c r="L221">
        <v>93</v>
      </c>
      <c r="M221">
        <v>93</v>
      </c>
      <c r="N221">
        <v>93</v>
      </c>
      <c r="O221">
        <v>93</v>
      </c>
      <c r="P221">
        <v>93</v>
      </c>
      <c r="Q221">
        <v>93</v>
      </c>
      <c r="R221">
        <v>93</v>
      </c>
      <c r="S221">
        <v>93</v>
      </c>
      <c r="T221">
        <v>93</v>
      </c>
      <c r="U221">
        <v>93</v>
      </c>
      <c r="V221">
        <v>93</v>
      </c>
      <c r="W221">
        <v>93</v>
      </c>
      <c r="X221">
        <v>93</v>
      </c>
      <c r="Y221">
        <v>93</v>
      </c>
      <c r="Z221">
        <v>93</v>
      </c>
      <c r="AA221">
        <v>93</v>
      </c>
      <c r="AB221">
        <v>93</v>
      </c>
      <c r="AC221">
        <v>93</v>
      </c>
      <c r="AD221">
        <v>93</v>
      </c>
      <c r="AE221">
        <v>93</v>
      </c>
      <c r="AF221">
        <v>93</v>
      </c>
      <c r="AG221">
        <v>93</v>
      </c>
      <c r="AH221">
        <v>93</v>
      </c>
      <c r="AI221">
        <v>93</v>
      </c>
      <c r="AJ221">
        <v>93</v>
      </c>
      <c r="AK221">
        <v>93</v>
      </c>
      <c r="AL221">
        <v>93</v>
      </c>
      <c r="AM221">
        <v>93</v>
      </c>
      <c r="AN221">
        <v>93</v>
      </c>
      <c r="AO221">
        <v>93</v>
      </c>
      <c r="AP221">
        <v>93</v>
      </c>
      <c r="AQ221">
        <v>93</v>
      </c>
      <c r="AR221">
        <v>93</v>
      </c>
      <c r="AS221">
        <v>93</v>
      </c>
      <c r="AT221">
        <v>93</v>
      </c>
      <c r="AU221">
        <v>93</v>
      </c>
      <c r="AV221">
        <v>93</v>
      </c>
      <c r="AW221">
        <v>93</v>
      </c>
      <c r="AX221">
        <v>93</v>
      </c>
    </row>
    <row r="223" spans="1:50" x14ac:dyDescent="0.3">
      <c r="A223" t="s">
        <v>54</v>
      </c>
      <c r="B223">
        <v>370</v>
      </c>
      <c r="C223">
        <v>250</v>
      </c>
      <c r="D223">
        <v>250</v>
      </c>
      <c r="E223">
        <v>250</v>
      </c>
      <c r="F223">
        <v>250</v>
      </c>
      <c r="G223">
        <v>250</v>
      </c>
      <c r="H223">
        <v>250</v>
      </c>
      <c r="I223">
        <v>250</v>
      </c>
      <c r="J223">
        <v>250</v>
      </c>
      <c r="K223">
        <v>250</v>
      </c>
      <c r="L223">
        <v>250</v>
      </c>
      <c r="M223">
        <v>275</v>
      </c>
      <c r="N223">
        <v>275</v>
      </c>
      <c r="O223">
        <v>275</v>
      </c>
      <c r="P223">
        <v>275</v>
      </c>
      <c r="Q223">
        <v>275</v>
      </c>
      <c r="R223">
        <v>275</v>
      </c>
      <c r="S223">
        <v>275</v>
      </c>
      <c r="T223">
        <v>275</v>
      </c>
      <c r="U223">
        <v>275</v>
      </c>
      <c r="V223">
        <v>300</v>
      </c>
      <c r="W223">
        <v>300</v>
      </c>
      <c r="X223">
        <v>300</v>
      </c>
      <c r="Y223">
        <v>300</v>
      </c>
      <c r="Z223">
        <v>300</v>
      </c>
      <c r="AA223">
        <v>300</v>
      </c>
      <c r="AB223">
        <v>340</v>
      </c>
      <c r="AC223">
        <v>340</v>
      </c>
      <c r="AD223">
        <v>340</v>
      </c>
      <c r="AE223">
        <v>340</v>
      </c>
      <c r="AF223">
        <v>340</v>
      </c>
      <c r="AG223">
        <v>340</v>
      </c>
      <c r="AH223">
        <v>340</v>
      </c>
      <c r="AI223">
        <v>340</v>
      </c>
      <c r="AJ223">
        <v>340</v>
      </c>
      <c r="AK223">
        <v>340</v>
      </c>
      <c r="AL223">
        <v>340</v>
      </c>
      <c r="AM223">
        <v>340</v>
      </c>
      <c r="AN223">
        <v>340</v>
      </c>
      <c r="AO223">
        <v>340</v>
      </c>
      <c r="AP223">
        <v>275</v>
      </c>
      <c r="AQ223">
        <v>275</v>
      </c>
      <c r="AR223">
        <v>275</v>
      </c>
      <c r="AS223">
        <v>275</v>
      </c>
      <c r="AT223">
        <v>275</v>
      </c>
      <c r="AU223">
        <v>275</v>
      </c>
      <c r="AV223">
        <v>250</v>
      </c>
      <c r="AW223">
        <v>250</v>
      </c>
      <c r="AX223">
        <v>250</v>
      </c>
    </row>
    <row r="224" spans="1:50" x14ac:dyDescent="0.3">
      <c r="A224" t="s">
        <v>57</v>
      </c>
      <c r="B224">
        <v>370</v>
      </c>
      <c r="C224">
        <v>250</v>
      </c>
      <c r="D224">
        <v>250</v>
      </c>
      <c r="E224">
        <v>250</v>
      </c>
      <c r="F224">
        <v>250</v>
      </c>
      <c r="G224">
        <v>250</v>
      </c>
      <c r="H224">
        <v>250</v>
      </c>
      <c r="I224">
        <v>250</v>
      </c>
      <c r="J224">
        <v>250</v>
      </c>
      <c r="K224">
        <v>250</v>
      </c>
      <c r="L224">
        <v>250</v>
      </c>
      <c r="M224">
        <v>275</v>
      </c>
      <c r="N224">
        <v>275</v>
      </c>
      <c r="O224">
        <v>275</v>
      </c>
      <c r="P224">
        <v>275</v>
      </c>
      <c r="Q224">
        <v>275</v>
      </c>
      <c r="R224">
        <v>275</v>
      </c>
      <c r="S224">
        <v>275</v>
      </c>
      <c r="T224">
        <v>275</v>
      </c>
      <c r="U224">
        <v>275</v>
      </c>
      <c r="V224">
        <v>300</v>
      </c>
      <c r="W224">
        <v>300</v>
      </c>
      <c r="X224">
        <v>300</v>
      </c>
      <c r="Y224">
        <v>300</v>
      </c>
      <c r="Z224">
        <v>300</v>
      </c>
      <c r="AA224">
        <v>300</v>
      </c>
      <c r="AB224">
        <v>340</v>
      </c>
      <c r="AC224">
        <v>340</v>
      </c>
      <c r="AD224">
        <v>340</v>
      </c>
      <c r="AE224">
        <v>340</v>
      </c>
      <c r="AF224">
        <v>340</v>
      </c>
      <c r="AG224">
        <v>340</v>
      </c>
      <c r="AH224">
        <v>340</v>
      </c>
      <c r="AI224">
        <v>340</v>
      </c>
      <c r="AJ224">
        <v>340</v>
      </c>
      <c r="AK224">
        <v>340</v>
      </c>
      <c r="AL224">
        <v>340</v>
      </c>
      <c r="AM224">
        <v>340</v>
      </c>
      <c r="AN224">
        <v>340</v>
      </c>
      <c r="AO224">
        <v>340</v>
      </c>
      <c r="AP224">
        <v>275</v>
      </c>
      <c r="AQ224">
        <v>275</v>
      </c>
      <c r="AR224">
        <v>275</v>
      </c>
      <c r="AS224">
        <v>275</v>
      </c>
      <c r="AT224">
        <v>275</v>
      </c>
      <c r="AU224">
        <v>275</v>
      </c>
      <c r="AV224">
        <v>250</v>
      </c>
      <c r="AW224">
        <v>250</v>
      </c>
      <c r="AX224">
        <v>250</v>
      </c>
    </row>
    <row r="226" spans="1:50" x14ac:dyDescent="0.3">
      <c r="A226" t="s">
        <v>366</v>
      </c>
      <c r="B226">
        <v>15.5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3">
      <c r="A227" t="s">
        <v>367</v>
      </c>
      <c r="B227">
        <v>15.5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9" spans="1:50" x14ac:dyDescent="0.3">
      <c r="A229" t="s">
        <v>368</v>
      </c>
      <c r="C229">
        <v>242.25</v>
      </c>
      <c r="D229">
        <v>242.25</v>
      </c>
      <c r="E229">
        <v>242.25</v>
      </c>
      <c r="F229">
        <v>242.25</v>
      </c>
      <c r="G229">
        <v>242.25</v>
      </c>
      <c r="H229">
        <v>242.25</v>
      </c>
      <c r="I229">
        <v>242.25</v>
      </c>
      <c r="J229">
        <v>242.25</v>
      </c>
      <c r="K229">
        <v>242.25</v>
      </c>
      <c r="L229">
        <v>242.25</v>
      </c>
      <c r="M229">
        <v>242.25</v>
      </c>
      <c r="N229">
        <v>242.25</v>
      </c>
      <c r="O229">
        <v>254.99</v>
      </c>
      <c r="P229">
        <v>280.47000000000003</v>
      </c>
      <c r="Q229">
        <v>326.17</v>
      </c>
      <c r="R229">
        <v>326.17</v>
      </c>
      <c r="S229">
        <v>326.17</v>
      </c>
      <c r="T229">
        <v>326.17</v>
      </c>
      <c r="U229">
        <v>326.17</v>
      </c>
      <c r="V229">
        <v>326.17</v>
      </c>
      <c r="W229">
        <v>326.17</v>
      </c>
      <c r="X229">
        <v>326.17</v>
      </c>
      <c r="Y229">
        <v>326.17</v>
      </c>
      <c r="Z229">
        <v>326.17</v>
      </c>
      <c r="AA229">
        <v>326.17</v>
      </c>
      <c r="AB229">
        <v>326.17</v>
      </c>
      <c r="AC229">
        <v>326.17</v>
      </c>
      <c r="AD229">
        <v>326.17</v>
      </c>
      <c r="AE229">
        <v>326.17</v>
      </c>
      <c r="AF229">
        <v>326.17</v>
      </c>
      <c r="AG229">
        <v>326.17</v>
      </c>
      <c r="AH229">
        <v>326.17</v>
      </c>
      <c r="AI229">
        <v>326.17</v>
      </c>
      <c r="AJ229">
        <v>326.17</v>
      </c>
      <c r="AK229">
        <v>326.17</v>
      </c>
      <c r="AL229">
        <v>326.17</v>
      </c>
      <c r="AM229">
        <v>326.17</v>
      </c>
      <c r="AN229">
        <v>326.17</v>
      </c>
      <c r="AO229">
        <v>326.17</v>
      </c>
      <c r="AP229">
        <v>326.17</v>
      </c>
      <c r="AQ229">
        <v>326.17</v>
      </c>
      <c r="AR229">
        <v>326.17</v>
      </c>
      <c r="AS229">
        <v>326.17</v>
      </c>
      <c r="AT229">
        <v>274.98</v>
      </c>
      <c r="AU229">
        <v>242.25</v>
      </c>
      <c r="AV229">
        <v>242.25</v>
      </c>
      <c r="AW229">
        <v>242.25</v>
      </c>
      <c r="AX229">
        <v>242.25</v>
      </c>
    </row>
    <row r="230" spans="1:50" x14ac:dyDescent="0.3">
      <c r="A230" t="s">
        <v>369</v>
      </c>
      <c r="C230">
        <v>155</v>
      </c>
      <c r="D230">
        <v>155</v>
      </c>
      <c r="E230">
        <v>155</v>
      </c>
      <c r="F230">
        <v>155</v>
      </c>
      <c r="G230">
        <v>155</v>
      </c>
      <c r="H230">
        <v>155</v>
      </c>
      <c r="I230">
        <v>155</v>
      </c>
      <c r="J230">
        <v>155</v>
      </c>
      <c r="K230">
        <v>155</v>
      </c>
      <c r="L230">
        <v>155</v>
      </c>
      <c r="M230">
        <v>155</v>
      </c>
      <c r="N230">
        <v>155</v>
      </c>
      <c r="O230">
        <v>155</v>
      </c>
      <c r="P230">
        <v>155</v>
      </c>
      <c r="Q230">
        <v>155</v>
      </c>
      <c r="R230">
        <v>220.25</v>
      </c>
      <c r="S230">
        <v>237.15</v>
      </c>
      <c r="T230">
        <v>302.39999999999998</v>
      </c>
      <c r="U230">
        <v>319.3</v>
      </c>
      <c r="V230">
        <v>319.3</v>
      </c>
      <c r="W230">
        <v>319.3</v>
      </c>
      <c r="X230">
        <v>319.3</v>
      </c>
      <c r="Y230">
        <v>319.3</v>
      </c>
      <c r="Z230">
        <v>319.3</v>
      </c>
      <c r="AA230">
        <v>319.3</v>
      </c>
      <c r="AB230">
        <v>319.3</v>
      </c>
      <c r="AC230">
        <v>319.3</v>
      </c>
      <c r="AD230">
        <v>319.3</v>
      </c>
      <c r="AE230">
        <v>319.3</v>
      </c>
      <c r="AF230">
        <v>319.3</v>
      </c>
      <c r="AG230">
        <v>319.3</v>
      </c>
      <c r="AH230">
        <v>319.3</v>
      </c>
      <c r="AI230">
        <v>319.3</v>
      </c>
      <c r="AJ230">
        <v>319.3</v>
      </c>
      <c r="AK230">
        <v>319.3</v>
      </c>
      <c r="AL230">
        <v>319.3</v>
      </c>
      <c r="AM230">
        <v>319.3</v>
      </c>
      <c r="AN230">
        <v>319.3</v>
      </c>
      <c r="AO230">
        <v>319.3</v>
      </c>
      <c r="AP230">
        <v>319.3</v>
      </c>
      <c r="AQ230">
        <v>319.3</v>
      </c>
      <c r="AR230">
        <v>319.3</v>
      </c>
      <c r="AS230">
        <v>319.3</v>
      </c>
      <c r="AT230">
        <v>319.3</v>
      </c>
      <c r="AU230">
        <v>155</v>
      </c>
      <c r="AV230">
        <v>155</v>
      </c>
      <c r="AW230">
        <v>155</v>
      </c>
      <c r="AX230">
        <v>155</v>
      </c>
    </row>
    <row r="231" spans="1:50" x14ac:dyDescent="0.3">
      <c r="A231" t="s">
        <v>370</v>
      </c>
      <c r="C231">
        <v>156.66999999999999</v>
      </c>
      <c r="D231">
        <v>156.66999999999999</v>
      </c>
      <c r="E231">
        <v>156.66999999999999</v>
      </c>
      <c r="F231">
        <v>156.66999999999999</v>
      </c>
      <c r="G231">
        <v>156.66999999999999</v>
      </c>
      <c r="H231">
        <v>156.66999999999999</v>
      </c>
      <c r="I231">
        <v>156.66999999999999</v>
      </c>
      <c r="J231">
        <v>156.66999999999999</v>
      </c>
      <c r="K231">
        <v>156.66999999999999</v>
      </c>
      <c r="L231">
        <v>156.66999999999999</v>
      </c>
      <c r="M231">
        <v>156.66999999999999</v>
      </c>
      <c r="N231">
        <v>156.66999999999999</v>
      </c>
      <c r="O231">
        <v>156.66999999999999</v>
      </c>
      <c r="P231">
        <v>156.66999999999999</v>
      </c>
      <c r="Q231">
        <v>156.66999999999999</v>
      </c>
      <c r="R231">
        <v>156.66999999999999</v>
      </c>
      <c r="S231">
        <v>169.41</v>
      </c>
      <c r="T231">
        <v>260.55</v>
      </c>
      <c r="U231">
        <v>373.61</v>
      </c>
      <c r="V231">
        <v>398.84</v>
      </c>
      <c r="W231">
        <v>410</v>
      </c>
      <c r="X231">
        <v>410</v>
      </c>
      <c r="Y231">
        <v>410</v>
      </c>
      <c r="Z231">
        <v>410</v>
      </c>
      <c r="AA231">
        <v>410</v>
      </c>
      <c r="AB231">
        <v>410</v>
      </c>
      <c r="AC231">
        <v>410</v>
      </c>
      <c r="AD231">
        <v>410</v>
      </c>
      <c r="AE231">
        <v>410</v>
      </c>
      <c r="AF231">
        <v>410</v>
      </c>
      <c r="AG231">
        <v>410</v>
      </c>
      <c r="AH231">
        <v>410</v>
      </c>
      <c r="AI231">
        <v>410</v>
      </c>
      <c r="AJ231">
        <v>410</v>
      </c>
      <c r="AK231">
        <v>410</v>
      </c>
      <c r="AL231">
        <v>410</v>
      </c>
      <c r="AM231">
        <v>410</v>
      </c>
      <c r="AN231">
        <v>410</v>
      </c>
      <c r="AO231">
        <v>385</v>
      </c>
      <c r="AP231">
        <v>325</v>
      </c>
      <c r="AQ231">
        <v>300</v>
      </c>
      <c r="AR231">
        <v>272.52</v>
      </c>
      <c r="AS231">
        <v>156.66999999999999</v>
      </c>
      <c r="AT231">
        <v>156.66999999999999</v>
      </c>
      <c r="AU231">
        <v>156.66999999999999</v>
      </c>
      <c r="AV231">
        <v>156.66999999999999</v>
      </c>
      <c r="AW231">
        <v>156.66999999999999</v>
      </c>
      <c r="AX231">
        <v>156.66999999999999</v>
      </c>
    </row>
    <row r="233" spans="1:50" x14ac:dyDescent="0.3">
      <c r="A233" t="s">
        <v>47</v>
      </c>
      <c r="B233">
        <v>323</v>
      </c>
      <c r="C233">
        <v>250</v>
      </c>
      <c r="D233">
        <v>250</v>
      </c>
      <c r="E233">
        <v>250</v>
      </c>
      <c r="F233">
        <v>250</v>
      </c>
      <c r="G233">
        <v>250</v>
      </c>
      <c r="H233">
        <v>250</v>
      </c>
      <c r="I233">
        <v>250</v>
      </c>
      <c r="J233">
        <v>250</v>
      </c>
      <c r="K233">
        <v>300</v>
      </c>
      <c r="L233">
        <v>300</v>
      </c>
      <c r="M233">
        <v>300</v>
      </c>
      <c r="N233">
        <v>300</v>
      </c>
      <c r="O233">
        <v>300</v>
      </c>
      <c r="P233">
        <v>300</v>
      </c>
      <c r="Q233">
        <v>320</v>
      </c>
      <c r="R233">
        <v>320</v>
      </c>
      <c r="S233">
        <v>320</v>
      </c>
      <c r="T233">
        <v>320</v>
      </c>
      <c r="U233">
        <v>320</v>
      </c>
      <c r="V233">
        <v>320</v>
      </c>
      <c r="W233">
        <v>320</v>
      </c>
      <c r="X233">
        <v>320</v>
      </c>
      <c r="Y233">
        <v>320</v>
      </c>
      <c r="Z233">
        <v>320</v>
      </c>
      <c r="AA233">
        <v>323</v>
      </c>
      <c r="AB233">
        <v>323</v>
      </c>
      <c r="AC233">
        <v>323</v>
      </c>
      <c r="AD233">
        <v>323</v>
      </c>
      <c r="AE233">
        <v>323</v>
      </c>
      <c r="AF233">
        <v>323</v>
      </c>
      <c r="AG233">
        <v>323</v>
      </c>
      <c r="AH233">
        <v>323</v>
      </c>
      <c r="AI233">
        <v>323</v>
      </c>
      <c r="AJ233">
        <v>323</v>
      </c>
      <c r="AK233">
        <v>323</v>
      </c>
      <c r="AL233">
        <v>323</v>
      </c>
      <c r="AM233">
        <v>323</v>
      </c>
      <c r="AN233">
        <v>323</v>
      </c>
      <c r="AO233">
        <v>323</v>
      </c>
      <c r="AP233">
        <v>323</v>
      </c>
      <c r="AQ233">
        <v>323</v>
      </c>
      <c r="AR233">
        <v>323</v>
      </c>
      <c r="AS233">
        <v>323</v>
      </c>
      <c r="AT233">
        <v>323</v>
      </c>
      <c r="AU233">
        <v>323</v>
      </c>
      <c r="AV233">
        <v>323</v>
      </c>
      <c r="AW233">
        <v>323</v>
      </c>
      <c r="AX233">
        <v>323</v>
      </c>
    </row>
    <row r="234" spans="1:50" x14ac:dyDescent="0.3">
      <c r="A234" t="s">
        <v>50</v>
      </c>
      <c r="B234">
        <v>323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6" spans="1:50" x14ac:dyDescent="0.3">
      <c r="A236" t="s">
        <v>69</v>
      </c>
      <c r="B236">
        <v>615</v>
      </c>
      <c r="C236">
        <v>400</v>
      </c>
      <c r="D236">
        <v>380</v>
      </c>
      <c r="E236">
        <v>350</v>
      </c>
      <c r="F236">
        <v>350</v>
      </c>
      <c r="G236">
        <v>350</v>
      </c>
      <c r="H236">
        <v>350</v>
      </c>
      <c r="I236">
        <v>350</v>
      </c>
      <c r="J236">
        <v>350</v>
      </c>
      <c r="K236">
        <v>400</v>
      </c>
      <c r="L236">
        <v>450</v>
      </c>
      <c r="M236">
        <v>500</v>
      </c>
      <c r="N236">
        <v>500</v>
      </c>
      <c r="O236">
        <v>500</v>
      </c>
      <c r="P236">
        <v>500</v>
      </c>
      <c r="Q236">
        <v>530</v>
      </c>
      <c r="R236">
        <v>550</v>
      </c>
      <c r="S236">
        <v>600</v>
      </c>
      <c r="T236">
        <v>600</v>
      </c>
      <c r="U236">
        <v>600</v>
      </c>
      <c r="V236">
        <v>600</v>
      </c>
      <c r="W236">
        <v>600</v>
      </c>
      <c r="X236">
        <v>600</v>
      </c>
      <c r="Y236">
        <v>600</v>
      </c>
      <c r="Z236">
        <v>600</v>
      </c>
      <c r="AA236">
        <v>602.70000000000005</v>
      </c>
      <c r="AB236">
        <v>602.70000000000005</v>
      </c>
      <c r="AC236">
        <v>602.70000000000005</v>
      </c>
      <c r="AD236">
        <v>602.70000000000005</v>
      </c>
      <c r="AE236">
        <v>602.70000000000005</v>
      </c>
      <c r="AF236">
        <v>602.70000000000005</v>
      </c>
      <c r="AG236">
        <v>602.70000000000005</v>
      </c>
      <c r="AH236">
        <v>602.70000000000005</v>
      </c>
      <c r="AI236">
        <v>602.70000000000005</v>
      </c>
      <c r="AJ236">
        <v>602.70000000000005</v>
      </c>
      <c r="AK236">
        <v>602.70000000000005</v>
      </c>
      <c r="AL236">
        <v>602.70000000000005</v>
      </c>
      <c r="AM236">
        <v>602.70000000000005</v>
      </c>
      <c r="AN236">
        <v>602.70000000000005</v>
      </c>
      <c r="AO236">
        <v>602.70000000000005</v>
      </c>
      <c r="AP236">
        <v>602.70000000000005</v>
      </c>
      <c r="AQ236">
        <v>602.70000000000005</v>
      </c>
      <c r="AR236">
        <v>602.70000000000005</v>
      </c>
      <c r="AS236">
        <v>602.70000000000005</v>
      </c>
      <c r="AT236">
        <v>602.70000000000005</v>
      </c>
      <c r="AU236">
        <v>602.70000000000005</v>
      </c>
      <c r="AV236">
        <v>602.70000000000005</v>
      </c>
      <c r="AW236">
        <v>602.70000000000005</v>
      </c>
      <c r="AX236">
        <v>602.70000000000005</v>
      </c>
    </row>
    <row r="238" spans="1:50" x14ac:dyDescent="0.3">
      <c r="A238" t="s">
        <v>72</v>
      </c>
      <c r="B238">
        <v>280</v>
      </c>
      <c r="C238">
        <v>200</v>
      </c>
      <c r="D238">
        <v>200</v>
      </c>
      <c r="E238">
        <v>200</v>
      </c>
      <c r="F238">
        <v>200</v>
      </c>
      <c r="G238">
        <v>200</v>
      </c>
      <c r="H238">
        <v>200</v>
      </c>
      <c r="I238">
        <v>200</v>
      </c>
      <c r="J238">
        <v>200</v>
      </c>
      <c r="K238">
        <v>200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200</v>
      </c>
      <c r="S238">
        <v>200</v>
      </c>
      <c r="T238">
        <v>200</v>
      </c>
      <c r="U238">
        <v>200</v>
      </c>
      <c r="V238">
        <v>200</v>
      </c>
      <c r="W238">
        <v>200</v>
      </c>
      <c r="X238">
        <v>200</v>
      </c>
      <c r="Y238">
        <v>200</v>
      </c>
      <c r="Z238">
        <v>200</v>
      </c>
      <c r="AA238">
        <v>200</v>
      </c>
      <c r="AB238">
        <v>200</v>
      </c>
      <c r="AC238">
        <v>200</v>
      </c>
      <c r="AD238">
        <v>200</v>
      </c>
      <c r="AE238">
        <v>200</v>
      </c>
      <c r="AF238">
        <v>200</v>
      </c>
      <c r="AG238">
        <v>200</v>
      </c>
      <c r="AH238">
        <v>200</v>
      </c>
      <c r="AI238">
        <v>200</v>
      </c>
      <c r="AJ238">
        <v>200</v>
      </c>
      <c r="AK238">
        <v>270</v>
      </c>
      <c r="AL238">
        <v>270</v>
      </c>
      <c r="AM238">
        <v>270</v>
      </c>
      <c r="AN238">
        <v>270</v>
      </c>
      <c r="AO238">
        <v>270</v>
      </c>
      <c r="AP238">
        <v>200</v>
      </c>
      <c r="AQ238">
        <v>200</v>
      </c>
      <c r="AR238">
        <v>200</v>
      </c>
      <c r="AS238">
        <v>200</v>
      </c>
      <c r="AT238">
        <v>200</v>
      </c>
      <c r="AU238">
        <v>200</v>
      </c>
      <c r="AV238">
        <v>200</v>
      </c>
      <c r="AW238">
        <v>200</v>
      </c>
      <c r="AX238">
        <v>200</v>
      </c>
    </row>
    <row r="239" spans="1:50" x14ac:dyDescent="0.3">
      <c r="A239" t="s">
        <v>73</v>
      </c>
      <c r="B239">
        <v>280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3">
      <c r="A240" t="s">
        <v>371</v>
      </c>
      <c r="B240">
        <v>0</v>
      </c>
    </row>
    <row r="242" spans="1:50" x14ac:dyDescent="0.3">
      <c r="A242" t="s">
        <v>372</v>
      </c>
      <c r="B242">
        <v>0</v>
      </c>
    </row>
    <row r="243" spans="1:50" x14ac:dyDescent="0.3">
      <c r="A243" t="s">
        <v>373</v>
      </c>
      <c r="B243">
        <v>0</v>
      </c>
    </row>
    <row r="244" spans="1:50" x14ac:dyDescent="0.3">
      <c r="C244" t="s">
        <v>289</v>
      </c>
      <c r="D244" t="s">
        <v>289</v>
      </c>
      <c r="E244" t="s">
        <v>289</v>
      </c>
      <c r="F244" t="s">
        <v>289</v>
      </c>
      <c r="G244" t="s">
        <v>289</v>
      </c>
      <c r="H244" t="s">
        <v>289</v>
      </c>
      <c r="I244" t="s">
        <v>289</v>
      </c>
      <c r="J244" t="s">
        <v>289</v>
      </c>
      <c r="K244" t="s">
        <v>289</v>
      </c>
      <c r="L244" t="s">
        <v>289</v>
      </c>
      <c r="M244" t="s">
        <v>289</v>
      </c>
      <c r="N244" t="s">
        <v>289</v>
      </c>
      <c r="O244" t="s">
        <v>289</v>
      </c>
      <c r="P244" t="s">
        <v>289</v>
      </c>
      <c r="Q244" t="s">
        <v>289</v>
      </c>
      <c r="R244" t="s">
        <v>289</v>
      </c>
      <c r="S244" t="s">
        <v>289</v>
      </c>
      <c r="T244" t="s">
        <v>289</v>
      </c>
      <c r="U244" t="s">
        <v>289</v>
      </c>
      <c r="V244" t="s">
        <v>289</v>
      </c>
      <c r="W244" t="s">
        <v>289</v>
      </c>
      <c r="X244" t="s">
        <v>289</v>
      </c>
      <c r="Y244" t="s">
        <v>289</v>
      </c>
      <c r="Z244" t="s">
        <v>289</v>
      </c>
      <c r="AA244" t="s">
        <v>289</v>
      </c>
      <c r="AB244" t="s">
        <v>289</v>
      </c>
      <c r="AC244" t="s">
        <v>289</v>
      </c>
      <c r="AD244" t="s">
        <v>289</v>
      </c>
      <c r="AE244" t="s">
        <v>289</v>
      </c>
      <c r="AF244" t="s">
        <v>289</v>
      </c>
      <c r="AG244" t="s">
        <v>289</v>
      </c>
      <c r="AH244" t="s">
        <v>289</v>
      </c>
      <c r="AI244" t="s">
        <v>289</v>
      </c>
      <c r="AJ244" t="s">
        <v>289</v>
      </c>
      <c r="AK244" t="s">
        <v>289</v>
      </c>
      <c r="AL244" t="s">
        <v>289</v>
      </c>
      <c r="AM244" t="s">
        <v>289</v>
      </c>
      <c r="AN244" t="s">
        <v>289</v>
      </c>
      <c r="AO244" t="s">
        <v>289</v>
      </c>
      <c r="AP244" t="s">
        <v>289</v>
      </c>
      <c r="AQ244" t="s">
        <v>289</v>
      </c>
      <c r="AR244" t="s">
        <v>289</v>
      </c>
      <c r="AS244" t="s">
        <v>289</v>
      </c>
      <c r="AT244" t="s">
        <v>289</v>
      </c>
      <c r="AU244" t="s">
        <v>289</v>
      </c>
      <c r="AV244" t="s">
        <v>289</v>
      </c>
      <c r="AW244" t="s">
        <v>289</v>
      </c>
      <c r="AX244" t="s">
        <v>289</v>
      </c>
    </row>
    <row r="246" spans="1:50" x14ac:dyDescent="0.3">
      <c r="A246" t="s">
        <v>77</v>
      </c>
      <c r="B246">
        <v>610</v>
      </c>
      <c r="C246">
        <v>530</v>
      </c>
      <c r="D246">
        <v>500</v>
      </c>
      <c r="E246">
        <v>450</v>
      </c>
      <c r="F246">
        <v>400</v>
      </c>
      <c r="G246">
        <v>350</v>
      </c>
      <c r="H246">
        <v>350</v>
      </c>
      <c r="I246">
        <v>350</v>
      </c>
      <c r="J246">
        <v>350</v>
      </c>
      <c r="K246">
        <v>400</v>
      </c>
      <c r="L246">
        <v>450</v>
      </c>
      <c r="M246">
        <v>500</v>
      </c>
      <c r="N246">
        <v>500</v>
      </c>
      <c r="O246">
        <v>500</v>
      </c>
      <c r="P246">
        <v>500</v>
      </c>
      <c r="Q246">
        <v>550</v>
      </c>
      <c r="R246">
        <v>597</v>
      </c>
      <c r="S246">
        <v>597</v>
      </c>
      <c r="T246">
        <v>597</v>
      </c>
      <c r="U246">
        <v>597</v>
      </c>
      <c r="V246">
        <v>597</v>
      </c>
      <c r="W246">
        <v>597</v>
      </c>
      <c r="X246">
        <v>597</v>
      </c>
      <c r="Y246">
        <v>597</v>
      </c>
      <c r="Z246">
        <v>597</v>
      </c>
      <c r="AA246">
        <v>597.79999999999995</v>
      </c>
      <c r="AB246">
        <v>597.79999999999995</v>
      </c>
      <c r="AC246">
        <v>597.79999999999995</v>
      </c>
      <c r="AD246">
        <v>597.79999999999995</v>
      </c>
      <c r="AE246">
        <v>597.79999999999995</v>
      </c>
      <c r="AF246">
        <v>597.79999999999995</v>
      </c>
      <c r="AG246">
        <v>597.79999999999995</v>
      </c>
      <c r="AH246">
        <v>597.79999999999995</v>
      </c>
      <c r="AI246">
        <v>597.79999999999995</v>
      </c>
      <c r="AJ246">
        <v>597.79999999999995</v>
      </c>
      <c r="AK246">
        <v>597.79999999999995</v>
      </c>
      <c r="AL246">
        <v>597.79999999999995</v>
      </c>
      <c r="AM246">
        <v>597.79999999999995</v>
      </c>
      <c r="AN246">
        <v>597.79999999999995</v>
      </c>
      <c r="AO246">
        <v>597.79999999999995</v>
      </c>
      <c r="AP246">
        <v>597.79999999999995</v>
      </c>
      <c r="AQ246">
        <v>597.79999999999995</v>
      </c>
      <c r="AR246">
        <v>597.79999999999995</v>
      </c>
      <c r="AS246">
        <v>597.79999999999995</v>
      </c>
      <c r="AT246">
        <v>597.79999999999995</v>
      </c>
      <c r="AU246">
        <v>597.79999999999995</v>
      </c>
      <c r="AV246">
        <v>597.79999999999995</v>
      </c>
      <c r="AW246">
        <v>597.79999999999995</v>
      </c>
      <c r="AX246">
        <v>597.79999999999995</v>
      </c>
    </row>
    <row r="247" spans="1:50" x14ac:dyDescent="0.3">
      <c r="A247" t="s">
        <v>78</v>
      </c>
      <c r="B247">
        <v>610</v>
      </c>
      <c r="C247">
        <v>530</v>
      </c>
      <c r="D247">
        <v>500</v>
      </c>
      <c r="E247">
        <v>450</v>
      </c>
      <c r="F247">
        <v>400</v>
      </c>
      <c r="G247">
        <v>350</v>
      </c>
      <c r="H247">
        <v>350</v>
      </c>
      <c r="I247">
        <v>350</v>
      </c>
      <c r="J247">
        <v>350</v>
      </c>
      <c r="K247">
        <v>400</v>
      </c>
      <c r="L247">
        <v>450</v>
      </c>
      <c r="M247">
        <v>500</v>
      </c>
      <c r="N247">
        <v>500</v>
      </c>
      <c r="O247">
        <v>500</v>
      </c>
      <c r="P247">
        <v>500</v>
      </c>
      <c r="Q247">
        <v>550</v>
      </c>
      <c r="R247">
        <v>597</v>
      </c>
      <c r="S247">
        <v>597</v>
      </c>
      <c r="T247">
        <v>597</v>
      </c>
      <c r="U247">
        <v>597</v>
      </c>
      <c r="V247">
        <v>597</v>
      </c>
      <c r="W247">
        <v>597</v>
      </c>
      <c r="X247">
        <v>597</v>
      </c>
      <c r="Y247">
        <v>597</v>
      </c>
      <c r="Z247">
        <v>597</v>
      </c>
      <c r="AA247">
        <v>597.79999999999995</v>
      </c>
      <c r="AB247">
        <v>597.79999999999995</v>
      </c>
      <c r="AC247">
        <v>597.79999999999995</v>
      </c>
      <c r="AD247">
        <v>597.79999999999995</v>
      </c>
      <c r="AE247">
        <v>597.79999999999995</v>
      </c>
      <c r="AF247">
        <v>597.79999999999995</v>
      </c>
      <c r="AG247">
        <v>597.79999999999995</v>
      </c>
      <c r="AH247">
        <v>597.79999999999995</v>
      </c>
      <c r="AI247">
        <v>597.79999999999995</v>
      </c>
      <c r="AJ247">
        <v>597.79999999999995</v>
      </c>
      <c r="AK247">
        <v>597.79999999999995</v>
      </c>
      <c r="AL247">
        <v>597.79999999999995</v>
      </c>
      <c r="AM247">
        <v>597.79999999999995</v>
      </c>
      <c r="AN247">
        <v>597.79999999999995</v>
      </c>
      <c r="AO247">
        <v>597.79999999999995</v>
      </c>
      <c r="AP247">
        <v>597.79999999999995</v>
      </c>
      <c r="AQ247">
        <v>597.79999999999995</v>
      </c>
      <c r="AR247">
        <v>597.79999999999995</v>
      </c>
      <c r="AS247">
        <v>597.79999999999995</v>
      </c>
      <c r="AT247">
        <v>597.79999999999995</v>
      </c>
      <c r="AU247">
        <v>597.79999999999995</v>
      </c>
      <c r="AV247">
        <v>597.79999999999995</v>
      </c>
      <c r="AW247">
        <v>597.79999999999995</v>
      </c>
      <c r="AX247">
        <v>597.79999999999995</v>
      </c>
    </row>
    <row r="248" spans="1:50" x14ac:dyDescent="0.3">
      <c r="A248" t="s">
        <v>62</v>
      </c>
      <c r="B248">
        <v>811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50" spans="1:50" x14ac:dyDescent="0.3">
      <c r="A250" t="s">
        <v>59</v>
      </c>
      <c r="B250">
        <v>610</v>
      </c>
      <c r="C250">
        <v>400</v>
      </c>
      <c r="D250">
        <v>350</v>
      </c>
      <c r="E250">
        <v>350</v>
      </c>
      <c r="F250">
        <v>350</v>
      </c>
      <c r="G250">
        <v>350</v>
      </c>
      <c r="H250">
        <v>350</v>
      </c>
      <c r="I250">
        <v>350</v>
      </c>
      <c r="J250">
        <v>350</v>
      </c>
      <c r="K250">
        <v>400</v>
      </c>
      <c r="L250">
        <v>450</v>
      </c>
      <c r="M250">
        <v>500</v>
      </c>
      <c r="N250">
        <v>500</v>
      </c>
      <c r="O250">
        <v>500</v>
      </c>
      <c r="P250">
        <v>500</v>
      </c>
      <c r="Q250">
        <v>550</v>
      </c>
      <c r="R250">
        <v>597</v>
      </c>
      <c r="S250">
        <v>597</v>
      </c>
      <c r="T250">
        <v>597</v>
      </c>
      <c r="U250">
        <v>597</v>
      </c>
      <c r="V250">
        <v>597</v>
      </c>
      <c r="W250">
        <v>597</v>
      </c>
      <c r="X250">
        <v>597</v>
      </c>
      <c r="Y250">
        <v>597</v>
      </c>
      <c r="Z250">
        <v>597</v>
      </c>
      <c r="AA250">
        <v>597.79999999999995</v>
      </c>
      <c r="AB250">
        <v>597.79999999999995</v>
      </c>
      <c r="AC250">
        <v>597.79999999999995</v>
      </c>
      <c r="AD250">
        <v>597.79999999999995</v>
      </c>
      <c r="AE250">
        <v>597.79999999999995</v>
      </c>
      <c r="AF250">
        <v>597.79999999999995</v>
      </c>
      <c r="AG250">
        <v>597.79999999999995</v>
      </c>
      <c r="AH250">
        <v>597.79999999999995</v>
      </c>
      <c r="AI250">
        <v>597.79999999999995</v>
      </c>
      <c r="AJ250">
        <v>597.79999999999995</v>
      </c>
      <c r="AK250">
        <v>597.79999999999995</v>
      </c>
      <c r="AL250">
        <v>597.79999999999995</v>
      </c>
      <c r="AM250">
        <v>597.79999999999995</v>
      </c>
      <c r="AN250">
        <v>597.79999999999995</v>
      </c>
      <c r="AO250">
        <v>597.79999999999995</v>
      </c>
      <c r="AP250">
        <v>597.79999999999995</v>
      </c>
      <c r="AQ250">
        <v>597.79999999999995</v>
      </c>
      <c r="AR250">
        <v>597.79999999999995</v>
      </c>
      <c r="AS250">
        <v>597.79999999999995</v>
      </c>
      <c r="AT250">
        <v>597.79999999999995</v>
      </c>
      <c r="AU250">
        <v>597.79999999999995</v>
      </c>
      <c r="AV250">
        <v>597.79999999999995</v>
      </c>
      <c r="AW250">
        <v>597.79999999999995</v>
      </c>
      <c r="AX250">
        <v>597.79999999999995</v>
      </c>
    </row>
    <row r="251" spans="1:50" x14ac:dyDescent="0.3">
      <c r="A251" t="s">
        <v>60</v>
      </c>
      <c r="B251">
        <v>610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3" spans="1:50" x14ac:dyDescent="0.3">
      <c r="A253" t="s">
        <v>374</v>
      </c>
      <c r="B253">
        <v>35.866149999999998</v>
      </c>
      <c r="C253">
        <v>33.81</v>
      </c>
      <c r="D253">
        <v>33.81</v>
      </c>
      <c r="E253">
        <v>33.81</v>
      </c>
      <c r="F253">
        <v>33.81</v>
      </c>
      <c r="G253">
        <v>33.81</v>
      </c>
      <c r="H253">
        <v>33.81</v>
      </c>
      <c r="I253">
        <v>33.81</v>
      </c>
      <c r="J253">
        <v>33.81</v>
      </c>
      <c r="K253">
        <v>33.81</v>
      </c>
      <c r="L253">
        <v>33.81</v>
      </c>
      <c r="M253">
        <v>33.81</v>
      </c>
      <c r="N253">
        <v>33.81</v>
      </c>
      <c r="O253">
        <v>33.81</v>
      </c>
      <c r="P253">
        <v>33.81</v>
      </c>
      <c r="Q253">
        <v>33.81</v>
      </c>
      <c r="R253">
        <v>33.81</v>
      </c>
      <c r="S253">
        <v>33.81</v>
      </c>
      <c r="T253">
        <v>33.81</v>
      </c>
      <c r="U253">
        <v>33.81</v>
      </c>
      <c r="V253">
        <v>33.81</v>
      </c>
      <c r="W253">
        <v>33.81</v>
      </c>
      <c r="X253">
        <v>33.81</v>
      </c>
      <c r="Y253">
        <v>33.81</v>
      </c>
      <c r="Z253">
        <v>33.81</v>
      </c>
      <c r="AA253">
        <v>33.81</v>
      </c>
      <c r="AB253">
        <v>33.81</v>
      </c>
      <c r="AC253">
        <v>33.81</v>
      </c>
      <c r="AD253">
        <v>33.81</v>
      </c>
      <c r="AE253">
        <v>33.81</v>
      </c>
      <c r="AF253">
        <v>33.81</v>
      </c>
      <c r="AG253">
        <v>33.81</v>
      </c>
      <c r="AH253">
        <v>33.81</v>
      </c>
      <c r="AI253">
        <v>33.81</v>
      </c>
      <c r="AJ253">
        <v>33.81</v>
      </c>
      <c r="AK253">
        <v>33.81</v>
      </c>
      <c r="AL253">
        <v>33.81</v>
      </c>
      <c r="AM253">
        <v>33.81</v>
      </c>
      <c r="AN253">
        <v>33.81</v>
      </c>
      <c r="AO253">
        <v>33.81</v>
      </c>
      <c r="AP253">
        <v>33.81</v>
      </c>
      <c r="AQ253">
        <v>33.81</v>
      </c>
      <c r="AR253">
        <v>33.81</v>
      </c>
      <c r="AS253">
        <v>33.81</v>
      </c>
      <c r="AT253">
        <v>33.81</v>
      </c>
      <c r="AU253">
        <v>33.81</v>
      </c>
      <c r="AV253">
        <v>33.81</v>
      </c>
      <c r="AW253">
        <v>33.81</v>
      </c>
      <c r="AX253">
        <v>33.81</v>
      </c>
    </row>
    <row r="255" spans="1:50" x14ac:dyDescent="0.3">
      <c r="A255" t="s">
        <v>293</v>
      </c>
      <c r="C255">
        <v>3790.68</v>
      </c>
      <c r="D255">
        <v>3660.68</v>
      </c>
      <c r="E255">
        <v>3530.68</v>
      </c>
      <c r="F255">
        <v>3429.68</v>
      </c>
      <c r="G255">
        <v>3330.68</v>
      </c>
      <c r="H255">
        <v>3328.68</v>
      </c>
      <c r="I255">
        <v>3328.68</v>
      </c>
      <c r="J255">
        <v>3322.68</v>
      </c>
      <c r="K255">
        <v>3572.68</v>
      </c>
      <c r="L255">
        <v>3772.68</v>
      </c>
      <c r="M255">
        <v>4022.68</v>
      </c>
      <c r="N255">
        <v>4022.68</v>
      </c>
      <c r="O255">
        <v>4024.42</v>
      </c>
      <c r="P255">
        <v>4069.07</v>
      </c>
      <c r="Q255">
        <v>4398.32</v>
      </c>
      <c r="R255">
        <v>4653.24</v>
      </c>
      <c r="S255">
        <v>4740.0200000000004</v>
      </c>
      <c r="T255">
        <v>4896.34</v>
      </c>
      <c r="U255">
        <v>5026.9799999999996</v>
      </c>
      <c r="V255">
        <v>5114.3999999999996</v>
      </c>
      <c r="W255">
        <v>5164.68</v>
      </c>
      <c r="X255">
        <v>5164.68</v>
      </c>
      <c r="Y255">
        <v>5163.68</v>
      </c>
      <c r="Z255">
        <v>5163.68</v>
      </c>
      <c r="AA255">
        <v>5171.78</v>
      </c>
      <c r="AB255">
        <v>5251.78</v>
      </c>
      <c r="AC255">
        <v>5252.78</v>
      </c>
      <c r="AD255">
        <v>5252.78</v>
      </c>
      <c r="AE255">
        <v>5241.78</v>
      </c>
      <c r="AF255">
        <v>5241.78</v>
      </c>
      <c r="AG255">
        <v>5241.78</v>
      </c>
      <c r="AH255">
        <v>5241.78</v>
      </c>
      <c r="AI255">
        <v>5241.78</v>
      </c>
      <c r="AJ255">
        <v>5275.78</v>
      </c>
      <c r="AK255">
        <v>5357.78</v>
      </c>
      <c r="AL255">
        <v>5405.83</v>
      </c>
      <c r="AM255">
        <v>5357.78</v>
      </c>
      <c r="AN255">
        <v>5358.78</v>
      </c>
      <c r="AO255">
        <v>5331.78</v>
      </c>
      <c r="AP255">
        <v>5070.78</v>
      </c>
      <c r="AQ255">
        <v>5047.78</v>
      </c>
      <c r="AR255">
        <v>5018.3</v>
      </c>
      <c r="AS255">
        <v>4874.45</v>
      </c>
      <c r="AT255">
        <v>4738.04</v>
      </c>
      <c r="AU255">
        <v>4541.01</v>
      </c>
      <c r="AV255">
        <v>4490.01</v>
      </c>
      <c r="AW255">
        <v>4490.01</v>
      </c>
      <c r="AX255">
        <v>4491.01</v>
      </c>
    </row>
    <row r="256" spans="1:50" x14ac:dyDescent="0.3">
      <c r="A256" t="s">
        <v>294</v>
      </c>
      <c r="C256">
        <v>5330.21</v>
      </c>
      <c r="D256">
        <v>5536.71</v>
      </c>
      <c r="E256">
        <v>5566.57</v>
      </c>
      <c r="F256">
        <v>5505.84</v>
      </c>
      <c r="G256">
        <v>5476.5</v>
      </c>
      <c r="H256">
        <v>5477.9</v>
      </c>
      <c r="I256">
        <v>5500.42</v>
      </c>
      <c r="J256">
        <v>5533.62</v>
      </c>
      <c r="K256">
        <v>5698.02</v>
      </c>
      <c r="L256">
        <v>5831.02</v>
      </c>
      <c r="M256">
        <v>5897.11</v>
      </c>
      <c r="N256">
        <v>5798.74</v>
      </c>
      <c r="O256">
        <v>5734.82</v>
      </c>
      <c r="P256">
        <v>5748.91</v>
      </c>
      <c r="Q256">
        <v>6124.64</v>
      </c>
      <c r="R256">
        <v>6361.94</v>
      </c>
      <c r="S256">
        <v>6634.73</v>
      </c>
      <c r="T256">
        <v>6690.72</v>
      </c>
      <c r="U256">
        <v>6722.74</v>
      </c>
      <c r="V256">
        <v>6848.68</v>
      </c>
      <c r="W256">
        <v>6882.47</v>
      </c>
      <c r="X256">
        <v>6912.1</v>
      </c>
      <c r="Y256">
        <v>6856.68</v>
      </c>
      <c r="Z256">
        <v>6613.26</v>
      </c>
      <c r="AA256">
        <v>6609.4</v>
      </c>
      <c r="AB256">
        <v>6777.55</v>
      </c>
      <c r="AC256">
        <v>7037.08</v>
      </c>
      <c r="AD256">
        <v>7103.75</v>
      </c>
      <c r="AE256">
        <v>7121.13</v>
      </c>
      <c r="AF256">
        <v>7121.57</v>
      </c>
      <c r="AG256">
        <v>7035.52</v>
      </c>
      <c r="AH256">
        <v>6994.11</v>
      </c>
      <c r="AI256">
        <v>6950.8</v>
      </c>
      <c r="AJ256">
        <v>7056.7</v>
      </c>
      <c r="AK256">
        <v>7372.52</v>
      </c>
      <c r="AL256">
        <v>7474.15</v>
      </c>
      <c r="AM256">
        <v>7357.64</v>
      </c>
      <c r="AN256">
        <v>7267.88</v>
      </c>
      <c r="AO256">
        <v>7184.96</v>
      </c>
      <c r="AP256">
        <v>7057.75</v>
      </c>
      <c r="AQ256">
        <v>6963.38</v>
      </c>
      <c r="AR256">
        <v>6859.84</v>
      </c>
      <c r="AS256">
        <v>6680.08</v>
      </c>
      <c r="AT256">
        <v>6532.21</v>
      </c>
      <c r="AU256">
        <v>6452.79</v>
      </c>
      <c r="AV256">
        <v>6334.46</v>
      </c>
      <c r="AW256">
        <v>6241.33</v>
      </c>
      <c r="AX256">
        <v>6101.64</v>
      </c>
    </row>
    <row r="258" spans="1:50" x14ac:dyDescent="0.3">
      <c r="A258" t="s">
        <v>375</v>
      </c>
    </row>
    <row r="259" spans="1:50" x14ac:dyDescent="0.3">
      <c r="C259" t="s">
        <v>253</v>
      </c>
      <c r="D259" t="s">
        <v>253</v>
      </c>
      <c r="E259" t="s">
        <v>253</v>
      </c>
      <c r="F259" t="s">
        <v>253</v>
      </c>
      <c r="G259" t="s">
        <v>253</v>
      </c>
      <c r="H259" t="s">
        <v>253</v>
      </c>
      <c r="I259" t="s">
        <v>253</v>
      </c>
      <c r="J259" t="s">
        <v>253</v>
      </c>
      <c r="K259" t="s">
        <v>253</v>
      </c>
      <c r="L259" t="s">
        <v>253</v>
      </c>
      <c r="M259" t="s">
        <v>253</v>
      </c>
      <c r="N259" t="s">
        <v>253</v>
      </c>
      <c r="O259" t="s">
        <v>253</v>
      </c>
      <c r="P259" t="s">
        <v>253</v>
      </c>
      <c r="Q259" t="s">
        <v>253</v>
      </c>
      <c r="R259" t="s">
        <v>253</v>
      </c>
      <c r="S259" t="s">
        <v>253</v>
      </c>
      <c r="T259" t="s">
        <v>253</v>
      </c>
      <c r="U259" t="s">
        <v>253</v>
      </c>
      <c r="V259" t="s">
        <v>253</v>
      </c>
      <c r="W259" t="s">
        <v>253</v>
      </c>
      <c r="X259" t="s">
        <v>253</v>
      </c>
      <c r="Y259" t="s">
        <v>253</v>
      </c>
      <c r="Z259" t="s">
        <v>253</v>
      </c>
      <c r="AA259" t="s">
        <v>253</v>
      </c>
      <c r="AB259" t="s">
        <v>253</v>
      </c>
      <c r="AC259" t="s">
        <v>253</v>
      </c>
      <c r="AD259" t="s">
        <v>253</v>
      </c>
      <c r="AE259" t="s">
        <v>253</v>
      </c>
      <c r="AF259" t="s">
        <v>253</v>
      </c>
      <c r="AG259" t="s">
        <v>253</v>
      </c>
      <c r="AH259" t="s">
        <v>253</v>
      </c>
      <c r="AI259" t="s">
        <v>253</v>
      </c>
      <c r="AJ259" t="s">
        <v>253</v>
      </c>
      <c r="AK259" t="s">
        <v>253</v>
      </c>
      <c r="AL259" t="s">
        <v>253</v>
      </c>
      <c r="AM259" t="s">
        <v>253</v>
      </c>
      <c r="AN259" t="s">
        <v>253</v>
      </c>
      <c r="AO259" t="s">
        <v>253</v>
      </c>
      <c r="AP259" t="s">
        <v>253</v>
      </c>
      <c r="AQ259" t="s">
        <v>253</v>
      </c>
      <c r="AR259" t="s">
        <v>253</v>
      </c>
      <c r="AS259" t="s">
        <v>253</v>
      </c>
      <c r="AT259" t="s">
        <v>253</v>
      </c>
      <c r="AU259" t="s">
        <v>253</v>
      </c>
      <c r="AV259" t="s">
        <v>253</v>
      </c>
      <c r="AW259" t="s">
        <v>253</v>
      </c>
      <c r="AX259" t="s">
        <v>253</v>
      </c>
    </row>
    <row r="261" spans="1:50" x14ac:dyDescent="0.3">
      <c r="A261" t="s">
        <v>376</v>
      </c>
      <c r="C261">
        <v>107</v>
      </c>
      <c r="D261">
        <v>107</v>
      </c>
      <c r="E261">
        <v>107</v>
      </c>
      <c r="F261">
        <v>107</v>
      </c>
      <c r="G261">
        <v>107</v>
      </c>
      <c r="H261">
        <v>107</v>
      </c>
      <c r="I261">
        <v>107</v>
      </c>
      <c r="J261">
        <v>107</v>
      </c>
      <c r="K261">
        <v>107</v>
      </c>
      <c r="L261">
        <v>107</v>
      </c>
      <c r="M261">
        <v>107</v>
      </c>
      <c r="N261">
        <v>107</v>
      </c>
      <c r="O261">
        <v>107</v>
      </c>
      <c r="P261">
        <v>107</v>
      </c>
      <c r="Q261">
        <v>107</v>
      </c>
      <c r="R261">
        <v>107</v>
      </c>
      <c r="S261">
        <v>107</v>
      </c>
      <c r="T261">
        <v>107</v>
      </c>
      <c r="U261">
        <v>107</v>
      </c>
      <c r="V261">
        <v>107</v>
      </c>
      <c r="W261">
        <v>107</v>
      </c>
      <c r="X261">
        <v>107</v>
      </c>
      <c r="Y261">
        <v>107</v>
      </c>
      <c r="Z261">
        <v>107</v>
      </c>
      <c r="AA261">
        <v>107</v>
      </c>
      <c r="AB261">
        <v>107</v>
      </c>
      <c r="AC261">
        <v>107</v>
      </c>
      <c r="AD261">
        <v>107</v>
      </c>
      <c r="AE261">
        <v>107</v>
      </c>
      <c r="AF261">
        <v>107</v>
      </c>
      <c r="AG261">
        <v>107</v>
      </c>
      <c r="AH261">
        <v>107</v>
      </c>
      <c r="AI261">
        <v>107</v>
      </c>
      <c r="AJ261">
        <v>107</v>
      </c>
      <c r="AK261">
        <v>107</v>
      </c>
      <c r="AL261">
        <v>107</v>
      </c>
      <c r="AM261">
        <v>132</v>
      </c>
      <c r="AN261">
        <v>137</v>
      </c>
      <c r="AO261">
        <v>132</v>
      </c>
      <c r="AP261">
        <v>132</v>
      </c>
      <c r="AQ261">
        <v>132</v>
      </c>
      <c r="AR261">
        <v>132</v>
      </c>
      <c r="AS261">
        <v>132</v>
      </c>
      <c r="AT261">
        <v>132</v>
      </c>
      <c r="AU261">
        <v>107</v>
      </c>
      <c r="AV261">
        <v>107</v>
      </c>
      <c r="AW261">
        <v>107</v>
      </c>
      <c r="AX261">
        <v>107</v>
      </c>
    </row>
    <row r="263" spans="1:50" x14ac:dyDescent="0.3">
      <c r="A263" t="s">
        <v>377</v>
      </c>
      <c r="C263">
        <v>130.44</v>
      </c>
      <c r="D263">
        <v>107</v>
      </c>
      <c r="E263">
        <v>85</v>
      </c>
      <c r="F263">
        <v>85</v>
      </c>
      <c r="G263">
        <v>85</v>
      </c>
      <c r="H263">
        <v>85</v>
      </c>
      <c r="I263">
        <v>85</v>
      </c>
      <c r="J263">
        <v>85</v>
      </c>
      <c r="K263">
        <v>85</v>
      </c>
      <c r="L263">
        <v>85</v>
      </c>
      <c r="M263">
        <v>85</v>
      </c>
      <c r="N263">
        <v>85</v>
      </c>
      <c r="O263">
        <v>85</v>
      </c>
      <c r="P263">
        <v>85</v>
      </c>
      <c r="Q263">
        <v>85</v>
      </c>
      <c r="R263">
        <v>85</v>
      </c>
      <c r="S263">
        <v>85</v>
      </c>
      <c r="T263">
        <v>85</v>
      </c>
      <c r="U263">
        <v>85</v>
      </c>
      <c r="V263">
        <v>85</v>
      </c>
      <c r="W263">
        <v>85</v>
      </c>
      <c r="X263">
        <v>85</v>
      </c>
      <c r="Y263">
        <v>85</v>
      </c>
      <c r="Z263">
        <v>85</v>
      </c>
      <c r="AA263">
        <v>85</v>
      </c>
      <c r="AB263">
        <v>85</v>
      </c>
      <c r="AC263">
        <v>85</v>
      </c>
      <c r="AD263">
        <v>85</v>
      </c>
      <c r="AE263">
        <v>85</v>
      </c>
      <c r="AF263">
        <v>85</v>
      </c>
      <c r="AG263">
        <v>85</v>
      </c>
      <c r="AH263">
        <v>85</v>
      </c>
      <c r="AI263">
        <v>85</v>
      </c>
      <c r="AJ263">
        <v>85</v>
      </c>
      <c r="AK263">
        <v>85</v>
      </c>
      <c r="AL263">
        <v>85</v>
      </c>
      <c r="AM263">
        <v>95</v>
      </c>
      <c r="AN263">
        <v>93</v>
      </c>
      <c r="AO263">
        <v>85</v>
      </c>
      <c r="AP263">
        <v>85</v>
      </c>
      <c r="AQ263">
        <v>85</v>
      </c>
      <c r="AR263">
        <v>85</v>
      </c>
      <c r="AS263">
        <v>85</v>
      </c>
      <c r="AT263">
        <v>85</v>
      </c>
      <c r="AU263">
        <v>85</v>
      </c>
      <c r="AV263">
        <v>85</v>
      </c>
      <c r="AW263">
        <v>85</v>
      </c>
      <c r="AX263">
        <v>85</v>
      </c>
    </row>
    <row r="265" spans="1:50" x14ac:dyDescent="0.3">
      <c r="A265" t="s">
        <v>378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10</v>
      </c>
      <c r="AM265">
        <v>35</v>
      </c>
      <c r="AN265">
        <v>40</v>
      </c>
      <c r="AO265">
        <v>39.5</v>
      </c>
      <c r="AP265">
        <v>30</v>
      </c>
      <c r="AQ265">
        <v>30</v>
      </c>
      <c r="AR265">
        <v>24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3">
      <c r="A266" t="s">
        <v>379</v>
      </c>
      <c r="B266">
        <v>40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15</v>
      </c>
      <c r="AM266">
        <v>35</v>
      </c>
      <c r="AN266">
        <v>40</v>
      </c>
      <c r="AO266">
        <v>40</v>
      </c>
      <c r="AP266">
        <v>30</v>
      </c>
      <c r="AQ266">
        <v>26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8" spans="1:50" x14ac:dyDescent="0.3">
      <c r="A268" t="s">
        <v>380</v>
      </c>
    </row>
    <row r="270" spans="1:50" x14ac:dyDescent="0.3">
      <c r="A270" t="s">
        <v>381</v>
      </c>
      <c r="B270">
        <v>16.670000000000002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13</v>
      </c>
      <c r="AG270">
        <v>11</v>
      </c>
      <c r="AH270">
        <v>11</v>
      </c>
      <c r="AI270">
        <v>8</v>
      </c>
      <c r="AJ270">
        <v>8</v>
      </c>
      <c r="AK270">
        <v>8</v>
      </c>
      <c r="AL270">
        <v>8</v>
      </c>
      <c r="AM270">
        <v>16</v>
      </c>
      <c r="AN270">
        <v>16</v>
      </c>
      <c r="AO270">
        <v>16</v>
      </c>
      <c r="AP270">
        <v>15</v>
      </c>
      <c r="AQ270">
        <v>12</v>
      </c>
      <c r="AR270">
        <v>12</v>
      </c>
      <c r="AS270">
        <v>12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3">
      <c r="A271" t="s">
        <v>382</v>
      </c>
      <c r="B271">
        <v>16.670000000000002</v>
      </c>
      <c r="C271">
        <v>11</v>
      </c>
      <c r="D271">
        <v>12.5</v>
      </c>
      <c r="E271">
        <v>16.670000000000002</v>
      </c>
      <c r="F271">
        <v>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12</v>
      </c>
      <c r="AE271">
        <v>13</v>
      </c>
      <c r="AF271">
        <v>13</v>
      </c>
      <c r="AG271">
        <v>13</v>
      </c>
      <c r="AH271">
        <v>11</v>
      </c>
      <c r="AI271">
        <v>8</v>
      </c>
      <c r="AJ271">
        <v>8</v>
      </c>
      <c r="AK271">
        <v>8</v>
      </c>
      <c r="AL271">
        <v>8</v>
      </c>
      <c r="AM271">
        <v>16</v>
      </c>
      <c r="AN271">
        <v>16</v>
      </c>
      <c r="AO271">
        <v>16</v>
      </c>
      <c r="AP271">
        <v>16</v>
      </c>
      <c r="AQ271">
        <v>12</v>
      </c>
      <c r="AR271">
        <v>12</v>
      </c>
      <c r="AS271">
        <v>12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3">
      <c r="A272" t="s">
        <v>383</v>
      </c>
      <c r="B272">
        <v>16.670000000000002</v>
      </c>
      <c r="C272">
        <v>11.5</v>
      </c>
      <c r="D272">
        <v>12.5</v>
      </c>
      <c r="E272">
        <v>16.670000000000002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13.5</v>
      </c>
      <c r="AF272">
        <v>13</v>
      </c>
      <c r="AG272">
        <v>13</v>
      </c>
      <c r="AH272">
        <v>12</v>
      </c>
      <c r="AI272">
        <v>8</v>
      </c>
      <c r="AJ272">
        <v>8</v>
      </c>
      <c r="AK272">
        <v>8</v>
      </c>
      <c r="AL272">
        <v>8</v>
      </c>
      <c r="AM272">
        <v>16</v>
      </c>
      <c r="AN272">
        <v>16</v>
      </c>
      <c r="AO272">
        <v>16</v>
      </c>
      <c r="AP272">
        <v>16</v>
      </c>
      <c r="AQ272">
        <v>12</v>
      </c>
      <c r="AR272">
        <v>12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4" spans="1:50" x14ac:dyDescent="0.3">
      <c r="A274" t="s">
        <v>384</v>
      </c>
      <c r="C274">
        <v>45</v>
      </c>
      <c r="D274">
        <v>45</v>
      </c>
      <c r="E274">
        <v>45</v>
      </c>
      <c r="F274">
        <v>45</v>
      </c>
      <c r="G274">
        <v>24</v>
      </c>
      <c r="H274">
        <v>20</v>
      </c>
      <c r="I274">
        <v>15</v>
      </c>
      <c r="J274">
        <v>15</v>
      </c>
      <c r="K274">
        <v>15</v>
      </c>
      <c r="L274">
        <v>19.5</v>
      </c>
      <c r="M274">
        <v>25</v>
      </c>
      <c r="N274">
        <v>33</v>
      </c>
      <c r="O274">
        <v>30</v>
      </c>
      <c r="P274">
        <v>20</v>
      </c>
      <c r="Q274">
        <v>35</v>
      </c>
      <c r="R274">
        <v>45</v>
      </c>
      <c r="S274">
        <v>45</v>
      </c>
      <c r="T274">
        <v>45</v>
      </c>
      <c r="U274">
        <v>45</v>
      </c>
      <c r="V274">
        <v>45</v>
      </c>
      <c r="W274">
        <v>45</v>
      </c>
      <c r="X274">
        <v>45</v>
      </c>
      <c r="Y274">
        <v>45</v>
      </c>
      <c r="Z274">
        <v>45</v>
      </c>
      <c r="AA274">
        <v>45</v>
      </c>
      <c r="AB274">
        <v>45</v>
      </c>
      <c r="AC274">
        <v>45.3</v>
      </c>
      <c r="AD274">
        <v>45</v>
      </c>
      <c r="AE274">
        <v>45</v>
      </c>
      <c r="AF274">
        <v>45</v>
      </c>
      <c r="AG274">
        <v>45</v>
      </c>
      <c r="AH274">
        <v>45</v>
      </c>
      <c r="AI274">
        <v>45</v>
      </c>
      <c r="AJ274">
        <v>45</v>
      </c>
      <c r="AK274">
        <v>45</v>
      </c>
      <c r="AL274">
        <v>45</v>
      </c>
      <c r="AM274">
        <v>45</v>
      </c>
      <c r="AN274">
        <v>45</v>
      </c>
      <c r="AO274">
        <v>45</v>
      </c>
      <c r="AP274">
        <v>45</v>
      </c>
      <c r="AQ274">
        <v>45</v>
      </c>
      <c r="AR274">
        <v>45</v>
      </c>
      <c r="AS274">
        <v>45</v>
      </c>
      <c r="AT274">
        <v>30.5</v>
      </c>
      <c r="AU274">
        <v>30</v>
      </c>
      <c r="AV274">
        <v>30</v>
      </c>
      <c r="AW274">
        <v>15</v>
      </c>
      <c r="AX274">
        <v>15</v>
      </c>
    </row>
    <row r="276" spans="1:50" x14ac:dyDescent="0.3">
      <c r="A276" t="s">
        <v>385</v>
      </c>
      <c r="C276">
        <v>45</v>
      </c>
      <c r="D276">
        <v>45.6</v>
      </c>
      <c r="E276">
        <v>45</v>
      </c>
      <c r="F276">
        <v>45</v>
      </c>
      <c r="G276">
        <v>23</v>
      </c>
      <c r="H276">
        <v>20</v>
      </c>
      <c r="I276">
        <v>15</v>
      </c>
      <c r="J276">
        <v>15</v>
      </c>
      <c r="K276">
        <v>15</v>
      </c>
      <c r="L276">
        <v>20</v>
      </c>
      <c r="M276">
        <v>25</v>
      </c>
      <c r="N276">
        <v>33</v>
      </c>
      <c r="O276">
        <v>30</v>
      </c>
      <c r="P276">
        <v>20</v>
      </c>
      <c r="Q276">
        <v>35</v>
      </c>
      <c r="R276">
        <v>45</v>
      </c>
      <c r="S276">
        <v>45</v>
      </c>
      <c r="T276">
        <v>45</v>
      </c>
      <c r="U276">
        <v>45</v>
      </c>
      <c r="V276">
        <v>45</v>
      </c>
      <c r="W276">
        <v>45</v>
      </c>
      <c r="X276">
        <v>45</v>
      </c>
      <c r="Y276">
        <v>45</v>
      </c>
      <c r="Z276">
        <v>45</v>
      </c>
      <c r="AA276">
        <v>45</v>
      </c>
      <c r="AB276">
        <v>45</v>
      </c>
      <c r="AC276">
        <v>45.3</v>
      </c>
      <c r="AD276">
        <v>45</v>
      </c>
      <c r="AE276">
        <v>45</v>
      </c>
      <c r="AF276">
        <v>45</v>
      </c>
      <c r="AG276">
        <v>45</v>
      </c>
      <c r="AH276">
        <v>45</v>
      </c>
      <c r="AI276">
        <v>45.6</v>
      </c>
      <c r="AJ276">
        <v>45</v>
      </c>
      <c r="AK276">
        <v>45</v>
      </c>
      <c r="AL276">
        <v>45</v>
      </c>
      <c r="AM276">
        <v>45</v>
      </c>
      <c r="AN276">
        <v>45</v>
      </c>
      <c r="AO276">
        <v>45</v>
      </c>
      <c r="AP276">
        <v>45</v>
      </c>
      <c r="AQ276">
        <v>45</v>
      </c>
      <c r="AR276">
        <v>45</v>
      </c>
      <c r="AS276">
        <v>45</v>
      </c>
      <c r="AT276">
        <v>42.77</v>
      </c>
      <c r="AU276">
        <v>30</v>
      </c>
      <c r="AV276">
        <v>30</v>
      </c>
      <c r="AW276">
        <v>30</v>
      </c>
      <c r="AX276">
        <v>30</v>
      </c>
    </row>
    <row r="278" spans="1:50" x14ac:dyDescent="0.3">
      <c r="A278" t="s">
        <v>386</v>
      </c>
      <c r="C278">
        <v>45</v>
      </c>
      <c r="D278">
        <v>45.6</v>
      </c>
      <c r="E278">
        <v>45</v>
      </c>
      <c r="F278">
        <v>45</v>
      </c>
      <c r="G278">
        <v>23</v>
      </c>
      <c r="H278">
        <v>20</v>
      </c>
      <c r="I278">
        <v>18</v>
      </c>
      <c r="J278">
        <v>15</v>
      </c>
      <c r="K278">
        <v>15.5</v>
      </c>
      <c r="L278">
        <v>20</v>
      </c>
      <c r="M278">
        <v>26.5</v>
      </c>
      <c r="N278">
        <v>33</v>
      </c>
      <c r="O278">
        <v>30</v>
      </c>
      <c r="P278">
        <v>22</v>
      </c>
      <c r="Q278">
        <v>40</v>
      </c>
      <c r="R278">
        <v>45</v>
      </c>
      <c r="S278">
        <v>45</v>
      </c>
      <c r="T278">
        <v>45</v>
      </c>
      <c r="U278">
        <v>45</v>
      </c>
      <c r="V278">
        <v>45</v>
      </c>
      <c r="W278">
        <v>45</v>
      </c>
      <c r="X278">
        <v>45</v>
      </c>
      <c r="Y278">
        <v>45</v>
      </c>
      <c r="Z278">
        <v>45</v>
      </c>
      <c r="AA278">
        <v>45</v>
      </c>
      <c r="AB278">
        <v>45</v>
      </c>
      <c r="AC278">
        <v>45</v>
      </c>
      <c r="AD278">
        <v>45</v>
      </c>
      <c r="AE278">
        <v>45</v>
      </c>
      <c r="AF278">
        <v>45</v>
      </c>
      <c r="AG278">
        <v>45</v>
      </c>
      <c r="AH278">
        <v>45</v>
      </c>
      <c r="AI278">
        <v>45.6</v>
      </c>
      <c r="AJ278">
        <v>45</v>
      </c>
      <c r="AK278">
        <v>45</v>
      </c>
      <c r="AL278">
        <v>45.6</v>
      </c>
      <c r="AM278">
        <v>45</v>
      </c>
      <c r="AN278">
        <v>45</v>
      </c>
      <c r="AO278">
        <v>45</v>
      </c>
      <c r="AP278">
        <v>45</v>
      </c>
      <c r="AQ278">
        <v>45</v>
      </c>
      <c r="AR278">
        <v>45</v>
      </c>
      <c r="AS278">
        <v>45</v>
      </c>
      <c r="AT278">
        <v>45</v>
      </c>
      <c r="AU278">
        <v>40</v>
      </c>
      <c r="AV278">
        <v>30</v>
      </c>
      <c r="AW278">
        <v>30</v>
      </c>
      <c r="AX278">
        <v>30</v>
      </c>
    </row>
    <row r="280" spans="1:50" x14ac:dyDescent="0.3">
      <c r="A280" t="s">
        <v>387</v>
      </c>
      <c r="C280">
        <v>45</v>
      </c>
      <c r="D280">
        <v>45.6</v>
      </c>
      <c r="E280">
        <v>45</v>
      </c>
      <c r="F280">
        <v>45</v>
      </c>
      <c r="G280">
        <v>23</v>
      </c>
      <c r="H280">
        <v>22</v>
      </c>
      <c r="I280">
        <v>20</v>
      </c>
      <c r="J280">
        <v>19</v>
      </c>
      <c r="K280">
        <v>20</v>
      </c>
      <c r="L280">
        <v>20</v>
      </c>
      <c r="M280">
        <v>30</v>
      </c>
      <c r="N280">
        <v>32</v>
      </c>
      <c r="O280">
        <v>30</v>
      </c>
      <c r="P280">
        <v>25</v>
      </c>
      <c r="Q280">
        <v>40</v>
      </c>
      <c r="R280">
        <v>45</v>
      </c>
      <c r="S280">
        <v>45</v>
      </c>
      <c r="T280">
        <v>45</v>
      </c>
      <c r="U280">
        <v>45</v>
      </c>
      <c r="V280">
        <v>45</v>
      </c>
      <c r="W280">
        <v>45</v>
      </c>
      <c r="X280">
        <v>45</v>
      </c>
      <c r="Y280">
        <v>45</v>
      </c>
      <c r="Z280">
        <v>45</v>
      </c>
      <c r="AA280">
        <v>45</v>
      </c>
      <c r="AB280">
        <v>45</v>
      </c>
      <c r="AC280">
        <v>45</v>
      </c>
      <c r="AD280">
        <v>45</v>
      </c>
      <c r="AE280">
        <v>45</v>
      </c>
      <c r="AF280">
        <v>45</v>
      </c>
      <c r="AG280">
        <v>45</v>
      </c>
      <c r="AH280">
        <v>45</v>
      </c>
      <c r="AI280">
        <v>45.6</v>
      </c>
      <c r="AJ280">
        <v>45</v>
      </c>
      <c r="AK280">
        <v>45</v>
      </c>
      <c r="AL280">
        <v>45.6</v>
      </c>
      <c r="AM280">
        <v>45</v>
      </c>
      <c r="AN280">
        <v>45</v>
      </c>
      <c r="AO280">
        <v>45</v>
      </c>
      <c r="AP280">
        <v>45</v>
      </c>
      <c r="AQ280">
        <v>45</v>
      </c>
      <c r="AR280">
        <v>45</v>
      </c>
      <c r="AS280">
        <v>45</v>
      </c>
      <c r="AT280">
        <v>45</v>
      </c>
      <c r="AU280">
        <v>40</v>
      </c>
      <c r="AV280">
        <v>30</v>
      </c>
      <c r="AW280">
        <v>30</v>
      </c>
      <c r="AX280">
        <v>30</v>
      </c>
    </row>
    <row r="281" spans="1:50" x14ac:dyDescent="0.3">
      <c r="C281" t="s">
        <v>289</v>
      </c>
      <c r="D281" t="s">
        <v>289</v>
      </c>
      <c r="E281" t="s">
        <v>289</v>
      </c>
      <c r="F281" t="s">
        <v>289</v>
      </c>
      <c r="G281" t="s">
        <v>289</v>
      </c>
      <c r="H281" t="s">
        <v>289</v>
      </c>
      <c r="I281" t="s">
        <v>289</v>
      </c>
      <c r="J281" t="s">
        <v>289</v>
      </c>
      <c r="K281" t="s">
        <v>289</v>
      </c>
      <c r="L281" t="s">
        <v>289</v>
      </c>
      <c r="M281" t="s">
        <v>289</v>
      </c>
      <c r="N281" t="s">
        <v>289</v>
      </c>
      <c r="O281" t="s">
        <v>289</v>
      </c>
      <c r="P281" t="s">
        <v>289</v>
      </c>
      <c r="Q281" t="s">
        <v>289</v>
      </c>
      <c r="R281" t="s">
        <v>289</v>
      </c>
      <c r="S281" t="s">
        <v>289</v>
      </c>
      <c r="T281" t="s">
        <v>289</v>
      </c>
      <c r="U281" t="s">
        <v>289</v>
      </c>
      <c r="V281" t="s">
        <v>289</v>
      </c>
      <c r="W281" t="s">
        <v>289</v>
      </c>
      <c r="X281" t="s">
        <v>289</v>
      </c>
      <c r="Y281" t="s">
        <v>289</v>
      </c>
      <c r="Z281" t="s">
        <v>289</v>
      </c>
      <c r="AA281" t="s">
        <v>289</v>
      </c>
      <c r="AB281" t="s">
        <v>289</v>
      </c>
      <c r="AC281" t="s">
        <v>289</v>
      </c>
      <c r="AD281" t="s">
        <v>289</v>
      </c>
      <c r="AE281" t="s">
        <v>289</v>
      </c>
      <c r="AF281" t="s">
        <v>289</v>
      </c>
      <c r="AG281" t="s">
        <v>289</v>
      </c>
      <c r="AH281" t="s">
        <v>289</v>
      </c>
      <c r="AI281" t="s">
        <v>289</v>
      </c>
      <c r="AJ281" t="s">
        <v>289</v>
      </c>
      <c r="AK281" t="s">
        <v>289</v>
      </c>
      <c r="AL281" t="s">
        <v>289</v>
      </c>
      <c r="AM281" t="s">
        <v>289</v>
      </c>
      <c r="AN281" t="s">
        <v>289</v>
      </c>
      <c r="AO281" t="s">
        <v>289</v>
      </c>
      <c r="AP281" t="s">
        <v>289</v>
      </c>
      <c r="AQ281" t="s">
        <v>289</v>
      </c>
      <c r="AR281" t="s">
        <v>289</v>
      </c>
      <c r="AS281" t="s">
        <v>289</v>
      </c>
      <c r="AT281" t="s">
        <v>289</v>
      </c>
      <c r="AU281" t="s">
        <v>289</v>
      </c>
      <c r="AV281" t="s">
        <v>289</v>
      </c>
      <c r="AW281" t="s">
        <v>289</v>
      </c>
      <c r="AX281" t="s">
        <v>289</v>
      </c>
    </row>
    <row r="283" spans="1:50" x14ac:dyDescent="0.3">
      <c r="A283" t="s">
        <v>388</v>
      </c>
      <c r="B283">
        <v>125</v>
      </c>
      <c r="C283">
        <v>125</v>
      </c>
      <c r="D283">
        <v>125</v>
      </c>
      <c r="E283">
        <v>121</v>
      </c>
      <c r="F283">
        <v>74</v>
      </c>
      <c r="G283">
        <v>62.5</v>
      </c>
      <c r="H283">
        <v>62.5</v>
      </c>
      <c r="I283">
        <v>62.5</v>
      </c>
      <c r="J283">
        <v>62.5</v>
      </c>
      <c r="K283">
        <v>62.5</v>
      </c>
      <c r="L283">
        <v>62.5</v>
      </c>
      <c r="M283">
        <v>62.5</v>
      </c>
      <c r="N283">
        <v>62.5</v>
      </c>
      <c r="O283">
        <v>62.5</v>
      </c>
      <c r="P283">
        <v>62.5</v>
      </c>
      <c r="Q283">
        <v>62.5</v>
      </c>
      <c r="R283">
        <v>68</v>
      </c>
      <c r="S283">
        <v>90</v>
      </c>
      <c r="T283">
        <v>95</v>
      </c>
      <c r="U283">
        <v>96</v>
      </c>
      <c r="V283">
        <v>110</v>
      </c>
      <c r="W283">
        <v>118.5</v>
      </c>
      <c r="X283">
        <v>120</v>
      </c>
      <c r="Y283">
        <v>120</v>
      </c>
      <c r="Z283">
        <v>110</v>
      </c>
      <c r="AA283">
        <v>115</v>
      </c>
      <c r="AB283">
        <v>118.5</v>
      </c>
      <c r="AC283">
        <v>125</v>
      </c>
      <c r="AD283">
        <v>125</v>
      </c>
      <c r="AE283">
        <v>125</v>
      </c>
      <c r="AF283">
        <v>125</v>
      </c>
      <c r="AG283">
        <v>125</v>
      </c>
      <c r="AH283">
        <v>125</v>
      </c>
      <c r="AI283">
        <v>123</v>
      </c>
      <c r="AJ283">
        <v>120</v>
      </c>
      <c r="AK283">
        <v>115</v>
      </c>
      <c r="AL283">
        <v>115</v>
      </c>
      <c r="AM283">
        <v>125</v>
      </c>
      <c r="AN283">
        <v>125</v>
      </c>
      <c r="AO283">
        <v>125</v>
      </c>
      <c r="AP283">
        <v>125</v>
      </c>
      <c r="AQ283">
        <v>125</v>
      </c>
      <c r="AR283">
        <v>125</v>
      </c>
      <c r="AS283">
        <v>125</v>
      </c>
      <c r="AT283">
        <v>125</v>
      </c>
      <c r="AU283">
        <v>122</v>
      </c>
      <c r="AV283">
        <v>118</v>
      </c>
      <c r="AW283">
        <v>110</v>
      </c>
      <c r="AX283">
        <v>100</v>
      </c>
    </row>
    <row r="284" spans="1:50" x14ac:dyDescent="0.3">
      <c r="A284" t="s">
        <v>389</v>
      </c>
      <c r="B284">
        <v>125</v>
      </c>
      <c r="C284">
        <v>125</v>
      </c>
      <c r="D284">
        <v>125</v>
      </c>
      <c r="E284">
        <v>125</v>
      </c>
      <c r="F284">
        <v>74</v>
      </c>
      <c r="G284">
        <v>62.5</v>
      </c>
      <c r="H284">
        <v>62.5</v>
      </c>
      <c r="I284">
        <v>62.5</v>
      </c>
      <c r="J284">
        <v>62.5</v>
      </c>
      <c r="K284">
        <v>62.5</v>
      </c>
      <c r="L284">
        <v>62.5</v>
      </c>
      <c r="M284">
        <v>62.5</v>
      </c>
      <c r="N284">
        <v>62.5</v>
      </c>
      <c r="O284">
        <v>62.5</v>
      </c>
      <c r="P284">
        <v>62.5</v>
      </c>
      <c r="Q284">
        <v>62.5</v>
      </c>
      <c r="R284">
        <v>68</v>
      </c>
      <c r="S284">
        <v>90.3</v>
      </c>
      <c r="T284">
        <v>95</v>
      </c>
      <c r="U284">
        <v>98</v>
      </c>
      <c r="V284">
        <v>110</v>
      </c>
      <c r="W284">
        <v>120</v>
      </c>
      <c r="X284">
        <v>120</v>
      </c>
      <c r="Y284">
        <v>120</v>
      </c>
      <c r="Z284">
        <v>114</v>
      </c>
      <c r="AA284">
        <v>115.3</v>
      </c>
      <c r="AB284">
        <v>120</v>
      </c>
      <c r="AC284">
        <v>125</v>
      </c>
      <c r="AD284">
        <v>125</v>
      </c>
      <c r="AE284">
        <v>125</v>
      </c>
      <c r="AF284">
        <v>125</v>
      </c>
      <c r="AG284">
        <v>125</v>
      </c>
      <c r="AH284">
        <v>125</v>
      </c>
      <c r="AI284">
        <v>120</v>
      </c>
      <c r="AJ284">
        <v>120</v>
      </c>
      <c r="AK284">
        <v>115</v>
      </c>
      <c r="AL284">
        <v>115</v>
      </c>
      <c r="AM284">
        <v>125</v>
      </c>
      <c r="AN284">
        <v>125</v>
      </c>
      <c r="AO284">
        <v>125</v>
      </c>
      <c r="AP284">
        <v>125</v>
      </c>
      <c r="AQ284">
        <v>125</v>
      </c>
      <c r="AR284">
        <v>125</v>
      </c>
      <c r="AS284">
        <v>125</v>
      </c>
      <c r="AT284">
        <v>125</v>
      </c>
      <c r="AU284">
        <v>125</v>
      </c>
      <c r="AV284">
        <v>118</v>
      </c>
      <c r="AW284">
        <v>110</v>
      </c>
      <c r="AX284">
        <v>100</v>
      </c>
    </row>
    <row r="285" spans="1:50" x14ac:dyDescent="0.3">
      <c r="A285" t="s">
        <v>390</v>
      </c>
      <c r="B285">
        <v>130</v>
      </c>
      <c r="C285">
        <v>130</v>
      </c>
      <c r="D285">
        <v>130</v>
      </c>
      <c r="E285">
        <v>130</v>
      </c>
      <c r="F285">
        <v>74</v>
      </c>
      <c r="G285">
        <v>65</v>
      </c>
      <c r="H285">
        <v>65</v>
      </c>
      <c r="I285">
        <v>65</v>
      </c>
      <c r="J285">
        <v>65</v>
      </c>
      <c r="K285">
        <v>65</v>
      </c>
      <c r="L285">
        <v>65</v>
      </c>
      <c r="M285">
        <v>65</v>
      </c>
      <c r="N285">
        <v>65</v>
      </c>
      <c r="O285">
        <v>65</v>
      </c>
      <c r="P285">
        <v>65</v>
      </c>
      <c r="Q285">
        <v>65</v>
      </c>
      <c r="R285">
        <v>68</v>
      </c>
      <c r="S285">
        <v>95</v>
      </c>
      <c r="T285">
        <v>100.5</v>
      </c>
      <c r="U285">
        <v>100</v>
      </c>
      <c r="V285">
        <v>113</v>
      </c>
      <c r="W285">
        <v>120</v>
      </c>
      <c r="X285">
        <v>121</v>
      </c>
      <c r="Y285">
        <v>122</v>
      </c>
      <c r="Z285">
        <v>130</v>
      </c>
      <c r="AA285">
        <v>117</v>
      </c>
      <c r="AB285">
        <v>120</v>
      </c>
      <c r="AC285">
        <v>130</v>
      </c>
      <c r="AD285">
        <v>130</v>
      </c>
      <c r="AE285">
        <v>130</v>
      </c>
      <c r="AF285">
        <v>130</v>
      </c>
      <c r="AG285">
        <v>130</v>
      </c>
      <c r="AH285">
        <v>130</v>
      </c>
      <c r="AI285">
        <v>130</v>
      </c>
      <c r="AJ285">
        <v>120.5</v>
      </c>
      <c r="AK285">
        <v>118</v>
      </c>
      <c r="AL285">
        <v>118</v>
      </c>
      <c r="AM285">
        <v>130</v>
      </c>
      <c r="AN285">
        <v>130</v>
      </c>
      <c r="AO285">
        <v>130</v>
      </c>
      <c r="AP285">
        <v>130</v>
      </c>
      <c r="AQ285">
        <v>130</v>
      </c>
      <c r="AR285">
        <v>130</v>
      </c>
      <c r="AS285">
        <v>130</v>
      </c>
      <c r="AT285">
        <v>130</v>
      </c>
      <c r="AU285">
        <v>130</v>
      </c>
      <c r="AV285">
        <v>120</v>
      </c>
      <c r="AW285">
        <v>114.5</v>
      </c>
      <c r="AX285">
        <v>100</v>
      </c>
    </row>
    <row r="287" spans="1:50" x14ac:dyDescent="0.3">
      <c r="A287" t="s">
        <v>391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25.76</v>
      </c>
      <c r="U287">
        <v>60</v>
      </c>
      <c r="V287">
        <v>60</v>
      </c>
      <c r="W287">
        <v>60</v>
      </c>
      <c r="X287">
        <v>60</v>
      </c>
      <c r="Y287">
        <v>60</v>
      </c>
      <c r="Z287">
        <v>60</v>
      </c>
      <c r="AA287">
        <v>60</v>
      </c>
      <c r="AB287">
        <v>60</v>
      </c>
      <c r="AC287">
        <v>60</v>
      </c>
      <c r="AD287">
        <v>60</v>
      </c>
      <c r="AE287">
        <v>60</v>
      </c>
      <c r="AF287">
        <v>60</v>
      </c>
      <c r="AG287">
        <v>60</v>
      </c>
      <c r="AH287">
        <v>60</v>
      </c>
      <c r="AI287">
        <v>60</v>
      </c>
      <c r="AJ287">
        <v>60</v>
      </c>
      <c r="AK287">
        <v>60</v>
      </c>
      <c r="AL287">
        <v>40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t="s">
        <v>392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90" spans="1:50" x14ac:dyDescent="0.3">
      <c r="A290" t="s">
        <v>393</v>
      </c>
      <c r="B290">
        <v>22.2</v>
      </c>
    </row>
    <row r="292" spans="1:50" x14ac:dyDescent="0.3">
      <c r="A292" t="s">
        <v>394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18.5</v>
      </c>
      <c r="P292">
        <v>50</v>
      </c>
      <c r="Q292">
        <v>50</v>
      </c>
      <c r="R292">
        <v>50</v>
      </c>
      <c r="S292">
        <v>50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50</v>
      </c>
      <c r="AC292">
        <v>50</v>
      </c>
      <c r="AD292">
        <v>50</v>
      </c>
      <c r="AE292">
        <v>50</v>
      </c>
      <c r="AF292">
        <v>50</v>
      </c>
      <c r="AG292">
        <v>50</v>
      </c>
      <c r="AH292">
        <v>50</v>
      </c>
      <c r="AI292">
        <v>50</v>
      </c>
      <c r="AJ292">
        <v>50</v>
      </c>
      <c r="AK292">
        <v>50</v>
      </c>
      <c r="AL292">
        <v>40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3">
      <c r="A293" t="s">
        <v>395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5" spans="1:50" x14ac:dyDescent="0.3">
      <c r="A295" t="s">
        <v>293</v>
      </c>
      <c r="C295">
        <v>819.94</v>
      </c>
      <c r="D295">
        <v>800.8</v>
      </c>
      <c r="E295">
        <v>781.34</v>
      </c>
      <c r="F295">
        <v>610</v>
      </c>
      <c r="G295">
        <v>475</v>
      </c>
      <c r="H295">
        <v>464</v>
      </c>
      <c r="I295">
        <v>450</v>
      </c>
      <c r="J295">
        <v>446</v>
      </c>
      <c r="K295">
        <v>447.5</v>
      </c>
      <c r="L295">
        <v>461.5</v>
      </c>
      <c r="M295">
        <v>488.5</v>
      </c>
      <c r="N295">
        <v>513</v>
      </c>
      <c r="O295">
        <v>520.5</v>
      </c>
      <c r="P295">
        <v>519</v>
      </c>
      <c r="Q295">
        <v>582</v>
      </c>
      <c r="R295">
        <v>626</v>
      </c>
      <c r="S295">
        <v>697.3</v>
      </c>
      <c r="T295">
        <v>738.26</v>
      </c>
      <c r="U295">
        <v>776</v>
      </c>
      <c r="V295">
        <v>815</v>
      </c>
      <c r="W295">
        <v>840.5</v>
      </c>
      <c r="X295">
        <v>843</v>
      </c>
      <c r="Y295">
        <v>844</v>
      </c>
      <c r="Z295">
        <v>836</v>
      </c>
      <c r="AA295">
        <v>829.3</v>
      </c>
      <c r="AB295">
        <v>840.5</v>
      </c>
      <c r="AC295">
        <v>862.6</v>
      </c>
      <c r="AD295">
        <v>878.5</v>
      </c>
      <c r="AE295">
        <v>888.5</v>
      </c>
      <c r="AF295">
        <v>901</v>
      </c>
      <c r="AG295">
        <v>899</v>
      </c>
      <c r="AH295">
        <v>896</v>
      </c>
      <c r="AI295">
        <v>880.8</v>
      </c>
      <c r="AJ295">
        <v>866.5</v>
      </c>
      <c r="AK295">
        <v>854</v>
      </c>
      <c r="AL295">
        <v>850.2</v>
      </c>
      <c r="AM295">
        <v>905</v>
      </c>
      <c r="AN295">
        <v>918</v>
      </c>
      <c r="AO295">
        <v>904.5</v>
      </c>
      <c r="AP295">
        <v>884</v>
      </c>
      <c r="AQ295">
        <v>869</v>
      </c>
      <c r="AR295">
        <v>837</v>
      </c>
      <c r="AS295">
        <v>801</v>
      </c>
      <c r="AT295">
        <v>760.27</v>
      </c>
      <c r="AU295">
        <v>709</v>
      </c>
      <c r="AV295">
        <v>668</v>
      </c>
      <c r="AW295">
        <v>631.5</v>
      </c>
      <c r="AX295">
        <v>597</v>
      </c>
    </row>
    <row r="296" spans="1:50" x14ac:dyDescent="0.3">
      <c r="A296" t="s">
        <v>294</v>
      </c>
      <c r="C296">
        <v>819.94</v>
      </c>
      <c r="D296">
        <v>800.8</v>
      </c>
      <c r="E296">
        <v>781.12</v>
      </c>
      <c r="F296">
        <v>760.03</v>
      </c>
      <c r="G296">
        <v>745.04</v>
      </c>
      <c r="H296">
        <v>733.8</v>
      </c>
      <c r="I296">
        <v>719.61</v>
      </c>
      <c r="J296">
        <v>716.03</v>
      </c>
      <c r="K296">
        <v>717.5</v>
      </c>
      <c r="L296">
        <v>731.53</v>
      </c>
      <c r="M296">
        <v>758.13</v>
      </c>
      <c r="N296">
        <v>785.28</v>
      </c>
      <c r="O296">
        <v>796.61</v>
      </c>
      <c r="P296">
        <v>799.01</v>
      </c>
      <c r="Q296">
        <v>866.34</v>
      </c>
      <c r="R296">
        <v>913.45</v>
      </c>
      <c r="S296">
        <v>986.72</v>
      </c>
      <c r="T296">
        <v>1028.3800000000001</v>
      </c>
      <c r="U296">
        <v>1066.6199999999999</v>
      </c>
      <c r="V296">
        <v>1105.8599999999999</v>
      </c>
      <c r="W296">
        <v>1131.22</v>
      </c>
      <c r="X296">
        <v>1133.6400000000001</v>
      </c>
      <c r="Y296">
        <v>1134.8499999999999</v>
      </c>
      <c r="Z296">
        <v>1127</v>
      </c>
      <c r="AA296">
        <v>1120</v>
      </c>
      <c r="AB296">
        <v>1131</v>
      </c>
      <c r="AC296">
        <v>1152.8900000000001</v>
      </c>
      <c r="AD296">
        <v>1168</v>
      </c>
      <c r="AE296">
        <v>1177</v>
      </c>
      <c r="AF296">
        <v>1186</v>
      </c>
      <c r="AG296">
        <v>1180</v>
      </c>
      <c r="AH296">
        <v>1173</v>
      </c>
      <c r="AI296">
        <v>1154</v>
      </c>
      <c r="AJ296">
        <v>1138</v>
      </c>
      <c r="AK296">
        <v>1124</v>
      </c>
      <c r="AL296">
        <v>1120</v>
      </c>
      <c r="AM296">
        <v>1174.75</v>
      </c>
      <c r="AN296">
        <v>1188</v>
      </c>
      <c r="AO296">
        <v>1174.3699999999999</v>
      </c>
      <c r="AP296">
        <v>1153.6400000000001</v>
      </c>
      <c r="AQ296">
        <v>1138.57</v>
      </c>
      <c r="AR296">
        <v>1106.69</v>
      </c>
      <c r="AS296">
        <v>1070.73</v>
      </c>
      <c r="AT296">
        <v>1030.21</v>
      </c>
      <c r="AU296">
        <v>979</v>
      </c>
      <c r="AV296">
        <v>937.7</v>
      </c>
      <c r="AW296">
        <v>901.22</v>
      </c>
      <c r="AX296">
        <v>866.68</v>
      </c>
    </row>
    <row r="298" spans="1:50" x14ac:dyDescent="0.3">
      <c r="A298" t="s">
        <v>396</v>
      </c>
    </row>
    <row r="300" spans="1:50" x14ac:dyDescent="0.3">
      <c r="A300" t="s">
        <v>397</v>
      </c>
      <c r="C300">
        <v>25635.39</v>
      </c>
      <c r="D300">
        <v>25592.880000000001</v>
      </c>
      <c r="E300">
        <v>25413.200000000001</v>
      </c>
      <c r="F300">
        <v>25155.89</v>
      </c>
      <c r="G300">
        <v>25031.19</v>
      </c>
      <c r="H300">
        <v>24851.13</v>
      </c>
      <c r="I300">
        <v>24837.13</v>
      </c>
      <c r="J300">
        <v>24954.84</v>
      </c>
      <c r="K300">
        <v>25541.87</v>
      </c>
      <c r="L300">
        <v>26319.75</v>
      </c>
      <c r="M300">
        <v>27048.82</v>
      </c>
      <c r="N300">
        <v>26835.08</v>
      </c>
      <c r="O300">
        <v>26617.94</v>
      </c>
      <c r="P300">
        <v>26960.560000000001</v>
      </c>
      <c r="Q300">
        <v>28331.83</v>
      </c>
      <c r="R300">
        <v>29455.37</v>
      </c>
      <c r="S300">
        <v>30320.560000000001</v>
      </c>
      <c r="T300">
        <v>31314.26</v>
      </c>
      <c r="U300">
        <v>31858.66</v>
      </c>
      <c r="V300">
        <v>32259.08</v>
      </c>
      <c r="W300">
        <v>32626.12</v>
      </c>
      <c r="X300">
        <v>32712.66</v>
      </c>
      <c r="Y300">
        <v>32477.83</v>
      </c>
      <c r="Z300">
        <v>31633.17</v>
      </c>
      <c r="AA300">
        <v>31608.81</v>
      </c>
      <c r="AB300">
        <v>32524.27</v>
      </c>
      <c r="AC300">
        <v>33774.269999999997</v>
      </c>
      <c r="AD300">
        <v>33872.29</v>
      </c>
      <c r="AE300">
        <v>33950.5</v>
      </c>
      <c r="AF300">
        <v>33948.239999999998</v>
      </c>
      <c r="AG300">
        <v>33920.86</v>
      </c>
      <c r="AH300">
        <v>33572.68</v>
      </c>
      <c r="AI300">
        <v>33326.83</v>
      </c>
      <c r="AJ300">
        <v>33251.42</v>
      </c>
      <c r="AK300">
        <v>33663.910000000003</v>
      </c>
      <c r="AL300">
        <v>34596.58</v>
      </c>
      <c r="AM300">
        <v>34387.61</v>
      </c>
      <c r="AN300">
        <v>34050.69</v>
      </c>
      <c r="AO300">
        <v>33868.980000000003</v>
      </c>
      <c r="AP300">
        <v>33545.449999999997</v>
      </c>
      <c r="AQ300">
        <v>33279.18</v>
      </c>
      <c r="AR300">
        <v>32770.26</v>
      </c>
      <c r="AS300">
        <v>32173.72</v>
      </c>
      <c r="AT300">
        <v>31495.09</v>
      </c>
      <c r="AU300">
        <v>30782.03</v>
      </c>
      <c r="AV300">
        <v>29958.71</v>
      </c>
      <c r="AW300">
        <v>29495.02</v>
      </c>
      <c r="AX300">
        <v>28784.1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00"/>
  <sheetViews>
    <sheetView workbookViewId="0"/>
  </sheetViews>
  <sheetFormatPr defaultRowHeight="14.4" x14ac:dyDescent="0.3"/>
  <sheetData>
    <row r="1" spans="1:50" x14ac:dyDescent="0.3">
      <c r="A1" t="s">
        <v>203</v>
      </c>
      <c r="B1" t="s">
        <v>131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</row>
    <row r="3" spans="1:50" x14ac:dyDescent="0.3">
      <c r="A3" t="s">
        <v>252</v>
      </c>
    </row>
    <row r="4" spans="1:50" x14ac:dyDescent="0.3">
      <c r="C4" t="s">
        <v>253</v>
      </c>
      <c r="D4" t="s">
        <v>253</v>
      </c>
      <c r="E4" t="s">
        <v>253</v>
      </c>
      <c r="F4" t="s">
        <v>253</v>
      </c>
      <c r="G4" t="s">
        <v>253</v>
      </c>
      <c r="H4" t="s">
        <v>253</v>
      </c>
      <c r="I4" t="s">
        <v>253</v>
      </c>
      <c r="J4" t="s">
        <v>253</v>
      </c>
      <c r="K4" t="s">
        <v>253</v>
      </c>
      <c r="L4" t="s">
        <v>253</v>
      </c>
      <c r="M4" t="s">
        <v>253</v>
      </c>
      <c r="N4" t="s">
        <v>253</v>
      </c>
      <c r="O4" t="s">
        <v>253</v>
      </c>
      <c r="P4" t="s">
        <v>253</v>
      </c>
      <c r="Q4" t="s">
        <v>253</v>
      </c>
      <c r="R4" t="s">
        <v>253</v>
      </c>
      <c r="S4" t="s">
        <v>253</v>
      </c>
      <c r="T4" t="s">
        <v>253</v>
      </c>
      <c r="U4" t="s">
        <v>253</v>
      </c>
      <c r="V4" t="s">
        <v>253</v>
      </c>
      <c r="W4" t="s">
        <v>253</v>
      </c>
      <c r="X4" t="s">
        <v>253</v>
      </c>
      <c r="Y4" t="s">
        <v>253</v>
      </c>
      <c r="Z4" t="s">
        <v>253</v>
      </c>
      <c r="AA4" t="s">
        <v>253</v>
      </c>
      <c r="AB4" t="s">
        <v>253</v>
      </c>
      <c r="AC4" t="s">
        <v>253</v>
      </c>
      <c r="AD4" t="s">
        <v>253</v>
      </c>
      <c r="AE4" t="s">
        <v>253</v>
      </c>
      <c r="AF4" t="s">
        <v>253</v>
      </c>
      <c r="AG4" t="s">
        <v>253</v>
      </c>
      <c r="AH4" t="s">
        <v>253</v>
      </c>
      <c r="AI4" t="s">
        <v>253</v>
      </c>
      <c r="AJ4" t="s">
        <v>253</v>
      </c>
      <c r="AK4" t="s">
        <v>253</v>
      </c>
      <c r="AL4" t="s">
        <v>253</v>
      </c>
      <c r="AM4" t="s">
        <v>253</v>
      </c>
      <c r="AN4" t="s">
        <v>253</v>
      </c>
      <c r="AO4" t="s">
        <v>253</v>
      </c>
      <c r="AP4" t="s">
        <v>253</v>
      </c>
      <c r="AQ4" t="s">
        <v>253</v>
      </c>
      <c r="AR4" t="s">
        <v>253</v>
      </c>
      <c r="AS4" t="s">
        <v>253</v>
      </c>
      <c r="AT4" t="s">
        <v>253</v>
      </c>
      <c r="AU4" t="s">
        <v>253</v>
      </c>
      <c r="AV4" t="s">
        <v>253</v>
      </c>
      <c r="AW4" t="s">
        <v>253</v>
      </c>
      <c r="AX4" t="s">
        <v>253</v>
      </c>
    </row>
    <row r="6" spans="1:50" x14ac:dyDescent="0.3">
      <c r="A6" t="s">
        <v>254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  <c r="AL6">
        <v>8</v>
      </c>
      <c r="AM6">
        <v>8</v>
      </c>
      <c r="AN6">
        <v>8</v>
      </c>
      <c r="AO6">
        <v>8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</row>
    <row r="8" spans="1:50" x14ac:dyDescent="0.3">
      <c r="A8" t="s">
        <v>255</v>
      </c>
      <c r="B8">
        <v>371.5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200</v>
      </c>
      <c r="AQ8">
        <v>200</v>
      </c>
      <c r="AR8">
        <v>250.01</v>
      </c>
      <c r="AS8">
        <v>200</v>
      </c>
      <c r="AT8">
        <v>200</v>
      </c>
      <c r="AU8">
        <v>200</v>
      </c>
      <c r="AV8">
        <v>200</v>
      </c>
      <c r="AW8">
        <v>200</v>
      </c>
      <c r="AX8">
        <v>200</v>
      </c>
    </row>
    <row r="9" spans="1:50" x14ac:dyDescent="0.3">
      <c r="A9" t="s">
        <v>256</v>
      </c>
      <c r="B9">
        <v>371.5</v>
      </c>
      <c r="C9">
        <v>200</v>
      </c>
      <c r="D9">
        <v>200</v>
      </c>
      <c r="E9">
        <v>200</v>
      </c>
      <c r="F9">
        <v>200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200</v>
      </c>
      <c r="O9">
        <v>200</v>
      </c>
      <c r="P9">
        <v>200</v>
      </c>
      <c r="Q9">
        <v>200</v>
      </c>
      <c r="R9">
        <v>200</v>
      </c>
      <c r="S9">
        <v>200</v>
      </c>
      <c r="T9">
        <v>240.51</v>
      </c>
      <c r="U9">
        <v>240.51</v>
      </c>
      <c r="V9">
        <v>240.51</v>
      </c>
      <c r="W9">
        <v>240.51</v>
      </c>
      <c r="X9">
        <v>240.51</v>
      </c>
      <c r="Y9">
        <v>240.51</v>
      </c>
      <c r="Z9">
        <v>240.51</v>
      </c>
      <c r="AA9">
        <v>240.51</v>
      </c>
      <c r="AB9">
        <v>240.51</v>
      </c>
      <c r="AC9">
        <v>240.51</v>
      </c>
      <c r="AD9">
        <v>240.51</v>
      </c>
      <c r="AE9">
        <v>240.51</v>
      </c>
      <c r="AF9">
        <v>240.51</v>
      </c>
      <c r="AG9">
        <v>240.51</v>
      </c>
      <c r="AH9">
        <v>240.51</v>
      </c>
      <c r="AI9">
        <v>240.51</v>
      </c>
      <c r="AJ9">
        <v>240.51</v>
      </c>
      <c r="AK9">
        <v>240.51</v>
      </c>
      <c r="AL9">
        <v>240.51</v>
      </c>
      <c r="AM9">
        <v>240.51</v>
      </c>
      <c r="AN9">
        <v>240.51</v>
      </c>
      <c r="AO9">
        <v>240.51</v>
      </c>
      <c r="AP9">
        <v>240.51</v>
      </c>
      <c r="AQ9">
        <v>240.51</v>
      </c>
      <c r="AR9">
        <v>284.2</v>
      </c>
      <c r="AS9">
        <v>200</v>
      </c>
      <c r="AT9">
        <v>200</v>
      </c>
      <c r="AU9">
        <v>200</v>
      </c>
      <c r="AV9">
        <v>200</v>
      </c>
      <c r="AW9">
        <v>200</v>
      </c>
      <c r="AX9">
        <v>200</v>
      </c>
    </row>
    <row r="10" spans="1:50" x14ac:dyDescent="0.3">
      <c r="A10" t="s">
        <v>257</v>
      </c>
      <c r="B10">
        <v>371.5</v>
      </c>
      <c r="C10">
        <v>200</v>
      </c>
      <c r="D10">
        <v>200</v>
      </c>
      <c r="E10">
        <v>200</v>
      </c>
      <c r="F10">
        <v>200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200</v>
      </c>
      <c r="T10">
        <v>284.2</v>
      </c>
      <c r="U10">
        <v>284.2</v>
      </c>
      <c r="V10">
        <v>284.2</v>
      </c>
      <c r="W10">
        <v>284.2</v>
      </c>
      <c r="X10">
        <v>284.2</v>
      </c>
      <c r="Y10">
        <v>284.2</v>
      </c>
      <c r="Z10">
        <v>284.2</v>
      </c>
      <c r="AA10">
        <v>284.2</v>
      </c>
      <c r="AB10">
        <v>284.2</v>
      </c>
      <c r="AC10">
        <v>284.2</v>
      </c>
      <c r="AD10">
        <v>284.2</v>
      </c>
      <c r="AE10">
        <v>284.2</v>
      </c>
      <c r="AF10">
        <v>284.2</v>
      </c>
      <c r="AG10">
        <v>284.2</v>
      </c>
      <c r="AH10">
        <v>284.2</v>
      </c>
      <c r="AI10">
        <v>284.2</v>
      </c>
      <c r="AJ10">
        <v>284.2</v>
      </c>
      <c r="AK10">
        <v>284.2</v>
      </c>
      <c r="AL10">
        <v>284.2</v>
      </c>
      <c r="AM10">
        <v>284.2</v>
      </c>
      <c r="AN10">
        <v>284.2</v>
      </c>
      <c r="AO10">
        <v>284.2</v>
      </c>
      <c r="AP10">
        <v>284.2</v>
      </c>
      <c r="AQ10">
        <v>284.2</v>
      </c>
      <c r="AR10">
        <v>284.2</v>
      </c>
      <c r="AS10">
        <v>200</v>
      </c>
      <c r="AT10">
        <v>200</v>
      </c>
      <c r="AU10">
        <v>200</v>
      </c>
      <c r="AV10">
        <v>200</v>
      </c>
      <c r="AW10">
        <v>200</v>
      </c>
      <c r="AX10">
        <v>200</v>
      </c>
    </row>
    <row r="11" spans="1:50" x14ac:dyDescent="0.3">
      <c r="A11" t="s">
        <v>258</v>
      </c>
      <c r="B11">
        <v>575.20000000000005</v>
      </c>
      <c r="C11">
        <v>500</v>
      </c>
      <c r="D11">
        <v>510</v>
      </c>
      <c r="E11">
        <v>510</v>
      </c>
      <c r="F11">
        <v>513.70000000000005</v>
      </c>
      <c r="G11">
        <v>563.70000000000005</v>
      </c>
      <c r="H11">
        <v>503.7</v>
      </c>
      <c r="I11">
        <v>503.7</v>
      </c>
      <c r="J11">
        <v>503.7</v>
      </c>
      <c r="K11">
        <v>503.7</v>
      </c>
      <c r="L11">
        <v>503.7</v>
      </c>
      <c r="M11">
        <v>503.7</v>
      </c>
      <c r="N11">
        <v>503.7</v>
      </c>
      <c r="O11">
        <v>563.70000000000005</v>
      </c>
      <c r="P11">
        <v>513.70000000000005</v>
      </c>
      <c r="Q11">
        <v>509.5</v>
      </c>
      <c r="R11">
        <v>419.5</v>
      </c>
      <c r="S11">
        <v>419.5</v>
      </c>
      <c r="T11">
        <v>563.70000000000005</v>
      </c>
      <c r="U11">
        <v>563.70000000000005</v>
      </c>
      <c r="V11">
        <v>563.70000000000005</v>
      </c>
      <c r="W11">
        <v>563.70000000000005</v>
      </c>
      <c r="X11">
        <v>563.70000000000005</v>
      </c>
      <c r="Y11">
        <v>563.70000000000005</v>
      </c>
      <c r="Z11">
        <v>563.70000000000005</v>
      </c>
      <c r="AA11">
        <v>563.70000000000005</v>
      </c>
      <c r="AB11">
        <v>563.70000000000005</v>
      </c>
      <c r="AC11">
        <v>563.70000000000005</v>
      </c>
      <c r="AD11">
        <v>563.70000000000005</v>
      </c>
      <c r="AE11">
        <v>563.70000000000005</v>
      </c>
      <c r="AF11">
        <v>563.70000000000005</v>
      </c>
      <c r="AG11">
        <v>563.70000000000005</v>
      </c>
      <c r="AH11">
        <v>563.70000000000005</v>
      </c>
      <c r="AI11">
        <v>563.70000000000005</v>
      </c>
      <c r="AJ11">
        <v>563.70000000000005</v>
      </c>
      <c r="AK11">
        <v>563.70000000000005</v>
      </c>
      <c r="AL11">
        <v>563.70000000000005</v>
      </c>
      <c r="AM11">
        <v>563.70000000000005</v>
      </c>
      <c r="AN11">
        <v>563.70000000000005</v>
      </c>
      <c r="AO11">
        <v>563.70000000000005</v>
      </c>
      <c r="AP11">
        <v>563.70000000000005</v>
      </c>
      <c r="AQ11">
        <v>563.70000000000005</v>
      </c>
      <c r="AR11">
        <v>563.70000000000005</v>
      </c>
      <c r="AS11">
        <v>490</v>
      </c>
      <c r="AT11">
        <v>513.70000000000005</v>
      </c>
      <c r="AU11">
        <v>563.70000000000005</v>
      </c>
      <c r="AV11">
        <v>503.7</v>
      </c>
      <c r="AW11">
        <v>503.7</v>
      </c>
      <c r="AX11">
        <v>503.7</v>
      </c>
    </row>
    <row r="12" spans="1:50" x14ac:dyDescent="0.3">
      <c r="A12" t="s">
        <v>259</v>
      </c>
      <c r="B12">
        <v>575.20000000000005</v>
      </c>
      <c r="C12">
        <v>300</v>
      </c>
      <c r="D12">
        <v>300</v>
      </c>
      <c r="E12">
        <v>300</v>
      </c>
      <c r="F12">
        <v>300</v>
      </c>
      <c r="G12">
        <v>340</v>
      </c>
      <c r="H12">
        <v>490</v>
      </c>
      <c r="I12">
        <v>496.3</v>
      </c>
      <c r="J12">
        <v>496.3</v>
      </c>
      <c r="K12">
        <v>496.3</v>
      </c>
      <c r="L12">
        <v>496.3</v>
      </c>
      <c r="M12">
        <v>496.3</v>
      </c>
      <c r="N12">
        <v>490</v>
      </c>
      <c r="O12">
        <v>340</v>
      </c>
      <c r="P12">
        <v>300</v>
      </c>
      <c r="Q12">
        <v>300</v>
      </c>
      <c r="R12">
        <v>340</v>
      </c>
      <c r="S12">
        <v>340</v>
      </c>
      <c r="T12">
        <v>563.70000000000005</v>
      </c>
      <c r="U12">
        <v>563.70000000000005</v>
      </c>
      <c r="V12">
        <v>563.70000000000005</v>
      </c>
      <c r="W12">
        <v>563.70000000000005</v>
      </c>
      <c r="X12">
        <v>563.70000000000005</v>
      </c>
      <c r="Y12">
        <v>563.70000000000005</v>
      </c>
      <c r="Z12">
        <v>563.70000000000005</v>
      </c>
      <c r="AA12">
        <v>563.70000000000005</v>
      </c>
      <c r="AB12">
        <v>563.70000000000005</v>
      </c>
      <c r="AC12">
        <v>563.70000000000005</v>
      </c>
      <c r="AD12">
        <v>563.70000000000005</v>
      </c>
      <c r="AE12">
        <v>563.70000000000005</v>
      </c>
      <c r="AF12">
        <v>563.70000000000005</v>
      </c>
      <c r="AG12">
        <v>563.70000000000005</v>
      </c>
      <c r="AH12">
        <v>563.70000000000005</v>
      </c>
      <c r="AI12">
        <v>563.70000000000005</v>
      </c>
      <c r="AJ12">
        <v>563.70000000000005</v>
      </c>
      <c r="AK12">
        <v>563.70000000000005</v>
      </c>
      <c r="AL12">
        <v>563.70000000000005</v>
      </c>
      <c r="AM12">
        <v>563.70000000000005</v>
      </c>
      <c r="AN12">
        <v>563.70000000000005</v>
      </c>
      <c r="AO12">
        <v>563.70000000000005</v>
      </c>
      <c r="AP12">
        <v>563.70000000000005</v>
      </c>
      <c r="AQ12">
        <v>563.70000000000005</v>
      </c>
      <c r="AR12">
        <v>470</v>
      </c>
      <c r="AS12">
        <v>320</v>
      </c>
      <c r="AT12">
        <v>300</v>
      </c>
      <c r="AU12">
        <v>340</v>
      </c>
      <c r="AV12">
        <v>490</v>
      </c>
      <c r="AW12">
        <v>496.3</v>
      </c>
      <c r="AX12">
        <v>496.3</v>
      </c>
    </row>
    <row r="13" spans="1:50" x14ac:dyDescent="0.3">
      <c r="A13" t="s">
        <v>260</v>
      </c>
      <c r="B13">
        <v>575.20000000000005</v>
      </c>
      <c r="C13">
        <v>500</v>
      </c>
      <c r="D13">
        <v>490</v>
      </c>
      <c r="E13">
        <v>490</v>
      </c>
      <c r="F13">
        <v>486.3</v>
      </c>
      <c r="G13">
        <v>396.3</v>
      </c>
      <c r="H13">
        <v>306.3</v>
      </c>
      <c r="I13">
        <v>300</v>
      </c>
      <c r="J13">
        <v>300</v>
      </c>
      <c r="K13">
        <v>300</v>
      </c>
      <c r="L13">
        <v>300</v>
      </c>
      <c r="M13">
        <v>300</v>
      </c>
      <c r="N13">
        <v>306.3</v>
      </c>
      <c r="O13">
        <v>396.3</v>
      </c>
      <c r="P13">
        <v>486.3</v>
      </c>
      <c r="Q13">
        <v>490.5</v>
      </c>
      <c r="R13">
        <v>540.5</v>
      </c>
      <c r="S13">
        <v>540.5</v>
      </c>
      <c r="T13">
        <v>563.70000000000005</v>
      </c>
      <c r="U13">
        <v>563.70000000000005</v>
      </c>
      <c r="V13">
        <v>563.70000000000005</v>
      </c>
      <c r="W13">
        <v>563.70000000000005</v>
      </c>
      <c r="X13">
        <v>563.70000000000005</v>
      </c>
      <c r="Y13">
        <v>563.70000000000005</v>
      </c>
      <c r="Z13">
        <v>563.70000000000005</v>
      </c>
      <c r="AA13">
        <v>563.70000000000005</v>
      </c>
      <c r="AB13">
        <v>563.70000000000005</v>
      </c>
      <c r="AC13">
        <v>563.70000000000005</v>
      </c>
      <c r="AD13">
        <v>563.70000000000005</v>
      </c>
      <c r="AE13">
        <v>563.70000000000005</v>
      </c>
      <c r="AF13">
        <v>563.70000000000005</v>
      </c>
      <c r="AG13">
        <v>563.70000000000005</v>
      </c>
      <c r="AH13">
        <v>563.70000000000005</v>
      </c>
      <c r="AI13">
        <v>563.70000000000005</v>
      </c>
      <c r="AJ13">
        <v>563.70000000000005</v>
      </c>
      <c r="AK13">
        <v>563.70000000000005</v>
      </c>
      <c r="AL13">
        <v>563.70000000000005</v>
      </c>
      <c r="AM13">
        <v>563.70000000000005</v>
      </c>
      <c r="AN13">
        <v>563.70000000000005</v>
      </c>
      <c r="AO13">
        <v>563.70000000000005</v>
      </c>
      <c r="AP13">
        <v>563.70000000000005</v>
      </c>
      <c r="AQ13">
        <v>563.70000000000005</v>
      </c>
      <c r="AR13">
        <v>563.70000000000005</v>
      </c>
      <c r="AS13">
        <v>490</v>
      </c>
      <c r="AT13">
        <v>486.3</v>
      </c>
      <c r="AU13">
        <v>396.3</v>
      </c>
      <c r="AV13">
        <v>306.3</v>
      </c>
      <c r="AW13">
        <v>300</v>
      </c>
      <c r="AX13">
        <v>300</v>
      </c>
    </row>
    <row r="15" spans="1:50" x14ac:dyDescent="0.3">
      <c r="A15" t="s">
        <v>261</v>
      </c>
      <c r="C15">
        <v>204.4</v>
      </c>
      <c r="D15">
        <v>204.4</v>
      </c>
      <c r="E15">
        <v>204.4</v>
      </c>
      <c r="F15">
        <v>204.4</v>
      </c>
      <c r="G15">
        <v>204.4</v>
      </c>
      <c r="H15">
        <v>204.4</v>
      </c>
      <c r="I15">
        <v>204.4</v>
      </c>
      <c r="J15">
        <v>204.4</v>
      </c>
      <c r="K15">
        <v>204.4</v>
      </c>
      <c r="L15">
        <v>204.4</v>
      </c>
      <c r="M15">
        <v>204.4</v>
      </c>
      <c r="N15">
        <v>279.55</v>
      </c>
      <c r="O15">
        <v>306.60000000000002</v>
      </c>
      <c r="P15">
        <v>547.5</v>
      </c>
      <c r="Q15">
        <v>547.5</v>
      </c>
      <c r="R15">
        <v>547.5</v>
      </c>
      <c r="S15">
        <v>547.5</v>
      </c>
      <c r="T15">
        <v>354.78</v>
      </c>
      <c r="U15">
        <v>355.67</v>
      </c>
      <c r="V15">
        <v>354.78</v>
      </c>
      <c r="W15">
        <v>354.78</v>
      </c>
      <c r="X15">
        <v>354.78</v>
      </c>
      <c r="Y15">
        <v>354.78</v>
      </c>
      <c r="Z15">
        <v>354.78</v>
      </c>
      <c r="AA15">
        <v>354.78</v>
      </c>
      <c r="AB15">
        <v>357.72</v>
      </c>
      <c r="AC15">
        <v>381.06</v>
      </c>
      <c r="AD15">
        <v>381.06</v>
      </c>
      <c r="AE15">
        <v>381.06</v>
      </c>
      <c r="AF15">
        <v>381.06</v>
      </c>
      <c r="AG15">
        <v>381.06</v>
      </c>
      <c r="AH15">
        <v>354.78</v>
      </c>
      <c r="AI15">
        <v>354.78</v>
      </c>
      <c r="AJ15">
        <v>354.78</v>
      </c>
      <c r="AK15">
        <v>354.78</v>
      </c>
      <c r="AL15">
        <v>386.9</v>
      </c>
      <c r="AM15">
        <v>354.78</v>
      </c>
      <c r="AN15">
        <v>354.78</v>
      </c>
      <c r="AO15">
        <v>354.78</v>
      </c>
      <c r="AP15">
        <v>354.78</v>
      </c>
      <c r="AQ15">
        <v>354.78</v>
      </c>
      <c r="AR15">
        <v>354.78</v>
      </c>
      <c r="AS15">
        <v>354.78</v>
      </c>
      <c r="AT15">
        <v>354.78</v>
      </c>
      <c r="AU15">
        <v>252.58</v>
      </c>
      <c r="AV15">
        <v>252.58</v>
      </c>
      <c r="AW15">
        <v>251.49</v>
      </c>
      <c r="AX15">
        <v>204.4</v>
      </c>
    </row>
    <row r="16" spans="1:50" x14ac:dyDescent="0.3">
      <c r="A16" t="s">
        <v>262</v>
      </c>
      <c r="C16">
        <v>204.4</v>
      </c>
      <c r="D16">
        <v>204.4</v>
      </c>
      <c r="E16">
        <v>204.4</v>
      </c>
      <c r="F16">
        <v>204.4</v>
      </c>
      <c r="G16">
        <v>204.4</v>
      </c>
      <c r="H16">
        <v>204.4</v>
      </c>
      <c r="I16">
        <v>204.4</v>
      </c>
      <c r="J16">
        <v>204.4</v>
      </c>
      <c r="K16">
        <v>204.4</v>
      </c>
      <c r="L16">
        <v>204.4</v>
      </c>
      <c r="M16">
        <v>204.4</v>
      </c>
      <c r="N16">
        <v>204.4</v>
      </c>
      <c r="O16">
        <v>204.4</v>
      </c>
      <c r="P16">
        <v>204.4</v>
      </c>
      <c r="Q16">
        <v>204.4</v>
      </c>
      <c r="R16">
        <v>204.4</v>
      </c>
      <c r="S16">
        <v>204.4</v>
      </c>
      <c r="T16">
        <v>252.58</v>
      </c>
      <c r="U16">
        <v>253.59</v>
      </c>
      <c r="V16">
        <v>252.58</v>
      </c>
      <c r="W16">
        <v>252.58</v>
      </c>
      <c r="X16">
        <v>252.58</v>
      </c>
      <c r="Y16">
        <v>252.58</v>
      </c>
      <c r="Z16">
        <v>252.58</v>
      </c>
      <c r="AA16">
        <v>252.58</v>
      </c>
      <c r="AB16">
        <v>261.31</v>
      </c>
      <c r="AC16">
        <v>278.86</v>
      </c>
      <c r="AD16">
        <v>278.86</v>
      </c>
      <c r="AE16">
        <v>278.86</v>
      </c>
      <c r="AF16">
        <v>278.86</v>
      </c>
      <c r="AG16">
        <v>278.86</v>
      </c>
      <c r="AH16">
        <v>252.58</v>
      </c>
      <c r="AI16">
        <v>252.58</v>
      </c>
      <c r="AJ16">
        <v>252.58</v>
      </c>
      <c r="AK16">
        <v>252.58</v>
      </c>
      <c r="AL16">
        <v>284.7</v>
      </c>
      <c r="AM16">
        <v>252.58</v>
      </c>
      <c r="AN16">
        <v>252.58</v>
      </c>
      <c r="AO16">
        <v>252.58</v>
      </c>
      <c r="AP16">
        <v>252.58</v>
      </c>
      <c r="AQ16">
        <v>252.58</v>
      </c>
      <c r="AR16">
        <v>252.58</v>
      </c>
      <c r="AS16">
        <v>252.58</v>
      </c>
      <c r="AT16">
        <v>252.58</v>
      </c>
      <c r="AU16">
        <v>252.58</v>
      </c>
      <c r="AV16">
        <v>231.54</v>
      </c>
      <c r="AW16">
        <v>250.23</v>
      </c>
      <c r="AX16">
        <v>248.21</v>
      </c>
    </row>
    <row r="17" spans="1:50" x14ac:dyDescent="0.3">
      <c r="A17" t="s">
        <v>263</v>
      </c>
      <c r="C17">
        <v>444.26</v>
      </c>
      <c r="D17">
        <v>444.26</v>
      </c>
      <c r="E17">
        <v>444.26</v>
      </c>
      <c r="F17">
        <v>444.26</v>
      </c>
      <c r="G17">
        <v>444.26</v>
      </c>
      <c r="H17">
        <v>444.26</v>
      </c>
      <c r="I17">
        <v>444.26</v>
      </c>
      <c r="J17">
        <v>444.26</v>
      </c>
      <c r="K17">
        <v>444.26</v>
      </c>
      <c r="L17">
        <v>444.26</v>
      </c>
      <c r="M17">
        <v>444.26</v>
      </c>
      <c r="N17">
        <v>444.26</v>
      </c>
      <c r="O17">
        <v>444.26</v>
      </c>
      <c r="P17">
        <v>444.26</v>
      </c>
      <c r="Q17">
        <v>444.26</v>
      </c>
      <c r="R17">
        <v>539.23</v>
      </c>
      <c r="S17">
        <v>539.23</v>
      </c>
      <c r="T17">
        <v>696.32</v>
      </c>
      <c r="U17">
        <v>720</v>
      </c>
      <c r="V17">
        <v>666.77</v>
      </c>
      <c r="W17">
        <v>697.07</v>
      </c>
      <c r="X17">
        <v>716.77</v>
      </c>
      <c r="Y17">
        <v>705.05</v>
      </c>
      <c r="Z17">
        <v>693.65</v>
      </c>
      <c r="AA17">
        <v>675.64</v>
      </c>
      <c r="AB17">
        <v>720</v>
      </c>
      <c r="AC17">
        <v>720</v>
      </c>
      <c r="AD17">
        <v>720</v>
      </c>
      <c r="AE17">
        <v>720</v>
      </c>
      <c r="AF17">
        <v>720</v>
      </c>
      <c r="AG17">
        <v>720</v>
      </c>
      <c r="AH17">
        <v>717.83</v>
      </c>
      <c r="AI17">
        <v>684.69</v>
      </c>
      <c r="AJ17">
        <v>652.11</v>
      </c>
      <c r="AK17">
        <v>582.64</v>
      </c>
      <c r="AL17">
        <v>720</v>
      </c>
      <c r="AM17">
        <v>713.87</v>
      </c>
      <c r="AN17">
        <v>626.54999999999995</v>
      </c>
      <c r="AO17">
        <v>582.24</v>
      </c>
      <c r="AP17">
        <v>539.23</v>
      </c>
      <c r="AQ17">
        <v>626.54999999999995</v>
      </c>
      <c r="AR17">
        <v>611.80999999999995</v>
      </c>
      <c r="AS17">
        <v>637.14</v>
      </c>
      <c r="AT17">
        <v>574.20000000000005</v>
      </c>
      <c r="AU17">
        <v>636.72</v>
      </c>
      <c r="AV17">
        <v>539.23</v>
      </c>
      <c r="AW17">
        <v>539.23</v>
      </c>
      <c r="AX17">
        <v>539.23</v>
      </c>
    </row>
    <row r="18" spans="1:50" x14ac:dyDescent="0.3">
      <c r="A18" t="s">
        <v>264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53.74</v>
      </c>
      <c r="V18">
        <v>150</v>
      </c>
      <c r="W18">
        <v>150</v>
      </c>
      <c r="X18">
        <v>150</v>
      </c>
      <c r="Y18">
        <v>150</v>
      </c>
      <c r="Z18">
        <v>150</v>
      </c>
      <c r="AA18">
        <v>150</v>
      </c>
      <c r="AB18">
        <v>150</v>
      </c>
      <c r="AC18">
        <v>164.97</v>
      </c>
      <c r="AD18">
        <v>172.28</v>
      </c>
      <c r="AE18">
        <v>179.16</v>
      </c>
      <c r="AF18">
        <v>180.01</v>
      </c>
      <c r="AG18">
        <v>168.78</v>
      </c>
      <c r="AH18">
        <v>150</v>
      </c>
      <c r="AI18">
        <v>150</v>
      </c>
      <c r="AJ18">
        <v>150</v>
      </c>
      <c r="AK18">
        <v>150</v>
      </c>
      <c r="AL18">
        <v>221</v>
      </c>
      <c r="AM18">
        <v>150</v>
      </c>
      <c r="AN18">
        <v>150</v>
      </c>
      <c r="AO18">
        <v>150</v>
      </c>
      <c r="AP18">
        <v>150</v>
      </c>
      <c r="AQ18">
        <v>75</v>
      </c>
      <c r="AR18">
        <v>25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20" spans="1:50" x14ac:dyDescent="0.3">
      <c r="A20" t="s">
        <v>265</v>
      </c>
      <c r="B20">
        <v>56.5</v>
      </c>
      <c r="C20">
        <v>56.5</v>
      </c>
      <c r="D20">
        <v>56.5</v>
      </c>
      <c r="E20">
        <v>56.5</v>
      </c>
      <c r="F20">
        <v>56.5</v>
      </c>
      <c r="G20">
        <v>56.5</v>
      </c>
      <c r="H20">
        <v>56.5</v>
      </c>
      <c r="I20">
        <v>56.5</v>
      </c>
      <c r="J20">
        <v>56.5</v>
      </c>
      <c r="K20">
        <v>56.5</v>
      </c>
      <c r="L20">
        <v>56.5</v>
      </c>
      <c r="M20">
        <v>56.5</v>
      </c>
      <c r="N20">
        <v>56.5</v>
      </c>
      <c r="O20">
        <v>56.5</v>
      </c>
      <c r="P20">
        <v>56.5</v>
      </c>
      <c r="Q20">
        <v>46.5</v>
      </c>
      <c r="R20">
        <v>46.5</v>
      </c>
      <c r="S20">
        <v>56.5</v>
      </c>
      <c r="T20">
        <v>56.5</v>
      </c>
      <c r="U20">
        <v>56.5</v>
      </c>
      <c r="V20">
        <v>56.5</v>
      </c>
      <c r="W20">
        <v>56.5</v>
      </c>
      <c r="X20">
        <v>56.5</v>
      </c>
      <c r="Y20">
        <v>56.5</v>
      </c>
      <c r="Z20">
        <v>56.5</v>
      </c>
      <c r="AA20">
        <v>56.5</v>
      </c>
      <c r="AB20">
        <v>56.5</v>
      </c>
      <c r="AC20">
        <v>56.5</v>
      </c>
      <c r="AD20">
        <v>56.5</v>
      </c>
      <c r="AE20">
        <v>56.5</v>
      </c>
      <c r="AF20">
        <v>56.5</v>
      </c>
      <c r="AG20">
        <v>56.5</v>
      </c>
      <c r="AH20">
        <v>56.5</v>
      </c>
      <c r="AI20">
        <v>56.5</v>
      </c>
      <c r="AJ20">
        <v>56.5</v>
      </c>
      <c r="AK20">
        <v>56.5</v>
      </c>
      <c r="AL20">
        <v>56.5</v>
      </c>
      <c r="AM20">
        <v>56.5</v>
      </c>
      <c r="AN20">
        <v>56.5</v>
      </c>
      <c r="AO20">
        <v>56.5</v>
      </c>
      <c r="AP20">
        <v>56.5</v>
      </c>
      <c r="AQ20">
        <v>56.5</v>
      </c>
      <c r="AR20">
        <v>56.5</v>
      </c>
      <c r="AS20">
        <v>56.5</v>
      </c>
      <c r="AT20">
        <v>56.5</v>
      </c>
      <c r="AU20">
        <v>56.5</v>
      </c>
      <c r="AV20">
        <v>56.5</v>
      </c>
      <c r="AW20">
        <v>56.5</v>
      </c>
      <c r="AX20">
        <v>56.5</v>
      </c>
    </row>
    <row r="21" spans="1:50" x14ac:dyDescent="0.3">
      <c r="A21" t="s">
        <v>266</v>
      </c>
      <c r="B21">
        <v>56.5</v>
      </c>
      <c r="C21">
        <v>56.5</v>
      </c>
      <c r="D21">
        <v>56.5</v>
      </c>
      <c r="E21">
        <v>56.5</v>
      </c>
      <c r="F21">
        <v>56.5</v>
      </c>
      <c r="G21">
        <v>56.5</v>
      </c>
      <c r="H21">
        <v>56.5</v>
      </c>
      <c r="I21">
        <v>56.5</v>
      </c>
      <c r="J21">
        <v>56.5</v>
      </c>
      <c r="K21">
        <v>56.5</v>
      </c>
      <c r="L21">
        <v>56.5</v>
      </c>
      <c r="M21">
        <v>56.5</v>
      </c>
      <c r="N21">
        <v>56.5</v>
      </c>
      <c r="O21">
        <v>56.5</v>
      </c>
      <c r="P21">
        <v>56.5</v>
      </c>
      <c r="Q21">
        <v>46.5</v>
      </c>
      <c r="R21">
        <v>46.5</v>
      </c>
      <c r="S21">
        <v>56.5</v>
      </c>
      <c r="T21">
        <v>56.5</v>
      </c>
      <c r="U21">
        <v>56.5</v>
      </c>
      <c r="V21">
        <v>56.5</v>
      </c>
      <c r="W21">
        <v>56.5</v>
      </c>
      <c r="X21">
        <v>56.5</v>
      </c>
      <c r="Y21">
        <v>56.5</v>
      </c>
      <c r="Z21">
        <v>56.5</v>
      </c>
      <c r="AA21">
        <v>56.5</v>
      </c>
      <c r="AB21">
        <v>56.5</v>
      </c>
      <c r="AC21">
        <v>56.5</v>
      </c>
      <c r="AD21">
        <v>56.5</v>
      </c>
      <c r="AE21">
        <v>56.5</v>
      </c>
      <c r="AF21">
        <v>56.5</v>
      </c>
      <c r="AG21">
        <v>56.5</v>
      </c>
      <c r="AH21">
        <v>56.5</v>
      </c>
      <c r="AI21">
        <v>56.5</v>
      </c>
      <c r="AJ21">
        <v>56.5</v>
      </c>
      <c r="AK21">
        <v>56.5</v>
      </c>
      <c r="AL21">
        <v>56.5</v>
      </c>
      <c r="AM21">
        <v>56.5</v>
      </c>
      <c r="AN21">
        <v>56.5</v>
      </c>
      <c r="AO21">
        <v>56.5</v>
      </c>
      <c r="AP21">
        <v>56.5</v>
      </c>
      <c r="AQ21">
        <v>56.5</v>
      </c>
      <c r="AR21">
        <v>56.5</v>
      </c>
      <c r="AS21">
        <v>56.5</v>
      </c>
      <c r="AT21">
        <v>56.5</v>
      </c>
      <c r="AU21">
        <v>56.5</v>
      </c>
      <c r="AV21">
        <v>56.5</v>
      </c>
      <c r="AW21">
        <v>56.5</v>
      </c>
      <c r="AX21">
        <v>56.5</v>
      </c>
    </row>
    <row r="22" spans="1:50" x14ac:dyDescent="0.3">
      <c r="A22" t="s">
        <v>267</v>
      </c>
      <c r="B22">
        <v>57</v>
      </c>
      <c r="C22">
        <v>57</v>
      </c>
      <c r="D22">
        <v>57</v>
      </c>
      <c r="E22">
        <v>57</v>
      </c>
      <c r="F22">
        <v>57</v>
      </c>
      <c r="G22">
        <v>57</v>
      </c>
      <c r="H22">
        <v>57</v>
      </c>
      <c r="I22">
        <v>57</v>
      </c>
      <c r="J22">
        <v>57</v>
      </c>
      <c r="K22">
        <v>57</v>
      </c>
      <c r="L22">
        <v>57</v>
      </c>
      <c r="M22">
        <v>57</v>
      </c>
      <c r="N22">
        <v>57</v>
      </c>
      <c r="O22">
        <v>57</v>
      </c>
      <c r="P22">
        <v>57</v>
      </c>
      <c r="Q22">
        <v>47</v>
      </c>
      <c r="R22">
        <v>47</v>
      </c>
      <c r="S22">
        <v>57</v>
      </c>
      <c r="T22">
        <v>57</v>
      </c>
      <c r="U22">
        <v>57</v>
      </c>
      <c r="V22">
        <v>57</v>
      </c>
      <c r="W22">
        <v>57</v>
      </c>
      <c r="X22">
        <v>57</v>
      </c>
      <c r="Y22">
        <v>57</v>
      </c>
      <c r="Z22">
        <v>57</v>
      </c>
      <c r="AA22">
        <v>57</v>
      </c>
      <c r="AB22">
        <v>57</v>
      </c>
      <c r="AC22">
        <v>57</v>
      </c>
      <c r="AD22">
        <v>57</v>
      </c>
      <c r="AE22">
        <v>57</v>
      </c>
      <c r="AF22">
        <v>57</v>
      </c>
      <c r="AG22">
        <v>57</v>
      </c>
      <c r="AH22">
        <v>57</v>
      </c>
      <c r="AI22">
        <v>57</v>
      </c>
      <c r="AJ22">
        <v>57</v>
      </c>
      <c r="AK22">
        <v>57</v>
      </c>
      <c r="AL22">
        <v>57</v>
      </c>
      <c r="AM22">
        <v>57</v>
      </c>
      <c r="AN22">
        <v>57</v>
      </c>
      <c r="AO22">
        <v>57</v>
      </c>
      <c r="AP22">
        <v>57</v>
      </c>
      <c r="AQ22">
        <v>57</v>
      </c>
      <c r="AR22">
        <v>57</v>
      </c>
      <c r="AS22">
        <v>57</v>
      </c>
      <c r="AT22">
        <v>57</v>
      </c>
      <c r="AU22">
        <v>57</v>
      </c>
      <c r="AV22">
        <v>57</v>
      </c>
      <c r="AW22">
        <v>57</v>
      </c>
      <c r="AX22">
        <v>57</v>
      </c>
    </row>
    <row r="24" spans="1:50" x14ac:dyDescent="0.3">
      <c r="A24" t="s">
        <v>268</v>
      </c>
      <c r="B24">
        <v>17.02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 t="s">
        <v>269</v>
      </c>
      <c r="B25">
        <v>17.02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 t="s">
        <v>270</v>
      </c>
      <c r="B26">
        <v>17.02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 t="s">
        <v>271</v>
      </c>
      <c r="B27">
        <v>17.02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 t="s">
        <v>272</v>
      </c>
      <c r="B28">
        <v>17.02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 t="s">
        <v>273</v>
      </c>
      <c r="B29">
        <v>17.02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1" spans="1:50" x14ac:dyDescent="0.3">
      <c r="A31" t="s">
        <v>274</v>
      </c>
      <c r="C31">
        <v>140.09</v>
      </c>
      <c r="D31">
        <v>140.09</v>
      </c>
      <c r="E31">
        <v>140.09</v>
      </c>
      <c r="F31">
        <v>140.09</v>
      </c>
      <c r="G31">
        <v>140.09</v>
      </c>
      <c r="H31">
        <v>140.09</v>
      </c>
      <c r="I31">
        <v>140.09</v>
      </c>
      <c r="J31">
        <v>140.09</v>
      </c>
      <c r="K31">
        <v>140.09</v>
      </c>
      <c r="L31">
        <v>140.09</v>
      </c>
      <c r="M31">
        <v>140.09</v>
      </c>
      <c r="N31">
        <v>140.09</v>
      </c>
      <c r="O31">
        <v>140.09</v>
      </c>
      <c r="P31">
        <v>140.09</v>
      </c>
      <c r="Q31">
        <v>140.09</v>
      </c>
      <c r="R31">
        <v>140.09</v>
      </c>
      <c r="S31">
        <v>140.09</v>
      </c>
      <c r="T31">
        <v>233.49</v>
      </c>
      <c r="U31">
        <v>233.49</v>
      </c>
      <c r="V31">
        <v>233.49</v>
      </c>
      <c r="W31">
        <v>233.49</v>
      </c>
      <c r="X31">
        <v>233.49</v>
      </c>
      <c r="Y31">
        <v>233.49</v>
      </c>
      <c r="Z31">
        <v>233.49</v>
      </c>
      <c r="AA31">
        <v>233.49</v>
      </c>
      <c r="AB31">
        <v>233.49</v>
      </c>
      <c r="AC31">
        <v>233.49</v>
      </c>
      <c r="AD31">
        <v>233.49</v>
      </c>
      <c r="AE31">
        <v>233.49</v>
      </c>
      <c r="AF31">
        <v>233.49</v>
      </c>
      <c r="AG31">
        <v>233.49</v>
      </c>
      <c r="AH31">
        <v>233.49</v>
      </c>
      <c r="AI31">
        <v>233.49</v>
      </c>
      <c r="AJ31">
        <v>233.49</v>
      </c>
      <c r="AK31">
        <v>233.49</v>
      </c>
      <c r="AL31">
        <v>233.49</v>
      </c>
      <c r="AM31">
        <v>233.49</v>
      </c>
      <c r="AN31">
        <v>233.49</v>
      </c>
      <c r="AO31">
        <v>233.49</v>
      </c>
      <c r="AP31">
        <v>233.49</v>
      </c>
      <c r="AQ31">
        <v>233.49</v>
      </c>
      <c r="AR31">
        <v>140.09</v>
      </c>
      <c r="AS31">
        <v>140.09</v>
      </c>
      <c r="AT31">
        <v>140.09</v>
      </c>
      <c r="AU31">
        <v>140.09</v>
      </c>
      <c r="AV31">
        <v>140.09</v>
      </c>
      <c r="AW31">
        <v>140.09</v>
      </c>
      <c r="AX31">
        <v>140.09</v>
      </c>
    </row>
    <row r="33" spans="1:50" x14ac:dyDescent="0.3">
      <c r="A33" t="s">
        <v>275</v>
      </c>
      <c r="B33">
        <v>280</v>
      </c>
      <c r="C33">
        <v>240</v>
      </c>
      <c r="D33">
        <v>240</v>
      </c>
      <c r="E33">
        <v>240</v>
      </c>
      <c r="F33">
        <v>240</v>
      </c>
      <c r="G33">
        <v>240</v>
      </c>
      <c r="H33">
        <v>240</v>
      </c>
      <c r="I33">
        <v>240</v>
      </c>
      <c r="J33">
        <v>240</v>
      </c>
      <c r="K33">
        <v>240</v>
      </c>
      <c r="L33">
        <v>240</v>
      </c>
      <c r="M33">
        <v>240</v>
      </c>
      <c r="N33">
        <v>240</v>
      </c>
      <c r="O33">
        <v>240</v>
      </c>
      <c r="P33">
        <v>240</v>
      </c>
      <c r="Q33">
        <v>240</v>
      </c>
      <c r="R33">
        <v>240</v>
      </c>
      <c r="S33">
        <v>240</v>
      </c>
      <c r="T33">
        <v>240</v>
      </c>
      <c r="U33">
        <v>240</v>
      </c>
      <c r="V33">
        <v>240</v>
      </c>
      <c r="W33">
        <v>240</v>
      </c>
      <c r="X33">
        <v>240</v>
      </c>
      <c r="Y33">
        <v>240</v>
      </c>
      <c r="Z33">
        <v>240</v>
      </c>
      <c r="AA33">
        <v>240</v>
      </c>
      <c r="AB33">
        <v>260</v>
      </c>
      <c r="AC33">
        <v>260</v>
      </c>
      <c r="AD33">
        <v>260</v>
      </c>
      <c r="AE33">
        <v>260</v>
      </c>
      <c r="AF33">
        <v>260</v>
      </c>
      <c r="AG33">
        <v>260</v>
      </c>
      <c r="AH33">
        <v>260</v>
      </c>
      <c r="AI33">
        <v>260</v>
      </c>
      <c r="AJ33">
        <v>260</v>
      </c>
      <c r="AK33">
        <v>260</v>
      </c>
      <c r="AL33">
        <v>260</v>
      </c>
      <c r="AM33">
        <v>260</v>
      </c>
      <c r="AN33">
        <v>260</v>
      </c>
      <c r="AO33">
        <v>260</v>
      </c>
      <c r="AP33">
        <v>260</v>
      </c>
      <c r="AQ33">
        <v>260</v>
      </c>
      <c r="AR33">
        <v>260</v>
      </c>
      <c r="AS33">
        <v>260</v>
      </c>
      <c r="AT33">
        <v>260</v>
      </c>
      <c r="AU33">
        <v>240</v>
      </c>
      <c r="AV33">
        <v>240</v>
      </c>
      <c r="AW33">
        <v>240</v>
      </c>
      <c r="AX33">
        <v>240</v>
      </c>
    </row>
    <row r="34" spans="1:50" x14ac:dyDescent="0.3">
      <c r="A34" t="s">
        <v>276</v>
      </c>
      <c r="B34">
        <v>280</v>
      </c>
      <c r="C34">
        <v>240</v>
      </c>
      <c r="D34">
        <v>240</v>
      </c>
      <c r="E34">
        <v>240</v>
      </c>
      <c r="F34">
        <v>240</v>
      </c>
      <c r="G34">
        <v>240</v>
      </c>
      <c r="H34">
        <v>240</v>
      </c>
      <c r="I34">
        <v>240</v>
      </c>
      <c r="J34">
        <v>240</v>
      </c>
      <c r="K34">
        <v>240</v>
      </c>
      <c r="L34">
        <v>240</v>
      </c>
      <c r="M34">
        <v>240</v>
      </c>
      <c r="N34">
        <v>240</v>
      </c>
      <c r="O34">
        <v>240</v>
      </c>
      <c r="P34">
        <v>240</v>
      </c>
      <c r="Q34">
        <v>240</v>
      </c>
      <c r="R34">
        <v>240</v>
      </c>
      <c r="S34">
        <v>240</v>
      </c>
      <c r="T34">
        <v>240</v>
      </c>
      <c r="U34">
        <v>240</v>
      </c>
      <c r="V34">
        <v>240</v>
      </c>
      <c r="W34">
        <v>240</v>
      </c>
      <c r="X34">
        <v>240</v>
      </c>
      <c r="Y34">
        <v>240</v>
      </c>
      <c r="Z34">
        <v>240</v>
      </c>
      <c r="AA34">
        <v>240</v>
      </c>
      <c r="AB34">
        <v>260</v>
      </c>
      <c r="AC34">
        <v>260</v>
      </c>
      <c r="AD34">
        <v>260</v>
      </c>
      <c r="AE34">
        <v>260</v>
      </c>
      <c r="AF34">
        <v>260</v>
      </c>
      <c r="AG34">
        <v>260</v>
      </c>
      <c r="AH34">
        <v>260</v>
      </c>
      <c r="AI34">
        <v>260</v>
      </c>
      <c r="AJ34">
        <v>260</v>
      </c>
      <c r="AK34">
        <v>260</v>
      </c>
      <c r="AL34">
        <v>260</v>
      </c>
      <c r="AM34">
        <v>260</v>
      </c>
      <c r="AN34">
        <v>260</v>
      </c>
      <c r="AO34">
        <v>260</v>
      </c>
      <c r="AP34">
        <v>260</v>
      </c>
      <c r="AQ34">
        <v>260</v>
      </c>
      <c r="AR34">
        <v>260</v>
      </c>
      <c r="AS34">
        <v>260</v>
      </c>
      <c r="AT34">
        <v>260</v>
      </c>
      <c r="AU34">
        <v>240</v>
      </c>
      <c r="AV34">
        <v>240</v>
      </c>
      <c r="AW34">
        <v>240</v>
      </c>
      <c r="AX34">
        <v>240</v>
      </c>
    </row>
    <row r="36" spans="1:50" x14ac:dyDescent="0.3">
      <c r="A36" t="s">
        <v>83</v>
      </c>
      <c r="B36">
        <v>540</v>
      </c>
      <c r="C36">
        <v>400</v>
      </c>
      <c r="D36">
        <v>400</v>
      </c>
      <c r="E36">
        <v>400</v>
      </c>
      <c r="F36">
        <v>400</v>
      </c>
      <c r="G36">
        <v>400</v>
      </c>
      <c r="H36">
        <v>400</v>
      </c>
      <c r="I36">
        <v>400</v>
      </c>
      <c r="J36">
        <v>400</v>
      </c>
      <c r="K36">
        <v>400</v>
      </c>
      <c r="L36">
        <v>400</v>
      </c>
      <c r="M36">
        <v>400</v>
      </c>
      <c r="N36">
        <v>400</v>
      </c>
      <c r="O36">
        <v>400</v>
      </c>
      <c r="P36">
        <v>400</v>
      </c>
      <c r="Q36">
        <v>400</v>
      </c>
      <c r="R36">
        <v>400</v>
      </c>
      <c r="S36">
        <v>400</v>
      </c>
      <c r="T36">
        <v>400</v>
      </c>
      <c r="U36">
        <v>400</v>
      </c>
      <c r="V36">
        <v>400</v>
      </c>
      <c r="W36">
        <v>400</v>
      </c>
      <c r="X36">
        <v>400</v>
      </c>
      <c r="Y36">
        <v>400</v>
      </c>
      <c r="Z36">
        <v>400</v>
      </c>
      <c r="AA36">
        <v>400</v>
      </c>
      <c r="AB36">
        <v>400</v>
      </c>
      <c r="AC36">
        <v>400</v>
      </c>
      <c r="AD36">
        <v>400</v>
      </c>
      <c r="AE36">
        <v>400</v>
      </c>
      <c r="AF36">
        <v>400</v>
      </c>
      <c r="AG36">
        <v>400</v>
      </c>
      <c r="AH36">
        <v>400</v>
      </c>
      <c r="AI36">
        <v>400</v>
      </c>
      <c r="AJ36">
        <v>400</v>
      </c>
      <c r="AK36">
        <v>400</v>
      </c>
      <c r="AL36">
        <v>400</v>
      </c>
      <c r="AM36">
        <v>400</v>
      </c>
      <c r="AN36">
        <v>400</v>
      </c>
      <c r="AO36">
        <v>400</v>
      </c>
      <c r="AP36">
        <v>400</v>
      </c>
      <c r="AQ36">
        <v>400</v>
      </c>
      <c r="AR36">
        <v>400</v>
      </c>
      <c r="AS36">
        <v>400</v>
      </c>
      <c r="AT36">
        <v>400</v>
      </c>
      <c r="AU36">
        <v>400</v>
      </c>
      <c r="AV36">
        <v>400</v>
      </c>
      <c r="AW36">
        <v>400</v>
      </c>
      <c r="AX36">
        <v>400</v>
      </c>
    </row>
    <row r="38" spans="1:50" x14ac:dyDescent="0.3">
      <c r="A38" t="s">
        <v>80</v>
      </c>
      <c r="B38">
        <v>323</v>
      </c>
      <c r="C38">
        <v>300</v>
      </c>
      <c r="D38">
        <v>300</v>
      </c>
      <c r="E38">
        <v>300</v>
      </c>
      <c r="F38">
        <v>300</v>
      </c>
      <c r="G38">
        <v>300</v>
      </c>
      <c r="H38">
        <v>300</v>
      </c>
      <c r="I38">
        <v>300</v>
      </c>
      <c r="J38">
        <v>300</v>
      </c>
      <c r="K38">
        <v>300</v>
      </c>
      <c r="L38">
        <v>300</v>
      </c>
      <c r="M38">
        <v>300</v>
      </c>
      <c r="N38">
        <v>300</v>
      </c>
      <c r="O38">
        <v>300</v>
      </c>
      <c r="P38">
        <v>300</v>
      </c>
      <c r="Q38">
        <v>300</v>
      </c>
      <c r="R38">
        <v>300</v>
      </c>
      <c r="S38">
        <v>300</v>
      </c>
      <c r="T38">
        <v>310</v>
      </c>
      <c r="U38">
        <v>310</v>
      </c>
      <c r="V38">
        <v>310</v>
      </c>
      <c r="W38">
        <v>310</v>
      </c>
      <c r="X38">
        <v>310</v>
      </c>
      <c r="Y38">
        <v>310</v>
      </c>
      <c r="Z38">
        <v>310</v>
      </c>
      <c r="AA38">
        <v>310</v>
      </c>
      <c r="AB38">
        <v>310</v>
      </c>
      <c r="AC38">
        <v>310</v>
      </c>
      <c r="AD38">
        <v>310</v>
      </c>
      <c r="AE38">
        <v>310</v>
      </c>
      <c r="AF38">
        <v>310</v>
      </c>
      <c r="AG38">
        <v>310</v>
      </c>
      <c r="AH38">
        <v>310</v>
      </c>
      <c r="AI38">
        <v>310</v>
      </c>
      <c r="AJ38">
        <v>315</v>
      </c>
      <c r="AK38">
        <v>315</v>
      </c>
      <c r="AL38">
        <v>315</v>
      </c>
      <c r="AM38">
        <v>315</v>
      </c>
      <c r="AN38">
        <v>315</v>
      </c>
      <c r="AO38">
        <v>315</v>
      </c>
      <c r="AP38">
        <v>315</v>
      </c>
      <c r="AQ38">
        <v>315</v>
      </c>
      <c r="AR38">
        <v>315</v>
      </c>
      <c r="AS38">
        <v>315</v>
      </c>
      <c r="AT38">
        <v>315</v>
      </c>
      <c r="AU38">
        <v>315</v>
      </c>
      <c r="AV38">
        <v>300</v>
      </c>
      <c r="AW38">
        <v>300</v>
      </c>
      <c r="AX38">
        <v>300</v>
      </c>
    </row>
    <row r="39" spans="1:50" x14ac:dyDescent="0.3">
      <c r="A39" t="s">
        <v>81</v>
      </c>
      <c r="B39">
        <v>323</v>
      </c>
      <c r="C39">
        <v>300</v>
      </c>
      <c r="D39">
        <v>300</v>
      </c>
      <c r="E39">
        <v>300</v>
      </c>
      <c r="F39">
        <v>300</v>
      </c>
      <c r="G39">
        <v>300</v>
      </c>
      <c r="H39">
        <v>300</v>
      </c>
      <c r="I39">
        <v>300</v>
      </c>
      <c r="J39">
        <v>300</v>
      </c>
      <c r="K39">
        <v>300</v>
      </c>
      <c r="L39">
        <v>300</v>
      </c>
      <c r="M39">
        <v>300</v>
      </c>
      <c r="N39">
        <v>300</v>
      </c>
      <c r="O39">
        <v>300</v>
      </c>
      <c r="P39">
        <v>300</v>
      </c>
      <c r="Q39">
        <v>300</v>
      </c>
      <c r="R39">
        <v>300</v>
      </c>
      <c r="S39">
        <v>300</v>
      </c>
      <c r="T39">
        <v>310</v>
      </c>
      <c r="U39">
        <v>310</v>
      </c>
      <c r="V39">
        <v>310</v>
      </c>
      <c r="W39">
        <v>310</v>
      </c>
      <c r="X39">
        <v>310</v>
      </c>
      <c r="Y39">
        <v>310</v>
      </c>
      <c r="Z39">
        <v>310</v>
      </c>
      <c r="AA39">
        <v>310</v>
      </c>
      <c r="AB39">
        <v>310</v>
      </c>
      <c r="AC39">
        <v>310</v>
      </c>
      <c r="AD39">
        <v>310</v>
      </c>
      <c r="AE39">
        <v>310</v>
      </c>
      <c r="AF39">
        <v>310</v>
      </c>
      <c r="AG39">
        <v>310</v>
      </c>
      <c r="AH39">
        <v>310</v>
      </c>
      <c r="AI39">
        <v>310</v>
      </c>
      <c r="AJ39">
        <v>315</v>
      </c>
      <c r="AK39">
        <v>315</v>
      </c>
      <c r="AL39">
        <v>315</v>
      </c>
      <c r="AM39">
        <v>315</v>
      </c>
      <c r="AN39">
        <v>315</v>
      </c>
      <c r="AO39">
        <v>315</v>
      </c>
      <c r="AP39">
        <v>315</v>
      </c>
      <c r="AQ39">
        <v>315</v>
      </c>
      <c r="AR39">
        <v>315</v>
      </c>
      <c r="AS39">
        <v>315</v>
      </c>
      <c r="AT39">
        <v>315</v>
      </c>
      <c r="AU39">
        <v>315</v>
      </c>
      <c r="AV39">
        <v>300</v>
      </c>
      <c r="AW39">
        <v>300</v>
      </c>
      <c r="AX39">
        <v>300</v>
      </c>
    </row>
    <row r="40" spans="1:50" x14ac:dyDescent="0.3">
      <c r="A40" t="s">
        <v>82</v>
      </c>
      <c r="B40">
        <v>323</v>
      </c>
      <c r="C40">
        <v>135</v>
      </c>
      <c r="D40">
        <v>135</v>
      </c>
      <c r="E40">
        <v>135</v>
      </c>
      <c r="F40">
        <v>135</v>
      </c>
      <c r="G40">
        <v>135</v>
      </c>
      <c r="H40">
        <v>135</v>
      </c>
      <c r="I40">
        <v>135</v>
      </c>
      <c r="J40">
        <v>135</v>
      </c>
      <c r="K40">
        <v>135</v>
      </c>
      <c r="L40">
        <v>135</v>
      </c>
      <c r="M40">
        <v>135</v>
      </c>
      <c r="N40">
        <v>135</v>
      </c>
      <c r="O40">
        <v>135</v>
      </c>
      <c r="P40">
        <v>135</v>
      </c>
      <c r="Q40">
        <v>135</v>
      </c>
      <c r="R40">
        <v>135</v>
      </c>
      <c r="S40">
        <v>135</v>
      </c>
      <c r="T40">
        <v>135</v>
      </c>
      <c r="U40">
        <v>135</v>
      </c>
      <c r="V40">
        <v>135</v>
      </c>
      <c r="W40">
        <v>135</v>
      </c>
      <c r="X40">
        <v>135</v>
      </c>
      <c r="Y40">
        <v>135</v>
      </c>
      <c r="Z40">
        <v>135</v>
      </c>
      <c r="AA40">
        <v>135</v>
      </c>
      <c r="AB40">
        <v>135</v>
      </c>
      <c r="AC40">
        <v>135</v>
      </c>
      <c r="AD40">
        <v>135</v>
      </c>
      <c r="AE40">
        <v>135</v>
      </c>
      <c r="AF40">
        <v>135</v>
      </c>
      <c r="AG40">
        <v>135</v>
      </c>
      <c r="AH40">
        <v>135</v>
      </c>
      <c r="AI40">
        <v>135</v>
      </c>
      <c r="AJ40">
        <v>135</v>
      </c>
      <c r="AK40">
        <v>135</v>
      </c>
      <c r="AL40">
        <v>135</v>
      </c>
      <c r="AM40">
        <v>135</v>
      </c>
      <c r="AN40">
        <v>135</v>
      </c>
      <c r="AO40">
        <v>135</v>
      </c>
      <c r="AP40">
        <v>135</v>
      </c>
      <c r="AQ40">
        <v>135</v>
      </c>
      <c r="AR40">
        <v>135</v>
      </c>
      <c r="AS40">
        <v>135</v>
      </c>
      <c r="AT40">
        <v>135</v>
      </c>
      <c r="AU40">
        <v>135</v>
      </c>
      <c r="AV40">
        <v>135</v>
      </c>
      <c r="AW40">
        <v>135</v>
      </c>
      <c r="AX40">
        <v>135</v>
      </c>
    </row>
    <row r="42" spans="1:50" x14ac:dyDescent="0.3">
      <c r="A42" t="s">
        <v>277</v>
      </c>
      <c r="B42">
        <v>280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 t="s">
        <v>278</v>
      </c>
      <c r="B43">
        <v>280</v>
      </c>
      <c r="C43">
        <v>250</v>
      </c>
      <c r="D43">
        <v>250</v>
      </c>
      <c r="E43">
        <v>250</v>
      </c>
      <c r="F43">
        <v>250</v>
      </c>
      <c r="G43">
        <v>250</v>
      </c>
      <c r="H43">
        <v>250</v>
      </c>
      <c r="I43">
        <v>250</v>
      </c>
      <c r="J43">
        <v>250</v>
      </c>
      <c r="K43">
        <v>250</v>
      </c>
      <c r="L43">
        <v>250</v>
      </c>
      <c r="M43">
        <v>250</v>
      </c>
      <c r="N43">
        <v>260</v>
      </c>
      <c r="O43">
        <v>260</v>
      </c>
      <c r="P43">
        <v>275</v>
      </c>
      <c r="Q43">
        <v>275</v>
      </c>
      <c r="R43">
        <v>280</v>
      </c>
      <c r="S43">
        <v>280</v>
      </c>
      <c r="T43">
        <v>280</v>
      </c>
      <c r="U43">
        <v>280</v>
      </c>
      <c r="V43">
        <v>280</v>
      </c>
      <c r="W43">
        <v>280</v>
      </c>
      <c r="X43">
        <v>280</v>
      </c>
      <c r="Y43">
        <v>280</v>
      </c>
      <c r="Z43">
        <v>280</v>
      </c>
      <c r="AA43">
        <v>280</v>
      </c>
      <c r="AB43">
        <v>280</v>
      </c>
      <c r="AC43">
        <v>280</v>
      </c>
      <c r="AD43">
        <v>280</v>
      </c>
      <c r="AE43">
        <v>280</v>
      </c>
      <c r="AF43">
        <v>280</v>
      </c>
      <c r="AG43">
        <v>280</v>
      </c>
      <c r="AH43">
        <v>280</v>
      </c>
      <c r="AI43">
        <v>280</v>
      </c>
      <c r="AJ43">
        <v>280</v>
      </c>
      <c r="AK43">
        <v>280</v>
      </c>
      <c r="AL43">
        <v>280</v>
      </c>
      <c r="AM43">
        <v>280</v>
      </c>
      <c r="AN43">
        <v>280</v>
      </c>
      <c r="AO43">
        <v>280</v>
      </c>
      <c r="AP43">
        <v>280</v>
      </c>
      <c r="AQ43">
        <v>280</v>
      </c>
      <c r="AR43">
        <v>275</v>
      </c>
      <c r="AS43">
        <v>275</v>
      </c>
      <c r="AT43">
        <v>250</v>
      </c>
      <c r="AU43">
        <v>250</v>
      </c>
      <c r="AV43">
        <v>250</v>
      </c>
      <c r="AW43">
        <v>250</v>
      </c>
      <c r="AX43">
        <v>250</v>
      </c>
    </row>
    <row r="44" spans="1:50" x14ac:dyDescent="0.3">
      <c r="A44" t="s">
        <v>279</v>
      </c>
      <c r="B44">
        <v>280</v>
      </c>
      <c r="C44">
        <v>250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260</v>
      </c>
      <c r="O44">
        <v>260</v>
      </c>
      <c r="P44">
        <v>275</v>
      </c>
      <c r="Q44">
        <v>275</v>
      </c>
      <c r="R44">
        <v>280</v>
      </c>
      <c r="S44">
        <v>280</v>
      </c>
      <c r="T44">
        <v>280</v>
      </c>
      <c r="U44">
        <v>280</v>
      </c>
      <c r="V44">
        <v>280</v>
      </c>
      <c r="W44">
        <v>280</v>
      </c>
      <c r="X44">
        <v>280</v>
      </c>
      <c r="Y44">
        <v>280</v>
      </c>
      <c r="Z44">
        <v>280</v>
      </c>
      <c r="AA44">
        <v>280</v>
      </c>
      <c r="AB44">
        <v>280</v>
      </c>
      <c r="AC44">
        <v>280</v>
      </c>
      <c r="AD44">
        <v>280</v>
      </c>
      <c r="AE44">
        <v>280</v>
      </c>
      <c r="AF44">
        <v>280</v>
      </c>
      <c r="AG44">
        <v>280</v>
      </c>
      <c r="AH44">
        <v>280</v>
      </c>
      <c r="AI44">
        <v>280</v>
      </c>
      <c r="AJ44">
        <v>280</v>
      </c>
      <c r="AK44">
        <v>280</v>
      </c>
      <c r="AL44">
        <v>280</v>
      </c>
      <c r="AM44">
        <v>280</v>
      </c>
      <c r="AN44">
        <v>280</v>
      </c>
      <c r="AO44">
        <v>280</v>
      </c>
      <c r="AP44">
        <v>280</v>
      </c>
      <c r="AQ44">
        <v>280</v>
      </c>
      <c r="AR44">
        <v>275</v>
      </c>
      <c r="AS44">
        <v>275</v>
      </c>
      <c r="AT44">
        <v>250</v>
      </c>
      <c r="AU44">
        <v>250</v>
      </c>
      <c r="AV44">
        <v>250</v>
      </c>
      <c r="AW44">
        <v>250</v>
      </c>
      <c r="AX44">
        <v>250</v>
      </c>
    </row>
    <row r="45" spans="1:50" x14ac:dyDescent="0.3">
      <c r="A45" t="s">
        <v>280</v>
      </c>
      <c r="B45">
        <v>293</v>
      </c>
      <c r="C45">
        <v>220</v>
      </c>
      <c r="D45">
        <v>220</v>
      </c>
      <c r="E45">
        <v>220</v>
      </c>
      <c r="F45">
        <v>220</v>
      </c>
      <c r="G45">
        <v>220</v>
      </c>
      <c r="H45">
        <v>220</v>
      </c>
      <c r="I45">
        <v>220</v>
      </c>
      <c r="J45">
        <v>220</v>
      </c>
      <c r="K45">
        <v>220</v>
      </c>
      <c r="L45">
        <v>220</v>
      </c>
      <c r="M45">
        <v>220</v>
      </c>
      <c r="N45">
        <v>220</v>
      </c>
      <c r="O45">
        <v>220</v>
      </c>
      <c r="P45">
        <v>220</v>
      </c>
      <c r="Q45">
        <v>220</v>
      </c>
      <c r="R45">
        <v>240</v>
      </c>
      <c r="S45">
        <v>240</v>
      </c>
      <c r="T45">
        <v>240</v>
      </c>
      <c r="U45">
        <v>240</v>
      </c>
      <c r="V45">
        <v>240</v>
      </c>
      <c r="W45">
        <v>240</v>
      </c>
      <c r="X45">
        <v>240</v>
      </c>
      <c r="Y45">
        <v>240</v>
      </c>
      <c r="Z45">
        <v>240</v>
      </c>
      <c r="AA45">
        <v>240</v>
      </c>
      <c r="AB45">
        <v>240</v>
      </c>
      <c r="AC45">
        <v>240</v>
      </c>
      <c r="AD45">
        <v>240</v>
      </c>
      <c r="AE45">
        <v>240</v>
      </c>
      <c r="AF45">
        <v>240</v>
      </c>
      <c r="AG45">
        <v>240</v>
      </c>
      <c r="AH45">
        <v>240</v>
      </c>
      <c r="AI45">
        <v>240</v>
      </c>
      <c r="AJ45">
        <v>240</v>
      </c>
      <c r="AK45">
        <v>240</v>
      </c>
      <c r="AL45">
        <v>240</v>
      </c>
      <c r="AM45">
        <v>240</v>
      </c>
      <c r="AN45">
        <v>240</v>
      </c>
      <c r="AO45">
        <v>240</v>
      </c>
      <c r="AP45">
        <v>240</v>
      </c>
      <c r="AQ45">
        <v>240</v>
      </c>
      <c r="AR45">
        <v>220</v>
      </c>
      <c r="AS45">
        <v>220</v>
      </c>
      <c r="AT45">
        <v>220</v>
      </c>
      <c r="AU45">
        <v>220</v>
      </c>
      <c r="AV45">
        <v>220</v>
      </c>
      <c r="AW45">
        <v>220</v>
      </c>
      <c r="AX45">
        <v>220</v>
      </c>
    </row>
    <row r="47" spans="1:50" x14ac:dyDescent="0.3">
      <c r="A47" t="s">
        <v>281</v>
      </c>
      <c r="B47">
        <v>371.5</v>
      </c>
      <c r="C47">
        <v>200</v>
      </c>
      <c r="D47">
        <v>200</v>
      </c>
      <c r="E47">
        <v>200</v>
      </c>
      <c r="F47">
        <v>200</v>
      </c>
      <c r="G47">
        <v>200</v>
      </c>
      <c r="H47">
        <v>200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284.2</v>
      </c>
      <c r="U47">
        <v>284.2</v>
      </c>
      <c r="V47">
        <v>284.2</v>
      </c>
      <c r="W47">
        <v>284.2</v>
      </c>
      <c r="X47">
        <v>284.2</v>
      </c>
      <c r="Y47">
        <v>284.2</v>
      </c>
      <c r="Z47">
        <v>284.2</v>
      </c>
      <c r="AA47">
        <v>284.2</v>
      </c>
      <c r="AB47">
        <v>284.2</v>
      </c>
      <c r="AC47">
        <v>284.2</v>
      </c>
      <c r="AD47">
        <v>284.2</v>
      </c>
      <c r="AE47">
        <v>284.2</v>
      </c>
      <c r="AF47">
        <v>284.2</v>
      </c>
      <c r="AG47">
        <v>284.2</v>
      </c>
      <c r="AH47">
        <v>284.2</v>
      </c>
      <c r="AI47">
        <v>284.2</v>
      </c>
      <c r="AJ47">
        <v>284.2</v>
      </c>
      <c r="AK47">
        <v>284.2</v>
      </c>
      <c r="AL47">
        <v>284.2</v>
      </c>
      <c r="AM47">
        <v>284.2</v>
      </c>
      <c r="AN47">
        <v>284.2</v>
      </c>
      <c r="AO47">
        <v>284.2</v>
      </c>
      <c r="AP47">
        <v>284.2</v>
      </c>
      <c r="AQ47">
        <v>284.2</v>
      </c>
      <c r="AR47">
        <v>284.2</v>
      </c>
      <c r="AS47">
        <v>200</v>
      </c>
      <c r="AT47">
        <v>200</v>
      </c>
      <c r="AU47">
        <v>200</v>
      </c>
      <c r="AV47">
        <v>200</v>
      </c>
      <c r="AW47">
        <v>200</v>
      </c>
      <c r="AX47">
        <v>200</v>
      </c>
    </row>
    <row r="48" spans="1:50" x14ac:dyDescent="0.3">
      <c r="C48" t="s">
        <v>282</v>
      </c>
      <c r="D48" t="s">
        <v>282</v>
      </c>
      <c r="E48" t="s">
        <v>282</v>
      </c>
      <c r="F48" t="s">
        <v>282</v>
      </c>
      <c r="G48" t="s">
        <v>282</v>
      </c>
      <c r="H48" t="s">
        <v>282</v>
      </c>
      <c r="I48" t="s">
        <v>282</v>
      </c>
      <c r="J48" t="s">
        <v>282</v>
      </c>
      <c r="K48" t="s">
        <v>282</v>
      </c>
      <c r="L48" t="s">
        <v>282</v>
      </c>
      <c r="M48" t="s">
        <v>282</v>
      </c>
      <c r="N48" t="s">
        <v>282</v>
      </c>
      <c r="O48" t="s">
        <v>282</v>
      </c>
      <c r="P48" t="s">
        <v>282</v>
      </c>
      <c r="Q48" t="s">
        <v>282</v>
      </c>
      <c r="R48" t="s">
        <v>282</v>
      </c>
      <c r="S48" t="s">
        <v>282</v>
      </c>
      <c r="T48" t="s">
        <v>282</v>
      </c>
      <c r="U48" t="s">
        <v>282</v>
      </c>
      <c r="V48" t="s">
        <v>282</v>
      </c>
      <c r="W48" t="s">
        <v>282</v>
      </c>
      <c r="X48" t="s">
        <v>282</v>
      </c>
      <c r="Y48" t="s">
        <v>282</v>
      </c>
      <c r="Z48" t="s">
        <v>282</v>
      </c>
      <c r="AA48" t="s">
        <v>282</v>
      </c>
      <c r="AB48" t="s">
        <v>282</v>
      </c>
      <c r="AC48" t="s">
        <v>282</v>
      </c>
      <c r="AD48" t="s">
        <v>282</v>
      </c>
      <c r="AE48" t="s">
        <v>282</v>
      </c>
      <c r="AF48" t="s">
        <v>282</v>
      </c>
      <c r="AG48" t="s">
        <v>282</v>
      </c>
      <c r="AH48" t="s">
        <v>282</v>
      </c>
      <c r="AI48" t="s">
        <v>282</v>
      </c>
      <c r="AJ48" t="s">
        <v>282</v>
      </c>
      <c r="AK48" t="s">
        <v>282</v>
      </c>
      <c r="AL48" t="s">
        <v>282</v>
      </c>
      <c r="AM48" t="s">
        <v>282</v>
      </c>
      <c r="AN48" t="s">
        <v>282</v>
      </c>
      <c r="AO48" t="s">
        <v>282</v>
      </c>
      <c r="AP48" t="s">
        <v>282</v>
      </c>
      <c r="AQ48" t="s">
        <v>282</v>
      </c>
      <c r="AR48" t="s">
        <v>282</v>
      </c>
      <c r="AS48" t="s">
        <v>282</v>
      </c>
      <c r="AT48" t="s">
        <v>282</v>
      </c>
      <c r="AU48" t="s">
        <v>282</v>
      </c>
      <c r="AV48" t="s">
        <v>282</v>
      </c>
      <c r="AW48" t="s">
        <v>282</v>
      </c>
      <c r="AX48" t="s">
        <v>282</v>
      </c>
    </row>
    <row r="50" spans="1:50" x14ac:dyDescent="0.3">
      <c r="A50" t="s">
        <v>283</v>
      </c>
      <c r="B50">
        <v>162</v>
      </c>
      <c r="C50">
        <v>90</v>
      </c>
      <c r="D50">
        <v>90</v>
      </c>
      <c r="E50">
        <v>90</v>
      </c>
      <c r="F50">
        <v>90</v>
      </c>
      <c r="G50">
        <v>90</v>
      </c>
      <c r="H50">
        <v>90</v>
      </c>
      <c r="I50">
        <v>90</v>
      </c>
      <c r="J50">
        <v>90</v>
      </c>
      <c r="K50">
        <v>90</v>
      </c>
      <c r="L50">
        <v>90</v>
      </c>
      <c r="M50">
        <v>90</v>
      </c>
      <c r="N50">
        <v>90</v>
      </c>
      <c r="O50">
        <v>90</v>
      </c>
      <c r="P50">
        <v>90</v>
      </c>
      <c r="Q50">
        <v>90</v>
      </c>
      <c r="R50">
        <v>90</v>
      </c>
      <c r="S50">
        <v>90</v>
      </c>
      <c r="T50">
        <v>90</v>
      </c>
      <c r="U50">
        <v>90</v>
      </c>
      <c r="V50">
        <v>90</v>
      </c>
      <c r="W50">
        <v>90</v>
      </c>
      <c r="X50">
        <v>90</v>
      </c>
      <c r="Y50">
        <v>90</v>
      </c>
      <c r="Z50">
        <v>90</v>
      </c>
      <c r="AA50">
        <v>90</v>
      </c>
      <c r="AB50">
        <v>90</v>
      </c>
      <c r="AC50">
        <v>90</v>
      </c>
      <c r="AD50">
        <v>90</v>
      </c>
      <c r="AE50">
        <v>90</v>
      </c>
      <c r="AF50">
        <v>90</v>
      </c>
      <c r="AG50">
        <v>90</v>
      </c>
      <c r="AH50">
        <v>90</v>
      </c>
      <c r="AI50">
        <v>90</v>
      </c>
      <c r="AJ50">
        <v>90</v>
      </c>
      <c r="AK50">
        <v>90</v>
      </c>
      <c r="AL50">
        <v>90</v>
      </c>
      <c r="AM50">
        <v>90</v>
      </c>
      <c r="AN50">
        <v>90</v>
      </c>
      <c r="AO50">
        <v>90</v>
      </c>
      <c r="AP50">
        <v>90</v>
      </c>
      <c r="AQ50">
        <v>90</v>
      </c>
      <c r="AR50">
        <v>90</v>
      </c>
      <c r="AS50">
        <v>90</v>
      </c>
      <c r="AT50">
        <v>90</v>
      </c>
      <c r="AU50">
        <v>90</v>
      </c>
      <c r="AV50">
        <v>90</v>
      </c>
      <c r="AW50">
        <v>90</v>
      </c>
      <c r="AX50">
        <v>90</v>
      </c>
    </row>
    <row r="51" spans="1:50" x14ac:dyDescent="0.3">
      <c r="A51" t="s">
        <v>284</v>
      </c>
      <c r="B51">
        <v>162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3" spans="1:50" x14ac:dyDescent="0.3">
      <c r="A53" t="s">
        <v>285</v>
      </c>
      <c r="C53">
        <v>122.28</v>
      </c>
      <c r="D53">
        <v>122.28</v>
      </c>
      <c r="E53">
        <v>122.28</v>
      </c>
      <c r="F53">
        <v>122.28</v>
      </c>
      <c r="G53">
        <v>122.28</v>
      </c>
      <c r="H53">
        <v>122.28</v>
      </c>
      <c r="I53">
        <v>122.28</v>
      </c>
      <c r="J53">
        <v>122.28</v>
      </c>
      <c r="K53">
        <v>122.28</v>
      </c>
      <c r="L53">
        <v>122.28</v>
      </c>
      <c r="M53">
        <v>122.28</v>
      </c>
      <c r="N53">
        <v>122.28</v>
      </c>
      <c r="O53">
        <v>122.28</v>
      </c>
      <c r="P53">
        <v>122.28</v>
      </c>
      <c r="Q53">
        <v>151.25</v>
      </c>
      <c r="R53">
        <v>187.57</v>
      </c>
      <c r="S53">
        <v>187.57</v>
      </c>
      <c r="T53">
        <v>245.04</v>
      </c>
      <c r="U53">
        <v>281.36</v>
      </c>
      <c r="V53">
        <v>281.36</v>
      </c>
      <c r="W53">
        <v>281.36</v>
      </c>
      <c r="X53">
        <v>281.36</v>
      </c>
      <c r="Y53">
        <v>281.36</v>
      </c>
      <c r="Z53">
        <v>281.36</v>
      </c>
      <c r="AA53">
        <v>281.36</v>
      </c>
      <c r="AB53">
        <v>281.36</v>
      </c>
      <c r="AC53">
        <v>281.36</v>
      </c>
      <c r="AD53">
        <v>281.36</v>
      </c>
      <c r="AE53">
        <v>281.36</v>
      </c>
      <c r="AF53">
        <v>281.36</v>
      </c>
      <c r="AG53">
        <v>281.36</v>
      </c>
      <c r="AH53">
        <v>281.36</v>
      </c>
      <c r="AI53">
        <v>281.36</v>
      </c>
      <c r="AJ53">
        <v>281.36</v>
      </c>
      <c r="AK53">
        <v>281.36</v>
      </c>
      <c r="AL53">
        <v>310.20999999999998</v>
      </c>
      <c r="AM53">
        <v>281.36</v>
      </c>
      <c r="AN53">
        <v>281.36</v>
      </c>
      <c r="AO53">
        <v>281.36</v>
      </c>
      <c r="AP53">
        <v>270.72000000000003</v>
      </c>
      <c r="AQ53">
        <v>187.57</v>
      </c>
      <c r="AR53">
        <v>176.94</v>
      </c>
      <c r="AS53">
        <v>122.28</v>
      </c>
      <c r="AT53">
        <v>122.28</v>
      </c>
      <c r="AU53">
        <v>122.28</v>
      </c>
      <c r="AV53">
        <v>122.28</v>
      </c>
      <c r="AW53">
        <v>122.28</v>
      </c>
      <c r="AX53">
        <v>122.28</v>
      </c>
    </row>
    <row r="54" spans="1:50" x14ac:dyDescent="0.3">
      <c r="A54" t="s">
        <v>286</v>
      </c>
      <c r="C54">
        <v>180.85</v>
      </c>
      <c r="D54">
        <v>180.85</v>
      </c>
      <c r="E54">
        <v>180.85</v>
      </c>
      <c r="F54">
        <v>180.85</v>
      </c>
      <c r="G54">
        <v>180.85</v>
      </c>
      <c r="H54">
        <v>180.85</v>
      </c>
      <c r="I54">
        <v>180.85</v>
      </c>
      <c r="J54">
        <v>180.85</v>
      </c>
      <c r="K54">
        <v>180.85</v>
      </c>
      <c r="L54">
        <v>180.85</v>
      </c>
      <c r="M54">
        <v>180.85</v>
      </c>
      <c r="N54">
        <v>180.85</v>
      </c>
      <c r="O54">
        <v>180.85</v>
      </c>
      <c r="P54">
        <v>180.85</v>
      </c>
      <c r="Q54">
        <v>180.97</v>
      </c>
      <c r="R54">
        <v>180.85</v>
      </c>
      <c r="S54">
        <v>180.85</v>
      </c>
      <c r="T54">
        <v>180.85</v>
      </c>
      <c r="U54">
        <v>180.85</v>
      </c>
      <c r="V54">
        <v>184.66</v>
      </c>
      <c r="W54">
        <v>230.43</v>
      </c>
      <c r="X54">
        <v>248.24</v>
      </c>
      <c r="Y54">
        <v>202.67</v>
      </c>
      <c r="Z54">
        <v>186.46</v>
      </c>
      <c r="AA54">
        <v>182.1</v>
      </c>
      <c r="AB54">
        <v>221.23</v>
      </c>
      <c r="AC54">
        <v>258.82</v>
      </c>
      <c r="AD54">
        <v>326.33999999999997</v>
      </c>
      <c r="AE54">
        <v>280.89999999999998</v>
      </c>
      <c r="AF54">
        <v>322.06</v>
      </c>
      <c r="AG54">
        <v>251.74</v>
      </c>
      <c r="AH54">
        <v>251.74</v>
      </c>
      <c r="AI54">
        <v>180.85</v>
      </c>
      <c r="AJ54">
        <v>180.85</v>
      </c>
      <c r="AK54">
        <v>180.85</v>
      </c>
      <c r="AL54">
        <v>340</v>
      </c>
      <c r="AM54">
        <v>321.51</v>
      </c>
      <c r="AN54">
        <v>251.74</v>
      </c>
      <c r="AO54">
        <v>251.74</v>
      </c>
      <c r="AP54">
        <v>251.74</v>
      </c>
      <c r="AQ54">
        <v>251.74</v>
      </c>
      <c r="AR54">
        <v>196.45</v>
      </c>
      <c r="AS54">
        <v>251.74</v>
      </c>
      <c r="AT54">
        <v>251.74</v>
      </c>
      <c r="AU54">
        <v>251.74</v>
      </c>
      <c r="AV54">
        <v>225.17</v>
      </c>
      <c r="AW54">
        <v>183.73</v>
      </c>
      <c r="AX54">
        <v>249.33</v>
      </c>
    </row>
    <row r="55" spans="1:50" x14ac:dyDescent="0.3">
      <c r="A55" t="s">
        <v>287</v>
      </c>
      <c r="B55">
        <v>165</v>
      </c>
      <c r="C55">
        <v>82.5</v>
      </c>
      <c r="D55">
        <v>82.5</v>
      </c>
      <c r="E55">
        <v>82.5</v>
      </c>
      <c r="F55">
        <v>82.5</v>
      </c>
      <c r="G55">
        <v>82.5</v>
      </c>
      <c r="H55">
        <v>82.5</v>
      </c>
      <c r="I55">
        <v>82.5</v>
      </c>
      <c r="J55">
        <v>82.5</v>
      </c>
      <c r="K55">
        <v>82.5</v>
      </c>
      <c r="L55">
        <v>82.5</v>
      </c>
      <c r="M55">
        <v>82.5</v>
      </c>
      <c r="N55">
        <v>82.5</v>
      </c>
      <c r="O55">
        <v>82.5</v>
      </c>
      <c r="P55">
        <v>82.5</v>
      </c>
      <c r="Q55">
        <v>90.22</v>
      </c>
      <c r="R55">
        <v>119.76</v>
      </c>
      <c r="S55">
        <v>165</v>
      </c>
      <c r="T55">
        <v>165</v>
      </c>
      <c r="U55">
        <v>165</v>
      </c>
      <c r="V55">
        <v>165</v>
      </c>
      <c r="W55">
        <v>165</v>
      </c>
      <c r="X55">
        <v>165</v>
      </c>
      <c r="Y55">
        <v>165</v>
      </c>
      <c r="Z55">
        <v>165</v>
      </c>
      <c r="AA55">
        <v>165</v>
      </c>
      <c r="AB55">
        <v>165</v>
      </c>
      <c r="AC55">
        <v>165</v>
      </c>
      <c r="AD55">
        <v>165</v>
      </c>
      <c r="AE55">
        <v>165</v>
      </c>
      <c r="AF55">
        <v>165</v>
      </c>
      <c r="AG55">
        <v>165</v>
      </c>
      <c r="AH55">
        <v>165</v>
      </c>
      <c r="AI55">
        <v>165</v>
      </c>
      <c r="AJ55">
        <v>165</v>
      </c>
      <c r="AK55">
        <v>165</v>
      </c>
      <c r="AL55">
        <v>165</v>
      </c>
      <c r="AM55">
        <v>165</v>
      </c>
      <c r="AN55">
        <v>165</v>
      </c>
      <c r="AO55">
        <v>165</v>
      </c>
      <c r="AP55">
        <v>165</v>
      </c>
      <c r="AQ55">
        <v>165</v>
      </c>
      <c r="AR55">
        <v>165</v>
      </c>
      <c r="AS55">
        <v>165</v>
      </c>
      <c r="AT55">
        <v>165</v>
      </c>
      <c r="AU55">
        <v>165</v>
      </c>
      <c r="AV55">
        <v>165</v>
      </c>
      <c r="AW55">
        <v>88.88</v>
      </c>
      <c r="AX55">
        <v>165</v>
      </c>
    </row>
    <row r="56" spans="1:50" x14ac:dyDescent="0.3">
      <c r="A56" t="s">
        <v>288</v>
      </c>
      <c r="B56">
        <v>330</v>
      </c>
      <c r="C56">
        <v>165</v>
      </c>
      <c r="D56">
        <v>165</v>
      </c>
      <c r="E56">
        <v>165</v>
      </c>
      <c r="F56">
        <v>165</v>
      </c>
      <c r="G56">
        <v>165</v>
      </c>
      <c r="H56">
        <v>165</v>
      </c>
      <c r="I56">
        <v>165</v>
      </c>
      <c r="J56">
        <v>165</v>
      </c>
      <c r="K56">
        <v>165</v>
      </c>
      <c r="L56">
        <v>165</v>
      </c>
      <c r="M56">
        <v>165</v>
      </c>
      <c r="N56">
        <v>165</v>
      </c>
      <c r="O56">
        <v>165</v>
      </c>
      <c r="P56">
        <v>165</v>
      </c>
      <c r="Q56">
        <v>180.45</v>
      </c>
      <c r="R56">
        <v>239.53</v>
      </c>
      <c r="S56">
        <v>330</v>
      </c>
      <c r="T56">
        <v>330</v>
      </c>
      <c r="U56">
        <v>330</v>
      </c>
      <c r="V56">
        <v>330</v>
      </c>
      <c r="W56">
        <v>330</v>
      </c>
      <c r="X56">
        <v>330</v>
      </c>
      <c r="Y56">
        <v>330</v>
      </c>
      <c r="Z56">
        <v>330</v>
      </c>
      <c r="AA56">
        <v>330</v>
      </c>
      <c r="AB56">
        <v>330</v>
      </c>
      <c r="AC56">
        <v>330</v>
      </c>
      <c r="AD56">
        <v>330</v>
      </c>
      <c r="AE56">
        <v>330</v>
      </c>
      <c r="AF56">
        <v>330</v>
      </c>
      <c r="AG56">
        <v>330</v>
      </c>
      <c r="AH56">
        <v>330</v>
      </c>
      <c r="AI56">
        <v>330</v>
      </c>
      <c r="AJ56">
        <v>330</v>
      </c>
      <c r="AK56">
        <v>330</v>
      </c>
      <c r="AL56">
        <v>330</v>
      </c>
      <c r="AM56">
        <v>330</v>
      </c>
      <c r="AN56">
        <v>330</v>
      </c>
      <c r="AO56">
        <v>330</v>
      </c>
      <c r="AP56">
        <v>330</v>
      </c>
      <c r="AQ56">
        <v>330</v>
      </c>
      <c r="AR56">
        <v>330</v>
      </c>
      <c r="AS56">
        <v>330</v>
      </c>
      <c r="AT56">
        <v>330</v>
      </c>
      <c r="AU56">
        <v>330</v>
      </c>
      <c r="AV56">
        <v>330</v>
      </c>
      <c r="AW56">
        <v>177.76</v>
      </c>
      <c r="AX56">
        <v>330</v>
      </c>
    </row>
    <row r="57" spans="1:50" x14ac:dyDescent="0.3">
      <c r="C57" t="s">
        <v>289</v>
      </c>
      <c r="D57" t="s">
        <v>289</v>
      </c>
      <c r="E57" t="s">
        <v>289</v>
      </c>
      <c r="F57" t="s">
        <v>289</v>
      </c>
      <c r="G57" t="s">
        <v>289</v>
      </c>
      <c r="H57" t="s">
        <v>289</v>
      </c>
      <c r="I57" t="s">
        <v>289</v>
      </c>
      <c r="J57" t="s">
        <v>289</v>
      </c>
      <c r="K57" t="s">
        <v>289</v>
      </c>
      <c r="L57" t="s">
        <v>289</v>
      </c>
      <c r="M57" t="s">
        <v>289</v>
      </c>
      <c r="N57" t="s">
        <v>289</v>
      </c>
      <c r="O57" t="s">
        <v>289</v>
      </c>
      <c r="P57" t="s">
        <v>289</v>
      </c>
      <c r="Q57" t="s">
        <v>289</v>
      </c>
      <c r="R57" t="s">
        <v>289</v>
      </c>
      <c r="S57" t="s">
        <v>289</v>
      </c>
      <c r="T57" t="s">
        <v>289</v>
      </c>
      <c r="U57" t="s">
        <v>289</v>
      </c>
      <c r="V57" t="s">
        <v>289</v>
      </c>
      <c r="W57" t="s">
        <v>289</v>
      </c>
      <c r="X57" t="s">
        <v>289</v>
      </c>
      <c r="Y57" t="s">
        <v>289</v>
      </c>
      <c r="Z57" t="s">
        <v>289</v>
      </c>
      <c r="AA57" t="s">
        <v>289</v>
      </c>
      <c r="AB57" t="s">
        <v>289</v>
      </c>
      <c r="AC57" t="s">
        <v>289</v>
      </c>
      <c r="AD57" t="s">
        <v>289</v>
      </c>
      <c r="AE57" t="s">
        <v>289</v>
      </c>
      <c r="AF57" t="s">
        <v>289</v>
      </c>
      <c r="AG57" t="s">
        <v>289</v>
      </c>
      <c r="AH57" t="s">
        <v>289</v>
      </c>
      <c r="AI57" t="s">
        <v>289</v>
      </c>
      <c r="AJ57" t="s">
        <v>289</v>
      </c>
      <c r="AK57" t="s">
        <v>289</v>
      </c>
      <c r="AL57" t="s">
        <v>289</v>
      </c>
      <c r="AM57" t="s">
        <v>289</v>
      </c>
      <c r="AN57" t="s">
        <v>289</v>
      </c>
      <c r="AO57" t="s">
        <v>289</v>
      </c>
      <c r="AP57" t="s">
        <v>289</v>
      </c>
      <c r="AQ57" t="s">
        <v>289</v>
      </c>
      <c r="AR57" t="s">
        <v>289</v>
      </c>
      <c r="AS57" t="s">
        <v>289</v>
      </c>
      <c r="AT57" t="s">
        <v>289</v>
      </c>
      <c r="AU57" t="s">
        <v>289</v>
      </c>
      <c r="AV57" t="s">
        <v>289</v>
      </c>
      <c r="AW57" t="s">
        <v>289</v>
      </c>
      <c r="AX57" t="s">
        <v>289</v>
      </c>
    </row>
    <row r="59" spans="1:50" x14ac:dyDescent="0.3">
      <c r="A59" t="s">
        <v>290</v>
      </c>
      <c r="C59">
        <v>188.19</v>
      </c>
      <c r="D59">
        <v>188.19</v>
      </c>
      <c r="E59">
        <v>188.19</v>
      </c>
      <c r="F59">
        <v>188.19</v>
      </c>
      <c r="G59">
        <v>188.19</v>
      </c>
      <c r="H59">
        <v>188.19</v>
      </c>
      <c r="I59">
        <v>188.19</v>
      </c>
      <c r="J59">
        <v>188.19</v>
      </c>
      <c r="K59">
        <v>188.19</v>
      </c>
      <c r="L59">
        <v>188.19</v>
      </c>
      <c r="M59">
        <v>188.19</v>
      </c>
      <c r="N59">
        <v>188.19</v>
      </c>
      <c r="O59">
        <v>188.19</v>
      </c>
      <c r="P59">
        <v>188.19</v>
      </c>
      <c r="Q59">
        <v>188.19</v>
      </c>
      <c r="R59">
        <v>188.19</v>
      </c>
      <c r="S59">
        <v>188.19</v>
      </c>
      <c r="T59">
        <v>188.19</v>
      </c>
      <c r="U59">
        <v>188.19</v>
      </c>
      <c r="V59">
        <v>188.19</v>
      </c>
      <c r="W59">
        <v>188.19</v>
      </c>
      <c r="X59">
        <v>188.19</v>
      </c>
      <c r="Y59">
        <v>188.19</v>
      </c>
      <c r="Z59">
        <v>188.19</v>
      </c>
      <c r="AA59">
        <v>188.19</v>
      </c>
      <c r="AB59">
        <v>188.19</v>
      </c>
      <c r="AC59">
        <v>188.19</v>
      </c>
      <c r="AD59">
        <v>188.19</v>
      </c>
      <c r="AE59">
        <v>188.19</v>
      </c>
      <c r="AF59">
        <v>188.19</v>
      </c>
      <c r="AG59">
        <v>188.19</v>
      </c>
      <c r="AH59">
        <v>188.19</v>
      </c>
      <c r="AI59">
        <v>188.19</v>
      </c>
      <c r="AJ59">
        <v>188.19</v>
      </c>
      <c r="AK59">
        <v>188.19</v>
      </c>
      <c r="AL59">
        <v>208.77</v>
      </c>
      <c r="AM59">
        <v>188.19</v>
      </c>
      <c r="AN59">
        <v>188.19</v>
      </c>
      <c r="AO59">
        <v>188.19</v>
      </c>
      <c r="AP59">
        <v>188.19</v>
      </c>
      <c r="AQ59">
        <v>188.19</v>
      </c>
      <c r="AR59">
        <v>188.19</v>
      </c>
      <c r="AS59">
        <v>188.19</v>
      </c>
      <c r="AT59">
        <v>188.19</v>
      </c>
      <c r="AU59">
        <v>188.19</v>
      </c>
      <c r="AV59">
        <v>188.19</v>
      </c>
      <c r="AW59">
        <v>188.19</v>
      </c>
      <c r="AX59">
        <v>188.19</v>
      </c>
    </row>
    <row r="61" spans="1:50" x14ac:dyDescent="0.3">
      <c r="A61" t="s">
        <v>291</v>
      </c>
    </row>
    <row r="63" spans="1:50" x14ac:dyDescent="0.3">
      <c r="A63" t="s">
        <v>31</v>
      </c>
      <c r="B63">
        <v>625</v>
      </c>
      <c r="C63">
        <v>612.5</v>
      </c>
      <c r="D63">
        <v>612.5</v>
      </c>
      <c r="E63">
        <v>612.5</v>
      </c>
      <c r="F63">
        <v>612.5</v>
      </c>
      <c r="G63">
        <v>612.5</v>
      </c>
      <c r="H63">
        <v>612.5</v>
      </c>
      <c r="I63">
        <v>612.5</v>
      </c>
      <c r="J63">
        <v>612.5</v>
      </c>
      <c r="K63">
        <v>612.5</v>
      </c>
      <c r="L63">
        <v>612.5</v>
      </c>
      <c r="M63">
        <v>612.5</v>
      </c>
      <c r="N63">
        <v>612.5</v>
      </c>
      <c r="O63">
        <v>612.5</v>
      </c>
      <c r="P63">
        <v>612.5</v>
      </c>
      <c r="Q63">
        <v>612.5</v>
      </c>
      <c r="R63">
        <v>612.5</v>
      </c>
      <c r="S63">
        <v>612.5</v>
      </c>
      <c r="T63">
        <v>612.5</v>
      </c>
      <c r="U63">
        <v>612.5</v>
      </c>
      <c r="V63">
        <v>612.5</v>
      </c>
      <c r="W63">
        <v>612.5</v>
      </c>
      <c r="X63">
        <v>612.5</v>
      </c>
      <c r="Y63">
        <v>612.5</v>
      </c>
      <c r="Z63">
        <v>612.5</v>
      </c>
      <c r="AA63">
        <v>612.5</v>
      </c>
      <c r="AB63">
        <v>612.5</v>
      </c>
      <c r="AC63">
        <v>612.5</v>
      </c>
      <c r="AD63">
        <v>612.5</v>
      </c>
      <c r="AE63">
        <v>612.5</v>
      </c>
      <c r="AF63">
        <v>612.5</v>
      </c>
      <c r="AG63">
        <v>612.5</v>
      </c>
      <c r="AH63">
        <v>612.5</v>
      </c>
      <c r="AI63">
        <v>612.5</v>
      </c>
      <c r="AJ63">
        <v>612.5</v>
      </c>
      <c r="AK63">
        <v>612.5</v>
      </c>
      <c r="AL63">
        <v>612.5</v>
      </c>
      <c r="AM63">
        <v>612.5</v>
      </c>
      <c r="AN63">
        <v>612.5</v>
      </c>
      <c r="AO63">
        <v>612.5</v>
      </c>
      <c r="AP63">
        <v>612.5</v>
      </c>
      <c r="AQ63">
        <v>612.5</v>
      </c>
      <c r="AR63">
        <v>612.5</v>
      </c>
      <c r="AS63">
        <v>612.5</v>
      </c>
      <c r="AT63">
        <v>612.5</v>
      </c>
      <c r="AU63">
        <v>612.5</v>
      </c>
      <c r="AV63">
        <v>612.5</v>
      </c>
      <c r="AW63">
        <v>612.5</v>
      </c>
      <c r="AX63">
        <v>612.5</v>
      </c>
    </row>
    <row r="65" spans="1:50" x14ac:dyDescent="0.3">
      <c r="A65" t="s">
        <v>66</v>
      </c>
      <c r="B65">
        <v>991</v>
      </c>
      <c r="C65">
        <v>691.9</v>
      </c>
      <c r="D65">
        <v>766.09</v>
      </c>
      <c r="E65">
        <v>722.05</v>
      </c>
      <c r="F65">
        <v>572.04999999999995</v>
      </c>
      <c r="G65">
        <v>594.6</v>
      </c>
      <c r="H65">
        <v>463.25</v>
      </c>
      <c r="I65">
        <v>470.16</v>
      </c>
      <c r="J65">
        <v>587.05999999999995</v>
      </c>
      <c r="K65">
        <v>737.06</v>
      </c>
      <c r="L65">
        <v>792.8</v>
      </c>
      <c r="M65">
        <v>901.6</v>
      </c>
      <c r="N65">
        <v>901.6</v>
      </c>
      <c r="O65">
        <v>883.42</v>
      </c>
      <c r="P65">
        <v>751.6</v>
      </c>
      <c r="Q65">
        <v>901.6</v>
      </c>
      <c r="R65">
        <v>901.6</v>
      </c>
      <c r="S65">
        <v>901.6</v>
      </c>
      <c r="T65">
        <v>901.6</v>
      </c>
      <c r="U65">
        <v>901.6</v>
      </c>
      <c r="V65">
        <v>901.6</v>
      </c>
      <c r="W65">
        <v>901.6</v>
      </c>
      <c r="X65">
        <v>901.6</v>
      </c>
      <c r="Y65">
        <v>901.6</v>
      </c>
      <c r="Z65">
        <v>901.6</v>
      </c>
      <c r="AA65">
        <v>901.6</v>
      </c>
      <c r="AB65">
        <v>901.6</v>
      </c>
      <c r="AC65">
        <v>901.6</v>
      </c>
      <c r="AD65">
        <v>901.6</v>
      </c>
      <c r="AE65">
        <v>901.6</v>
      </c>
      <c r="AF65">
        <v>901.6</v>
      </c>
      <c r="AG65">
        <v>901.6</v>
      </c>
      <c r="AH65">
        <v>901.6</v>
      </c>
      <c r="AI65">
        <v>901.6</v>
      </c>
      <c r="AJ65">
        <v>901.6</v>
      </c>
      <c r="AK65">
        <v>901.6</v>
      </c>
      <c r="AL65">
        <v>901.6</v>
      </c>
      <c r="AM65">
        <v>901.6</v>
      </c>
      <c r="AN65">
        <v>901.6</v>
      </c>
      <c r="AO65">
        <v>901.6</v>
      </c>
      <c r="AP65">
        <v>901.6</v>
      </c>
      <c r="AQ65">
        <v>901.6</v>
      </c>
      <c r="AR65">
        <v>901.6</v>
      </c>
      <c r="AS65">
        <v>901.6</v>
      </c>
      <c r="AT65">
        <v>901.6</v>
      </c>
      <c r="AU65">
        <v>901.6</v>
      </c>
      <c r="AV65">
        <v>901.6</v>
      </c>
      <c r="AW65">
        <v>901.6</v>
      </c>
      <c r="AX65">
        <v>901.6</v>
      </c>
    </row>
    <row r="66" spans="1:50" x14ac:dyDescent="0.3">
      <c r="A66" t="s">
        <v>68</v>
      </c>
      <c r="B66">
        <v>991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8" spans="1:50" x14ac:dyDescent="0.3">
      <c r="A68" t="s">
        <v>41</v>
      </c>
      <c r="B68">
        <v>1000</v>
      </c>
      <c r="C68">
        <v>980</v>
      </c>
      <c r="D68">
        <v>980</v>
      </c>
      <c r="E68">
        <v>980</v>
      </c>
      <c r="F68">
        <v>980</v>
      </c>
      <c r="G68">
        <v>980</v>
      </c>
      <c r="H68">
        <v>980</v>
      </c>
      <c r="I68">
        <v>980</v>
      </c>
      <c r="J68">
        <v>980</v>
      </c>
      <c r="K68">
        <v>980</v>
      </c>
      <c r="L68">
        <v>980</v>
      </c>
      <c r="M68">
        <v>980</v>
      </c>
      <c r="N68">
        <v>980</v>
      </c>
      <c r="O68">
        <v>980</v>
      </c>
      <c r="P68">
        <v>980</v>
      </c>
      <c r="Q68">
        <v>980</v>
      </c>
      <c r="R68">
        <v>980</v>
      </c>
      <c r="S68">
        <v>980</v>
      </c>
      <c r="T68">
        <v>980</v>
      </c>
      <c r="U68">
        <v>980</v>
      </c>
      <c r="V68">
        <v>980</v>
      </c>
      <c r="W68">
        <v>980</v>
      </c>
      <c r="X68">
        <v>980</v>
      </c>
      <c r="Y68">
        <v>980</v>
      </c>
      <c r="Z68">
        <v>980</v>
      </c>
      <c r="AA68">
        <v>980</v>
      </c>
      <c r="AB68">
        <v>980</v>
      </c>
      <c r="AC68">
        <v>980</v>
      </c>
      <c r="AD68">
        <v>980</v>
      </c>
      <c r="AE68">
        <v>980</v>
      </c>
      <c r="AF68">
        <v>980</v>
      </c>
      <c r="AG68">
        <v>980</v>
      </c>
      <c r="AH68">
        <v>980</v>
      </c>
      <c r="AI68">
        <v>980</v>
      </c>
      <c r="AJ68">
        <v>980</v>
      </c>
      <c r="AK68">
        <v>980</v>
      </c>
      <c r="AL68">
        <v>980</v>
      </c>
      <c r="AM68">
        <v>980</v>
      </c>
      <c r="AN68">
        <v>980</v>
      </c>
      <c r="AO68">
        <v>980</v>
      </c>
      <c r="AP68">
        <v>980</v>
      </c>
      <c r="AQ68">
        <v>980</v>
      </c>
      <c r="AR68">
        <v>980</v>
      </c>
      <c r="AS68">
        <v>980</v>
      </c>
      <c r="AT68">
        <v>980</v>
      </c>
      <c r="AU68">
        <v>980</v>
      </c>
      <c r="AV68">
        <v>980</v>
      </c>
      <c r="AW68">
        <v>980</v>
      </c>
      <c r="AX68">
        <v>980</v>
      </c>
    </row>
    <row r="69" spans="1:50" x14ac:dyDescent="0.3">
      <c r="A69" t="s">
        <v>45</v>
      </c>
      <c r="B69">
        <v>1000</v>
      </c>
      <c r="C69">
        <v>980</v>
      </c>
      <c r="D69">
        <v>980</v>
      </c>
      <c r="E69">
        <v>980</v>
      </c>
      <c r="F69">
        <v>980</v>
      </c>
      <c r="G69">
        <v>980</v>
      </c>
      <c r="H69">
        <v>980</v>
      </c>
      <c r="I69">
        <v>980</v>
      </c>
      <c r="J69">
        <v>980</v>
      </c>
      <c r="K69">
        <v>980</v>
      </c>
      <c r="L69">
        <v>980</v>
      </c>
      <c r="M69">
        <v>980</v>
      </c>
      <c r="N69">
        <v>980</v>
      </c>
      <c r="O69">
        <v>980</v>
      </c>
      <c r="P69">
        <v>980</v>
      </c>
      <c r="Q69">
        <v>980</v>
      </c>
      <c r="R69">
        <v>980</v>
      </c>
      <c r="S69">
        <v>980</v>
      </c>
      <c r="T69">
        <v>980</v>
      </c>
      <c r="U69">
        <v>980</v>
      </c>
      <c r="V69">
        <v>980</v>
      </c>
      <c r="W69">
        <v>980</v>
      </c>
      <c r="X69">
        <v>980</v>
      </c>
      <c r="Y69">
        <v>980</v>
      </c>
      <c r="Z69">
        <v>980</v>
      </c>
      <c r="AA69">
        <v>980</v>
      </c>
      <c r="AB69">
        <v>980</v>
      </c>
      <c r="AC69">
        <v>980</v>
      </c>
      <c r="AD69">
        <v>980</v>
      </c>
      <c r="AE69">
        <v>980</v>
      </c>
      <c r="AF69">
        <v>980</v>
      </c>
      <c r="AG69">
        <v>980</v>
      </c>
      <c r="AH69">
        <v>980</v>
      </c>
      <c r="AI69">
        <v>980</v>
      </c>
      <c r="AJ69">
        <v>980</v>
      </c>
      <c r="AK69">
        <v>980</v>
      </c>
      <c r="AL69">
        <v>980</v>
      </c>
      <c r="AM69">
        <v>980</v>
      </c>
      <c r="AN69">
        <v>980</v>
      </c>
      <c r="AO69">
        <v>980</v>
      </c>
      <c r="AP69">
        <v>980</v>
      </c>
      <c r="AQ69">
        <v>980</v>
      </c>
      <c r="AR69">
        <v>980</v>
      </c>
      <c r="AS69">
        <v>980</v>
      </c>
      <c r="AT69">
        <v>980</v>
      </c>
      <c r="AU69">
        <v>980</v>
      </c>
      <c r="AV69">
        <v>980</v>
      </c>
      <c r="AW69">
        <v>980</v>
      </c>
      <c r="AX69">
        <v>980</v>
      </c>
    </row>
    <row r="71" spans="1:50" x14ac:dyDescent="0.3">
      <c r="A71" t="s">
        <v>292</v>
      </c>
      <c r="B71">
        <v>14.48911</v>
      </c>
      <c r="C71">
        <v>14.49</v>
      </c>
      <c r="D71">
        <v>14.49</v>
      </c>
      <c r="E71">
        <v>14.49</v>
      </c>
      <c r="F71">
        <v>14.49</v>
      </c>
      <c r="G71">
        <v>14.49</v>
      </c>
      <c r="H71">
        <v>14.49</v>
      </c>
      <c r="I71">
        <v>14.49</v>
      </c>
      <c r="J71">
        <v>14.49</v>
      </c>
      <c r="K71">
        <v>14.49</v>
      </c>
      <c r="L71">
        <v>14.49</v>
      </c>
      <c r="M71">
        <v>14.49</v>
      </c>
      <c r="N71">
        <v>14.49</v>
      </c>
      <c r="O71">
        <v>14.49</v>
      </c>
      <c r="P71">
        <v>14.49</v>
      </c>
      <c r="Q71">
        <v>14.49</v>
      </c>
      <c r="R71">
        <v>14.49</v>
      </c>
      <c r="S71">
        <v>14.49</v>
      </c>
      <c r="T71">
        <v>14.49</v>
      </c>
      <c r="U71">
        <v>14.49</v>
      </c>
      <c r="V71">
        <v>14.49</v>
      </c>
      <c r="W71">
        <v>14.49</v>
      </c>
      <c r="X71">
        <v>14.49</v>
      </c>
      <c r="Y71">
        <v>14.49</v>
      </c>
      <c r="Z71">
        <v>14.49</v>
      </c>
      <c r="AA71">
        <v>14.49</v>
      </c>
      <c r="AB71">
        <v>14.49</v>
      </c>
      <c r="AC71">
        <v>14.49</v>
      </c>
      <c r="AD71">
        <v>14.49</v>
      </c>
      <c r="AE71">
        <v>14.49</v>
      </c>
      <c r="AF71">
        <v>14.49</v>
      </c>
      <c r="AG71">
        <v>14.49</v>
      </c>
      <c r="AH71">
        <v>14.49</v>
      </c>
      <c r="AI71">
        <v>14.49</v>
      </c>
      <c r="AJ71">
        <v>14.49</v>
      </c>
      <c r="AK71">
        <v>14.49</v>
      </c>
      <c r="AL71">
        <v>14.49</v>
      </c>
      <c r="AM71">
        <v>14.49</v>
      </c>
      <c r="AN71">
        <v>14.49</v>
      </c>
      <c r="AO71">
        <v>14.49</v>
      </c>
      <c r="AP71">
        <v>14.49</v>
      </c>
      <c r="AQ71">
        <v>14.49</v>
      </c>
      <c r="AR71">
        <v>14.49</v>
      </c>
      <c r="AS71">
        <v>14.49</v>
      </c>
      <c r="AT71">
        <v>14.49</v>
      </c>
      <c r="AU71">
        <v>14.49</v>
      </c>
      <c r="AV71">
        <v>14.49</v>
      </c>
      <c r="AW71">
        <v>14.49</v>
      </c>
      <c r="AX71">
        <v>14.49</v>
      </c>
    </row>
    <row r="73" spans="1:50" x14ac:dyDescent="0.3">
      <c r="A73" t="s">
        <v>293</v>
      </c>
      <c r="C73">
        <v>9709.86</v>
      </c>
      <c r="D73">
        <v>9783.0499999999993</v>
      </c>
      <c r="E73">
        <v>9739.01</v>
      </c>
      <c r="F73">
        <v>9589.01</v>
      </c>
      <c r="G73">
        <v>9611.56</v>
      </c>
      <c r="H73">
        <v>9480.2099999999991</v>
      </c>
      <c r="I73">
        <v>9487.1200000000008</v>
      </c>
      <c r="J73">
        <v>9604.02</v>
      </c>
      <c r="K73">
        <v>9754.02</v>
      </c>
      <c r="L73">
        <v>9809.76</v>
      </c>
      <c r="M73">
        <v>9918.56</v>
      </c>
      <c r="N73">
        <v>10013.709999999999</v>
      </c>
      <c r="O73">
        <v>10023.58</v>
      </c>
      <c r="P73">
        <v>10162.66</v>
      </c>
      <c r="Q73">
        <v>10334.92</v>
      </c>
      <c r="R73">
        <v>10584.71</v>
      </c>
      <c r="S73">
        <v>10750.42</v>
      </c>
      <c r="T73">
        <v>11533.85</v>
      </c>
      <c r="U73">
        <v>11649.49</v>
      </c>
      <c r="V73">
        <v>11694.43</v>
      </c>
      <c r="W73">
        <v>11774.5</v>
      </c>
      <c r="X73">
        <v>11812.01</v>
      </c>
      <c r="Y73">
        <v>11754.72</v>
      </c>
      <c r="Z73">
        <v>11727.11</v>
      </c>
      <c r="AA73">
        <v>11704.74</v>
      </c>
      <c r="AB73">
        <v>11839.9</v>
      </c>
      <c r="AC73">
        <v>11933.35</v>
      </c>
      <c r="AD73">
        <v>12008.18</v>
      </c>
      <c r="AE73">
        <v>11969.62</v>
      </c>
      <c r="AF73">
        <v>12011.63</v>
      </c>
      <c r="AG73">
        <v>11930.08</v>
      </c>
      <c r="AH73">
        <v>11856.57</v>
      </c>
      <c r="AI73">
        <v>11752.54</v>
      </c>
      <c r="AJ73">
        <v>11729.96</v>
      </c>
      <c r="AK73">
        <v>11660.49</v>
      </c>
      <c r="AL73">
        <v>12141.67</v>
      </c>
      <c r="AM73">
        <v>11932.38</v>
      </c>
      <c r="AN73">
        <v>11775.29</v>
      </c>
      <c r="AO73">
        <v>11730.98</v>
      </c>
      <c r="AP73">
        <v>11673.33</v>
      </c>
      <c r="AQ73">
        <v>11602.5</v>
      </c>
      <c r="AR73">
        <v>11348.44</v>
      </c>
      <c r="AS73">
        <v>10749.39</v>
      </c>
      <c r="AT73">
        <v>10636.45</v>
      </c>
      <c r="AU73">
        <v>10556.77</v>
      </c>
      <c r="AV73">
        <v>10381.67</v>
      </c>
      <c r="AW73">
        <v>10129.469999999999</v>
      </c>
      <c r="AX73">
        <v>10374.32</v>
      </c>
    </row>
    <row r="74" spans="1:50" x14ac:dyDescent="0.3">
      <c r="A74" t="s">
        <v>294</v>
      </c>
      <c r="C74">
        <v>9627.7199999999993</v>
      </c>
      <c r="D74">
        <v>9554.2199999999993</v>
      </c>
      <c r="E74">
        <v>9379.4699999999993</v>
      </c>
      <c r="F74">
        <v>9315.41</v>
      </c>
      <c r="G74">
        <v>9278.7099999999991</v>
      </c>
      <c r="H74">
        <v>9173.48</v>
      </c>
      <c r="I74">
        <v>9124.92</v>
      </c>
      <c r="J74">
        <v>9117.17</v>
      </c>
      <c r="K74">
        <v>9232.92</v>
      </c>
      <c r="L74">
        <v>9455.65</v>
      </c>
      <c r="M74">
        <v>9709.84</v>
      </c>
      <c r="N74">
        <v>9740.34</v>
      </c>
      <c r="O74">
        <v>9858.58</v>
      </c>
      <c r="P74">
        <v>10092.41</v>
      </c>
      <c r="Q74">
        <v>10617.84</v>
      </c>
      <c r="R74">
        <v>11001.62</v>
      </c>
      <c r="S74">
        <v>11589.52</v>
      </c>
      <c r="T74">
        <v>11831.24</v>
      </c>
      <c r="U74">
        <v>12113</v>
      </c>
      <c r="V74">
        <v>12231.54</v>
      </c>
      <c r="W74">
        <v>12419.21</v>
      </c>
      <c r="X74">
        <v>12491.09</v>
      </c>
      <c r="Y74">
        <v>12450.63</v>
      </c>
      <c r="Z74">
        <v>12235.68</v>
      </c>
      <c r="AA74">
        <v>12167.96</v>
      </c>
      <c r="AB74">
        <v>12488.41</v>
      </c>
      <c r="AC74">
        <v>13026.51</v>
      </c>
      <c r="AD74">
        <v>12968.77</v>
      </c>
      <c r="AE74">
        <v>12992.34</v>
      </c>
      <c r="AF74">
        <v>12992.49</v>
      </c>
      <c r="AG74">
        <v>12980.97</v>
      </c>
      <c r="AH74">
        <v>12774.52</v>
      </c>
      <c r="AI74">
        <v>12644.29</v>
      </c>
      <c r="AJ74">
        <v>12447.18</v>
      </c>
      <c r="AK74">
        <v>12274.48</v>
      </c>
      <c r="AL74">
        <v>12493.19</v>
      </c>
      <c r="AM74">
        <v>12456.84</v>
      </c>
      <c r="AN74">
        <v>12306.78</v>
      </c>
      <c r="AO74">
        <v>12312.34</v>
      </c>
      <c r="AP74">
        <v>12197.25</v>
      </c>
      <c r="AQ74">
        <v>12115.22</v>
      </c>
      <c r="AR74">
        <v>12007.13</v>
      </c>
      <c r="AS74">
        <v>11923.24</v>
      </c>
      <c r="AT74">
        <v>11747.13</v>
      </c>
      <c r="AU74">
        <v>11438.12</v>
      </c>
      <c r="AV74">
        <v>11064.55</v>
      </c>
      <c r="AW74">
        <v>10975.04</v>
      </c>
      <c r="AX74">
        <v>10719.6</v>
      </c>
    </row>
    <row r="76" spans="1:50" x14ac:dyDescent="0.3">
      <c r="A76" t="s">
        <v>295</v>
      </c>
    </row>
    <row r="77" spans="1:50" x14ac:dyDescent="0.3">
      <c r="C77" t="s">
        <v>253</v>
      </c>
      <c r="D77" t="s">
        <v>253</v>
      </c>
      <c r="E77" t="s">
        <v>253</v>
      </c>
      <c r="F77" t="s">
        <v>253</v>
      </c>
      <c r="G77" t="s">
        <v>253</v>
      </c>
      <c r="H77" t="s">
        <v>253</v>
      </c>
      <c r="I77" t="s">
        <v>253</v>
      </c>
      <c r="J77" t="s">
        <v>253</v>
      </c>
      <c r="K77" t="s">
        <v>253</v>
      </c>
      <c r="L77" t="s">
        <v>253</v>
      </c>
      <c r="M77" t="s">
        <v>253</v>
      </c>
      <c r="N77" t="s">
        <v>253</v>
      </c>
      <c r="O77" t="s">
        <v>253</v>
      </c>
      <c r="P77" t="s">
        <v>253</v>
      </c>
      <c r="Q77" t="s">
        <v>253</v>
      </c>
      <c r="R77" t="s">
        <v>253</v>
      </c>
      <c r="S77" t="s">
        <v>253</v>
      </c>
      <c r="T77" t="s">
        <v>253</v>
      </c>
      <c r="U77" t="s">
        <v>253</v>
      </c>
      <c r="V77" t="s">
        <v>253</v>
      </c>
      <c r="W77" t="s">
        <v>253</v>
      </c>
      <c r="X77" t="s">
        <v>253</v>
      </c>
      <c r="Y77" t="s">
        <v>253</v>
      </c>
      <c r="Z77" t="s">
        <v>253</v>
      </c>
      <c r="AA77" t="s">
        <v>253</v>
      </c>
      <c r="AB77" t="s">
        <v>253</v>
      </c>
      <c r="AC77" t="s">
        <v>253</v>
      </c>
      <c r="AD77" t="s">
        <v>253</v>
      </c>
      <c r="AE77" t="s">
        <v>253</v>
      </c>
      <c r="AF77" t="s">
        <v>253</v>
      </c>
      <c r="AG77" t="s">
        <v>253</v>
      </c>
      <c r="AH77" t="s">
        <v>253</v>
      </c>
      <c r="AI77" t="s">
        <v>253</v>
      </c>
      <c r="AJ77" t="s">
        <v>253</v>
      </c>
      <c r="AK77" t="s">
        <v>253</v>
      </c>
      <c r="AL77" t="s">
        <v>253</v>
      </c>
      <c r="AM77" t="s">
        <v>253</v>
      </c>
      <c r="AN77" t="s">
        <v>253</v>
      </c>
      <c r="AO77" t="s">
        <v>253</v>
      </c>
      <c r="AP77" t="s">
        <v>253</v>
      </c>
      <c r="AQ77" t="s">
        <v>253</v>
      </c>
      <c r="AR77" t="s">
        <v>253</v>
      </c>
      <c r="AS77" t="s">
        <v>253</v>
      </c>
      <c r="AT77" t="s">
        <v>253</v>
      </c>
      <c r="AU77" t="s">
        <v>253</v>
      </c>
      <c r="AV77" t="s">
        <v>253</v>
      </c>
      <c r="AW77" t="s">
        <v>253</v>
      </c>
      <c r="AX77" t="s">
        <v>253</v>
      </c>
    </row>
    <row r="79" spans="1:50" x14ac:dyDescent="0.3">
      <c r="A79" t="s">
        <v>296</v>
      </c>
      <c r="C79">
        <v>17</v>
      </c>
      <c r="D79">
        <v>17</v>
      </c>
      <c r="E79">
        <v>17</v>
      </c>
      <c r="F79">
        <v>17</v>
      </c>
      <c r="G79">
        <v>17</v>
      </c>
      <c r="H79">
        <v>17</v>
      </c>
      <c r="I79">
        <v>17</v>
      </c>
      <c r="J79">
        <v>17</v>
      </c>
      <c r="K79">
        <v>18</v>
      </c>
      <c r="L79">
        <v>18</v>
      </c>
      <c r="M79">
        <v>18</v>
      </c>
      <c r="N79">
        <v>18</v>
      </c>
      <c r="O79">
        <v>19</v>
      </c>
      <c r="P79">
        <v>19</v>
      </c>
      <c r="Q79">
        <v>19</v>
      </c>
      <c r="R79">
        <v>19</v>
      </c>
      <c r="S79">
        <v>19</v>
      </c>
      <c r="T79">
        <v>19</v>
      </c>
      <c r="U79">
        <v>19</v>
      </c>
      <c r="V79">
        <v>19</v>
      </c>
      <c r="W79">
        <v>19</v>
      </c>
      <c r="X79">
        <v>19</v>
      </c>
      <c r="Y79">
        <v>19</v>
      </c>
      <c r="Z79">
        <v>19</v>
      </c>
      <c r="AA79">
        <v>19</v>
      </c>
      <c r="AB79">
        <v>19</v>
      </c>
      <c r="AC79">
        <v>19</v>
      </c>
      <c r="AD79">
        <v>19</v>
      </c>
      <c r="AE79">
        <v>21</v>
      </c>
      <c r="AF79">
        <v>17</v>
      </c>
      <c r="AG79">
        <v>17</v>
      </c>
      <c r="AH79">
        <v>14</v>
      </c>
      <c r="AI79">
        <v>14</v>
      </c>
      <c r="AJ79">
        <v>14</v>
      </c>
      <c r="AK79">
        <v>14</v>
      </c>
      <c r="AL79">
        <v>14</v>
      </c>
      <c r="AM79">
        <v>14</v>
      </c>
      <c r="AN79">
        <v>14</v>
      </c>
      <c r="AO79">
        <v>14</v>
      </c>
      <c r="AP79">
        <v>14</v>
      </c>
      <c r="AQ79">
        <v>14</v>
      </c>
      <c r="AR79">
        <v>17</v>
      </c>
      <c r="AS79">
        <v>17</v>
      </c>
      <c r="AT79">
        <v>17</v>
      </c>
      <c r="AU79">
        <v>17</v>
      </c>
      <c r="AV79">
        <v>17</v>
      </c>
      <c r="AW79">
        <v>17</v>
      </c>
      <c r="AX79">
        <v>17</v>
      </c>
    </row>
    <row r="81" spans="1:50" x14ac:dyDescent="0.3">
      <c r="A81" t="s">
        <v>297</v>
      </c>
      <c r="B81">
        <v>174.6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124.35</v>
      </c>
      <c r="U81">
        <v>111.99</v>
      </c>
      <c r="V81">
        <v>133.47</v>
      </c>
      <c r="W81">
        <v>102.08</v>
      </c>
      <c r="X81">
        <v>150</v>
      </c>
      <c r="Y81">
        <v>150</v>
      </c>
      <c r="Z81">
        <v>62.53</v>
      </c>
      <c r="AA81">
        <v>123.94</v>
      </c>
      <c r="AB81">
        <v>90.18</v>
      </c>
      <c r="AC81">
        <v>150</v>
      </c>
      <c r="AD81">
        <v>150</v>
      </c>
      <c r="AE81">
        <v>150</v>
      </c>
      <c r="AF81">
        <v>150</v>
      </c>
      <c r="AG81">
        <v>150</v>
      </c>
      <c r="AH81">
        <v>150</v>
      </c>
      <c r="AI81">
        <v>150</v>
      </c>
      <c r="AJ81">
        <v>150</v>
      </c>
      <c r="AK81">
        <v>150</v>
      </c>
      <c r="AL81">
        <v>150</v>
      </c>
      <c r="AM81">
        <v>150</v>
      </c>
      <c r="AN81">
        <v>150</v>
      </c>
      <c r="AO81">
        <v>150</v>
      </c>
      <c r="AP81">
        <v>150</v>
      </c>
      <c r="AQ81">
        <v>150</v>
      </c>
      <c r="AR81">
        <v>150</v>
      </c>
      <c r="AS81">
        <v>150</v>
      </c>
      <c r="AT81">
        <v>150</v>
      </c>
      <c r="AU81">
        <v>150</v>
      </c>
      <c r="AV81">
        <v>150</v>
      </c>
      <c r="AW81">
        <v>150</v>
      </c>
      <c r="AX81">
        <v>0</v>
      </c>
    </row>
    <row r="82" spans="1:50" x14ac:dyDescent="0.3">
      <c r="A82" t="s">
        <v>298</v>
      </c>
      <c r="B82">
        <v>174.6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133.47</v>
      </c>
      <c r="W82">
        <v>102.08</v>
      </c>
      <c r="X82">
        <v>150</v>
      </c>
      <c r="Y82">
        <v>150</v>
      </c>
      <c r="Z82">
        <v>0</v>
      </c>
      <c r="AA82">
        <v>0</v>
      </c>
      <c r="AB82">
        <v>90.18</v>
      </c>
      <c r="AC82">
        <v>150</v>
      </c>
      <c r="AD82">
        <v>150</v>
      </c>
      <c r="AE82">
        <v>150</v>
      </c>
      <c r="AF82">
        <v>150</v>
      </c>
      <c r="AG82">
        <v>150</v>
      </c>
      <c r="AH82">
        <v>150</v>
      </c>
      <c r="AI82">
        <v>150</v>
      </c>
      <c r="AJ82">
        <v>150</v>
      </c>
      <c r="AK82">
        <v>150</v>
      </c>
      <c r="AL82">
        <v>150</v>
      </c>
      <c r="AM82">
        <v>150</v>
      </c>
      <c r="AN82">
        <v>150</v>
      </c>
      <c r="AO82">
        <v>150</v>
      </c>
      <c r="AP82">
        <v>150</v>
      </c>
      <c r="AQ82">
        <v>150</v>
      </c>
      <c r="AR82">
        <v>150</v>
      </c>
      <c r="AS82">
        <v>150</v>
      </c>
      <c r="AT82">
        <v>150</v>
      </c>
      <c r="AU82">
        <v>150</v>
      </c>
      <c r="AV82">
        <v>150</v>
      </c>
      <c r="AW82">
        <v>150</v>
      </c>
      <c r="AX82">
        <v>0</v>
      </c>
    </row>
    <row r="83" spans="1:50" x14ac:dyDescent="0.3">
      <c r="A83" t="s">
        <v>299</v>
      </c>
      <c r="B83">
        <v>174.6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133.47</v>
      </c>
      <c r="W83">
        <v>102.08</v>
      </c>
      <c r="X83">
        <v>150</v>
      </c>
      <c r="Y83">
        <v>150</v>
      </c>
      <c r="Z83">
        <v>0</v>
      </c>
      <c r="AA83">
        <v>0</v>
      </c>
      <c r="AB83">
        <v>90.18</v>
      </c>
      <c r="AC83">
        <v>150</v>
      </c>
      <c r="AD83">
        <v>150</v>
      </c>
      <c r="AE83">
        <v>150</v>
      </c>
      <c r="AF83">
        <v>150</v>
      </c>
      <c r="AG83">
        <v>150</v>
      </c>
      <c r="AH83">
        <v>150</v>
      </c>
      <c r="AI83">
        <v>150</v>
      </c>
      <c r="AJ83">
        <v>150</v>
      </c>
      <c r="AK83">
        <v>150</v>
      </c>
      <c r="AL83">
        <v>150</v>
      </c>
      <c r="AM83">
        <v>150</v>
      </c>
      <c r="AN83">
        <v>150</v>
      </c>
      <c r="AO83">
        <v>150</v>
      </c>
      <c r="AP83">
        <v>150</v>
      </c>
      <c r="AQ83">
        <v>150</v>
      </c>
      <c r="AR83">
        <v>150</v>
      </c>
      <c r="AS83">
        <v>150</v>
      </c>
      <c r="AT83">
        <v>150</v>
      </c>
      <c r="AU83">
        <v>150</v>
      </c>
      <c r="AV83">
        <v>150</v>
      </c>
      <c r="AW83">
        <v>150</v>
      </c>
      <c r="AX83">
        <v>0</v>
      </c>
    </row>
    <row r="84" spans="1:50" x14ac:dyDescent="0.3">
      <c r="A84" t="s">
        <v>300</v>
      </c>
      <c r="B84">
        <v>174.6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150</v>
      </c>
      <c r="AD84">
        <v>150</v>
      </c>
      <c r="AE84">
        <v>150</v>
      </c>
      <c r="AF84">
        <v>150</v>
      </c>
      <c r="AG84">
        <v>150</v>
      </c>
      <c r="AH84">
        <v>150</v>
      </c>
      <c r="AI84">
        <v>150</v>
      </c>
      <c r="AJ84">
        <v>150</v>
      </c>
      <c r="AK84">
        <v>150</v>
      </c>
      <c r="AL84">
        <v>150</v>
      </c>
      <c r="AM84">
        <v>150</v>
      </c>
      <c r="AN84">
        <v>150</v>
      </c>
      <c r="AO84">
        <v>150</v>
      </c>
      <c r="AP84">
        <v>150</v>
      </c>
      <c r="AQ84">
        <v>150</v>
      </c>
      <c r="AR84">
        <v>150</v>
      </c>
      <c r="AS84">
        <v>150</v>
      </c>
      <c r="AT84">
        <v>150</v>
      </c>
      <c r="AU84">
        <v>150</v>
      </c>
      <c r="AV84">
        <v>0</v>
      </c>
      <c r="AW84">
        <v>0</v>
      </c>
      <c r="AX84">
        <v>0</v>
      </c>
    </row>
    <row r="86" spans="1:50" x14ac:dyDescent="0.3">
      <c r="A86" t="s">
        <v>301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3">
      <c r="A87" t="s">
        <v>302</v>
      </c>
      <c r="B87">
        <v>52.3</v>
      </c>
      <c r="C87">
        <v>52.3</v>
      </c>
      <c r="D87">
        <v>52.3</v>
      </c>
      <c r="E87">
        <v>52.3</v>
      </c>
      <c r="F87">
        <v>39.229999999999997</v>
      </c>
      <c r="G87">
        <v>52.3</v>
      </c>
      <c r="H87">
        <v>39.229999999999997</v>
      </c>
      <c r="I87">
        <v>39.229999999999997</v>
      </c>
      <c r="J87">
        <v>39.229999999999997</v>
      </c>
      <c r="K87">
        <v>52.3</v>
      </c>
      <c r="L87">
        <v>52.3</v>
      </c>
      <c r="M87">
        <v>52.3</v>
      </c>
      <c r="N87">
        <v>52.3</v>
      </c>
      <c r="O87">
        <v>52.3</v>
      </c>
      <c r="P87">
        <v>52.3</v>
      </c>
      <c r="Q87">
        <v>52.3</v>
      </c>
      <c r="R87">
        <v>52.3</v>
      </c>
      <c r="S87">
        <v>52.3</v>
      </c>
      <c r="T87">
        <v>52.3</v>
      </c>
      <c r="U87">
        <v>52.3</v>
      </c>
      <c r="V87">
        <v>52.3</v>
      </c>
      <c r="W87">
        <v>52.3</v>
      </c>
      <c r="X87">
        <v>52.3</v>
      </c>
      <c r="Y87">
        <v>52.3</v>
      </c>
      <c r="Z87">
        <v>52.3</v>
      </c>
      <c r="AA87">
        <v>52.3</v>
      </c>
      <c r="AB87">
        <v>52.3</v>
      </c>
      <c r="AC87">
        <v>52.3</v>
      </c>
      <c r="AD87">
        <v>52.3</v>
      </c>
      <c r="AE87">
        <v>52.3</v>
      </c>
      <c r="AF87">
        <v>52.3</v>
      </c>
      <c r="AG87">
        <v>52.3</v>
      </c>
      <c r="AH87">
        <v>52.3</v>
      </c>
      <c r="AI87">
        <v>52.3</v>
      </c>
      <c r="AJ87">
        <v>52.3</v>
      </c>
      <c r="AK87">
        <v>52.3</v>
      </c>
      <c r="AL87">
        <v>52.3</v>
      </c>
      <c r="AM87">
        <v>52.3</v>
      </c>
      <c r="AN87">
        <v>52.3</v>
      </c>
      <c r="AO87">
        <v>52.3</v>
      </c>
      <c r="AP87">
        <v>52.3</v>
      </c>
      <c r="AQ87">
        <v>52.3</v>
      </c>
      <c r="AR87">
        <v>52.3</v>
      </c>
      <c r="AS87">
        <v>52.3</v>
      </c>
      <c r="AT87">
        <v>52.3</v>
      </c>
      <c r="AU87">
        <v>52.3</v>
      </c>
      <c r="AV87">
        <v>52.3</v>
      </c>
      <c r="AW87">
        <v>52.3</v>
      </c>
      <c r="AX87">
        <v>52.3</v>
      </c>
    </row>
    <row r="88" spans="1:50" x14ac:dyDescent="0.3">
      <c r="A88" t="s">
        <v>303</v>
      </c>
      <c r="B88">
        <v>52.3</v>
      </c>
      <c r="C88">
        <v>52.3</v>
      </c>
      <c r="D88">
        <v>52.3</v>
      </c>
      <c r="E88">
        <v>52.3</v>
      </c>
      <c r="F88">
        <v>39.229999999999997</v>
      </c>
      <c r="G88">
        <v>49.56</v>
      </c>
      <c r="H88">
        <v>39.229999999999997</v>
      </c>
      <c r="I88">
        <v>39.229999999999997</v>
      </c>
      <c r="J88">
        <v>39.229999999999997</v>
      </c>
      <c r="K88">
        <v>52.3</v>
      </c>
      <c r="L88">
        <v>52.3</v>
      </c>
      <c r="M88">
        <v>52.3</v>
      </c>
      <c r="N88">
        <v>52.3</v>
      </c>
      <c r="O88">
        <v>52.3</v>
      </c>
      <c r="P88">
        <v>52.3</v>
      </c>
      <c r="Q88">
        <v>52.3</v>
      </c>
      <c r="R88">
        <v>52.3</v>
      </c>
      <c r="S88">
        <v>52.3</v>
      </c>
      <c r="T88">
        <v>52.3</v>
      </c>
      <c r="U88">
        <v>52.3</v>
      </c>
      <c r="V88">
        <v>52.3</v>
      </c>
      <c r="W88">
        <v>52.3</v>
      </c>
      <c r="X88">
        <v>47.3</v>
      </c>
      <c r="Y88">
        <v>47.3</v>
      </c>
      <c r="Z88">
        <v>52.3</v>
      </c>
      <c r="AA88">
        <v>52.3</v>
      </c>
      <c r="AB88">
        <v>52.3</v>
      </c>
      <c r="AC88">
        <v>52.3</v>
      </c>
      <c r="AD88">
        <v>52.3</v>
      </c>
      <c r="AE88">
        <v>52.3</v>
      </c>
      <c r="AF88">
        <v>52.3</v>
      </c>
      <c r="AG88">
        <v>52.3</v>
      </c>
      <c r="AH88">
        <v>52.3</v>
      </c>
      <c r="AI88">
        <v>52.3</v>
      </c>
      <c r="AJ88">
        <v>52.3</v>
      </c>
      <c r="AK88">
        <v>52.3</v>
      </c>
      <c r="AL88">
        <v>52.3</v>
      </c>
      <c r="AM88">
        <v>52.3</v>
      </c>
      <c r="AN88">
        <v>52.3</v>
      </c>
      <c r="AO88">
        <v>52.3</v>
      </c>
      <c r="AP88">
        <v>52.3</v>
      </c>
      <c r="AQ88">
        <v>52.3</v>
      </c>
      <c r="AR88">
        <v>52.3</v>
      </c>
      <c r="AS88">
        <v>52.3</v>
      </c>
      <c r="AT88">
        <v>52.3</v>
      </c>
      <c r="AU88">
        <v>52.3</v>
      </c>
      <c r="AV88">
        <v>52.3</v>
      </c>
      <c r="AW88">
        <v>52.3</v>
      </c>
      <c r="AX88">
        <v>52.3</v>
      </c>
    </row>
    <row r="90" spans="1:50" x14ac:dyDescent="0.3">
      <c r="A90" t="s">
        <v>304</v>
      </c>
      <c r="B90">
        <v>52</v>
      </c>
      <c r="C90">
        <v>52</v>
      </c>
      <c r="D90">
        <v>52</v>
      </c>
      <c r="E90">
        <v>52</v>
      </c>
      <c r="F90">
        <v>52</v>
      </c>
      <c r="G90">
        <v>52</v>
      </c>
      <c r="H90">
        <v>52</v>
      </c>
      <c r="I90">
        <v>52</v>
      </c>
      <c r="J90">
        <v>52</v>
      </c>
      <c r="K90">
        <v>52</v>
      </c>
      <c r="L90">
        <v>52</v>
      </c>
      <c r="M90">
        <v>52</v>
      </c>
      <c r="N90">
        <v>52</v>
      </c>
      <c r="O90">
        <v>52</v>
      </c>
      <c r="P90">
        <v>52</v>
      </c>
      <c r="Q90">
        <v>52</v>
      </c>
      <c r="R90">
        <v>52</v>
      </c>
      <c r="S90">
        <v>52</v>
      </c>
      <c r="T90">
        <v>52</v>
      </c>
      <c r="U90">
        <v>52</v>
      </c>
      <c r="V90">
        <v>52</v>
      </c>
      <c r="W90">
        <v>52</v>
      </c>
      <c r="X90">
        <v>47</v>
      </c>
      <c r="Y90">
        <v>47</v>
      </c>
      <c r="Z90">
        <v>52</v>
      </c>
      <c r="AA90">
        <v>52</v>
      </c>
      <c r="AB90">
        <v>52</v>
      </c>
      <c r="AC90">
        <v>52</v>
      </c>
      <c r="AD90">
        <v>52</v>
      </c>
      <c r="AE90">
        <v>52</v>
      </c>
      <c r="AF90">
        <v>52</v>
      </c>
      <c r="AG90">
        <v>52</v>
      </c>
      <c r="AH90">
        <v>52</v>
      </c>
      <c r="AI90">
        <v>52</v>
      </c>
      <c r="AJ90">
        <v>52</v>
      </c>
      <c r="AK90">
        <v>52</v>
      </c>
      <c r="AL90">
        <v>52</v>
      </c>
      <c r="AM90">
        <v>52</v>
      </c>
      <c r="AN90">
        <v>52</v>
      </c>
      <c r="AO90">
        <v>52</v>
      </c>
      <c r="AP90">
        <v>52</v>
      </c>
      <c r="AQ90">
        <v>52</v>
      </c>
      <c r="AR90">
        <v>52</v>
      </c>
      <c r="AS90">
        <v>52</v>
      </c>
      <c r="AT90">
        <v>52</v>
      </c>
      <c r="AU90">
        <v>52</v>
      </c>
      <c r="AV90">
        <v>52</v>
      </c>
      <c r="AW90">
        <v>52</v>
      </c>
      <c r="AX90">
        <v>52</v>
      </c>
    </row>
    <row r="92" spans="1:50" x14ac:dyDescent="0.3">
      <c r="A92" t="s">
        <v>305</v>
      </c>
      <c r="B92">
        <v>55</v>
      </c>
      <c r="C92">
        <v>45</v>
      </c>
      <c r="D92">
        <v>45</v>
      </c>
      <c r="E92">
        <v>45</v>
      </c>
      <c r="F92">
        <v>45</v>
      </c>
      <c r="G92">
        <v>45</v>
      </c>
      <c r="H92">
        <v>45</v>
      </c>
      <c r="I92">
        <v>45</v>
      </c>
      <c r="J92">
        <v>45</v>
      </c>
      <c r="K92">
        <v>45</v>
      </c>
      <c r="L92">
        <v>45</v>
      </c>
      <c r="M92">
        <v>45</v>
      </c>
      <c r="N92">
        <v>45</v>
      </c>
      <c r="O92">
        <v>45</v>
      </c>
      <c r="P92">
        <v>45</v>
      </c>
      <c r="Q92">
        <v>45</v>
      </c>
      <c r="R92">
        <v>45</v>
      </c>
      <c r="S92">
        <v>45</v>
      </c>
      <c r="T92">
        <v>45</v>
      </c>
      <c r="U92">
        <v>45</v>
      </c>
      <c r="V92">
        <v>45</v>
      </c>
      <c r="W92">
        <v>45</v>
      </c>
      <c r="X92">
        <v>45</v>
      </c>
      <c r="Y92">
        <v>45</v>
      </c>
      <c r="Z92">
        <v>45</v>
      </c>
      <c r="AA92">
        <v>45</v>
      </c>
      <c r="AB92">
        <v>45</v>
      </c>
      <c r="AC92">
        <v>45</v>
      </c>
      <c r="AD92">
        <v>45</v>
      </c>
      <c r="AE92">
        <v>45</v>
      </c>
      <c r="AF92">
        <v>45</v>
      </c>
      <c r="AG92">
        <v>45</v>
      </c>
      <c r="AH92">
        <v>52</v>
      </c>
      <c r="AI92">
        <v>52</v>
      </c>
      <c r="AJ92">
        <v>52</v>
      </c>
      <c r="AK92">
        <v>52</v>
      </c>
      <c r="AL92">
        <v>52</v>
      </c>
      <c r="AM92">
        <v>52</v>
      </c>
      <c r="AN92">
        <v>52</v>
      </c>
      <c r="AO92">
        <v>52</v>
      </c>
      <c r="AP92">
        <v>52</v>
      </c>
      <c r="AQ92">
        <v>52</v>
      </c>
      <c r="AR92">
        <v>45</v>
      </c>
      <c r="AS92">
        <v>45</v>
      </c>
      <c r="AT92">
        <v>45</v>
      </c>
      <c r="AU92">
        <v>45</v>
      </c>
      <c r="AV92">
        <v>45</v>
      </c>
      <c r="AW92">
        <v>45</v>
      </c>
      <c r="AX92">
        <v>45</v>
      </c>
    </row>
    <row r="93" spans="1:50" x14ac:dyDescent="0.3">
      <c r="A93" t="s">
        <v>306</v>
      </c>
      <c r="B93">
        <v>55</v>
      </c>
      <c r="C93">
        <v>45</v>
      </c>
      <c r="D93">
        <v>45</v>
      </c>
      <c r="E93">
        <v>45</v>
      </c>
      <c r="F93">
        <v>45</v>
      </c>
      <c r="G93">
        <v>45</v>
      </c>
      <c r="H93">
        <v>45</v>
      </c>
      <c r="I93">
        <v>45</v>
      </c>
      <c r="J93">
        <v>45</v>
      </c>
      <c r="K93">
        <v>45</v>
      </c>
      <c r="L93">
        <v>45</v>
      </c>
      <c r="M93">
        <v>45</v>
      </c>
      <c r="N93">
        <v>45</v>
      </c>
      <c r="O93">
        <v>45</v>
      </c>
      <c r="P93">
        <v>45</v>
      </c>
      <c r="Q93">
        <v>45</v>
      </c>
      <c r="R93">
        <v>45</v>
      </c>
      <c r="S93">
        <v>45</v>
      </c>
      <c r="T93">
        <v>45</v>
      </c>
      <c r="U93">
        <v>45</v>
      </c>
      <c r="V93">
        <v>45</v>
      </c>
      <c r="W93">
        <v>45</v>
      </c>
      <c r="X93">
        <v>45</v>
      </c>
      <c r="Y93">
        <v>45</v>
      </c>
      <c r="Z93">
        <v>45</v>
      </c>
      <c r="AA93">
        <v>45</v>
      </c>
      <c r="AB93">
        <v>45</v>
      </c>
      <c r="AC93">
        <v>45</v>
      </c>
      <c r="AD93">
        <v>45</v>
      </c>
      <c r="AE93">
        <v>45</v>
      </c>
      <c r="AF93">
        <v>45</v>
      </c>
      <c r="AG93">
        <v>45</v>
      </c>
      <c r="AH93">
        <v>52</v>
      </c>
      <c r="AI93">
        <v>52</v>
      </c>
      <c r="AJ93">
        <v>52</v>
      </c>
      <c r="AK93">
        <v>52</v>
      </c>
      <c r="AL93">
        <v>52</v>
      </c>
      <c r="AM93">
        <v>52</v>
      </c>
      <c r="AN93">
        <v>52</v>
      </c>
      <c r="AO93">
        <v>52</v>
      </c>
      <c r="AP93">
        <v>52</v>
      </c>
      <c r="AQ93">
        <v>52</v>
      </c>
      <c r="AR93">
        <v>45</v>
      </c>
      <c r="AS93">
        <v>45</v>
      </c>
      <c r="AT93">
        <v>45</v>
      </c>
      <c r="AU93">
        <v>45</v>
      </c>
      <c r="AV93">
        <v>45</v>
      </c>
      <c r="AW93">
        <v>45</v>
      </c>
      <c r="AX93">
        <v>45</v>
      </c>
    </row>
    <row r="94" spans="1:50" x14ac:dyDescent="0.3">
      <c r="C94" t="s">
        <v>282</v>
      </c>
      <c r="D94" t="s">
        <v>282</v>
      </c>
      <c r="E94" t="s">
        <v>282</v>
      </c>
      <c r="F94" t="s">
        <v>282</v>
      </c>
      <c r="G94" t="s">
        <v>282</v>
      </c>
      <c r="H94" t="s">
        <v>282</v>
      </c>
      <c r="I94" t="s">
        <v>282</v>
      </c>
      <c r="J94" t="s">
        <v>282</v>
      </c>
      <c r="K94" t="s">
        <v>282</v>
      </c>
      <c r="L94" t="s">
        <v>282</v>
      </c>
      <c r="M94" t="s">
        <v>282</v>
      </c>
      <c r="N94" t="s">
        <v>282</v>
      </c>
      <c r="O94" t="s">
        <v>282</v>
      </c>
      <c r="P94" t="s">
        <v>282</v>
      </c>
      <c r="Q94" t="s">
        <v>282</v>
      </c>
      <c r="R94" t="s">
        <v>282</v>
      </c>
      <c r="S94" t="s">
        <v>282</v>
      </c>
      <c r="T94" t="s">
        <v>282</v>
      </c>
      <c r="U94" t="s">
        <v>282</v>
      </c>
      <c r="V94" t="s">
        <v>282</v>
      </c>
      <c r="W94" t="s">
        <v>282</v>
      </c>
      <c r="X94" t="s">
        <v>282</v>
      </c>
      <c r="Y94" t="s">
        <v>282</v>
      </c>
      <c r="Z94" t="s">
        <v>282</v>
      </c>
      <c r="AA94" t="s">
        <v>282</v>
      </c>
      <c r="AB94" t="s">
        <v>282</v>
      </c>
      <c r="AC94" t="s">
        <v>282</v>
      </c>
      <c r="AD94" t="s">
        <v>282</v>
      </c>
      <c r="AE94" t="s">
        <v>282</v>
      </c>
      <c r="AF94" t="s">
        <v>282</v>
      </c>
      <c r="AG94" t="s">
        <v>282</v>
      </c>
      <c r="AH94" t="s">
        <v>282</v>
      </c>
      <c r="AI94" t="s">
        <v>282</v>
      </c>
      <c r="AJ94" t="s">
        <v>282</v>
      </c>
      <c r="AK94" t="s">
        <v>282</v>
      </c>
      <c r="AL94" t="s">
        <v>282</v>
      </c>
      <c r="AM94" t="s">
        <v>282</v>
      </c>
      <c r="AN94" t="s">
        <v>282</v>
      </c>
      <c r="AO94" t="s">
        <v>282</v>
      </c>
      <c r="AP94" t="s">
        <v>282</v>
      </c>
      <c r="AQ94" t="s">
        <v>282</v>
      </c>
      <c r="AR94" t="s">
        <v>282</v>
      </c>
      <c r="AS94" t="s">
        <v>282</v>
      </c>
      <c r="AT94" t="s">
        <v>282</v>
      </c>
      <c r="AU94" t="s">
        <v>282</v>
      </c>
      <c r="AV94" t="s">
        <v>282</v>
      </c>
      <c r="AW94" t="s">
        <v>282</v>
      </c>
      <c r="AX94" t="s">
        <v>282</v>
      </c>
    </row>
    <row r="96" spans="1:50" x14ac:dyDescent="0.3">
      <c r="A96" t="s">
        <v>307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44</v>
      </c>
      <c r="AI96">
        <v>88</v>
      </c>
      <c r="AJ96">
        <v>88</v>
      </c>
      <c r="AK96">
        <v>88</v>
      </c>
      <c r="AL96">
        <v>88</v>
      </c>
      <c r="AM96">
        <v>88</v>
      </c>
      <c r="AN96">
        <v>88</v>
      </c>
      <c r="AO96">
        <v>88</v>
      </c>
      <c r="AP96">
        <v>88</v>
      </c>
      <c r="AQ96">
        <v>88</v>
      </c>
      <c r="AR96">
        <v>88</v>
      </c>
      <c r="AS96">
        <v>30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3">
      <c r="A97" t="s">
        <v>308</v>
      </c>
      <c r="B97">
        <v>144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3">
      <c r="A98" t="s">
        <v>309</v>
      </c>
      <c r="B98">
        <v>137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3">
      <c r="A99" t="s">
        <v>310</v>
      </c>
      <c r="B99">
        <v>137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1" spans="1:50" x14ac:dyDescent="0.3">
      <c r="A101" t="s">
        <v>311</v>
      </c>
      <c r="B101">
        <v>123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103.83</v>
      </c>
      <c r="T101">
        <v>100</v>
      </c>
      <c r="U101">
        <v>100</v>
      </c>
      <c r="V101">
        <v>0</v>
      </c>
      <c r="W101">
        <v>119.14</v>
      </c>
      <c r="X101">
        <v>69.97</v>
      </c>
      <c r="Y101">
        <v>2.2999999999999998</v>
      </c>
      <c r="Z101">
        <v>0</v>
      </c>
      <c r="AA101">
        <v>0</v>
      </c>
      <c r="AB101">
        <v>0</v>
      </c>
      <c r="AC101">
        <v>100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109.8</v>
      </c>
      <c r="AJ101">
        <v>114.18</v>
      </c>
      <c r="AK101">
        <v>100</v>
      </c>
      <c r="AL101">
        <v>100</v>
      </c>
      <c r="AM101">
        <v>100</v>
      </c>
      <c r="AN101">
        <v>100</v>
      </c>
      <c r="AO101">
        <v>100</v>
      </c>
      <c r="AP101">
        <v>100</v>
      </c>
      <c r="AQ101">
        <v>100</v>
      </c>
      <c r="AR101">
        <v>100</v>
      </c>
      <c r="AS101">
        <v>100</v>
      </c>
      <c r="AT101">
        <v>100</v>
      </c>
      <c r="AU101">
        <v>100</v>
      </c>
      <c r="AV101">
        <v>100</v>
      </c>
      <c r="AW101">
        <v>69.959999999999994</v>
      </c>
      <c r="AX101">
        <v>0</v>
      </c>
    </row>
    <row r="102" spans="1:50" x14ac:dyDescent="0.3">
      <c r="A102" t="s">
        <v>312</v>
      </c>
      <c r="B102">
        <v>123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103.83</v>
      </c>
      <c r="T102">
        <v>100</v>
      </c>
      <c r="U102">
        <v>100</v>
      </c>
      <c r="V102">
        <v>0</v>
      </c>
      <c r="W102">
        <v>119.14</v>
      </c>
      <c r="X102">
        <v>69.97</v>
      </c>
      <c r="Y102">
        <v>0</v>
      </c>
      <c r="Z102">
        <v>0</v>
      </c>
      <c r="AA102">
        <v>0</v>
      </c>
      <c r="AB102">
        <v>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109.8</v>
      </c>
      <c r="AJ102">
        <v>114.18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69.959999999999994</v>
      </c>
      <c r="AX102">
        <v>0</v>
      </c>
    </row>
    <row r="103" spans="1:50" x14ac:dyDescent="0.3">
      <c r="A103" t="s">
        <v>313</v>
      </c>
      <c r="B103">
        <v>123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100</v>
      </c>
      <c r="U103">
        <v>100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109.8</v>
      </c>
      <c r="AJ103">
        <v>114.18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0</v>
      </c>
      <c r="AX103">
        <v>0</v>
      </c>
    </row>
    <row r="104" spans="1:50" x14ac:dyDescent="0.3">
      <c r="A104" t="s">
        <v>314</v>
      </c>
      <c r="B104">
        <v>123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100</v>
      </c>
      <c r="AD104">
        <v>100</v>
      </c>
      <c r="AE104">
        <v>100</v>
      </c>
      <c r="AF104">
        <v>100</v>
      </c>
      <c r="AG104">
        <v>100</v>
      </c>
      <c r="AH104">
        <v>100</v>
      </c>
      <c r="AI104">
        <v>0</v>
      </c>
      <c r="AJ104">
        <v>0</v>
      </c>
      <c r="AK104">
        <v>100</v>
      </c>
      <c r="AL104">
        <v>100</v>
      </c>
      <c r="AM104">
        <v>100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100</v>
      </c>
      <c r="AU104">
        <v>100</v>
      </c>
      <c r="AV104">
        <v>0</v>
      </c>
      <c r="AW104">
        <v>0</v>
      </c>
      <c r="AX104">
        <v>0</v>
      </c>
    </row>
    <row r="105" spans="1:50" x14ac:dyDescent="0.3">
      <c r="A105" t="s">
        <v>315</v>
      </c>
      <c r="B105">
        <v>123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0</v>
      </c>
      <c r="AW105">
        <v>0</v>
      </c>
      <c r="AX105">
        <v>0</v>
      </c>
    </row>
    <row r="106" spans="1:50" x14ac:dyDescent="0.3">
      <c r="A106" t="s">
        <v>316</v>
      </c>
      <c r="B106">
        <v>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3">
      <c r="A107" t="s">
        <v>317</v>
      </c>
      <c r="B107">
        <v>123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3">
      <c r="A108" t="s">
        <v>318</v>
      </c>
      <c r="B108">
        <v>123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10" spans="1:50" x14ac:dyDescent="0.3">
      <c r="A110" t="s">
        <v>319</v>
      </c>
      <c r="B110">
        <v>239.55</v>
      </c>
      <c r="C110">
        <v>57.14</v>
      </c>
      <c r="D110">
        <v>57.14</v>
      </c>
      <c r="E110">
        <v>57.14</v>
      </c>
      <c r="F110">
        <v>57.14</v>
      </c>
      <c r="G110">
        <v>57.14</v>
      </c>
      <c r="H110">
        <v>57.14</v>
      </c>
      <c r="I110">
        <v>57.14</v>
      </c>
      <c r="J110">
        <v>57.14</v>
      </c>
      <c r="K110">
        <v>57.14</v>
      </c>
      <c r="L110">
        <v>57.14</v>
      </c>
      <c r="M110">
        <v>57.14</v>
      </c>
      <c r="N110">
        <v>57.14</v>
      </c>
      <c r="O110">
        <v>57.14</v>
      </c>
      <c r="P110">
        <v>57.14</v>
      </c>
      <c r="Q110">
        <v>57.14</v>
      </c>
      <c r="R110">
        <v>57.14</v>
      </c>
      <c r="S110">
        <v>57.14</v>
      </c>
      <c r="T110">
        <v>57.14</v>
      </c>
      <c r="U110">
        <v>57.14</v>
      </c>
      <c r="V110">
        <v>114.29</v>
      </c>
      <c r="W110">
        <v>114.29</v>
      </c>
      <c r="X110">
        <v>114.29</v>
      </c>
      <c r="Y110">
        <v>114.29</v>
      </c>
      <c r="Z110">
        <v>114.29</v>
      </c>
      <c r="AA110">
        <v>114.29</v>
      </c>
      <c r="AB110">
        <v>114.29</v>
      </c>
      <c r="AC110">
        <v>136.68</v>
      </c>
      <c r="AD110">
        <v>136.77000000000001</v>
      </c>
      <c r="AE110">
        <v>136.77000000000001</v>
      </c>
      <c r="AF110">
        <v>136.77000000000001</v>
      </c>
      <c r="AG110">
        <v>136.77000000000001</v>
      </c>
      <c r="AH110">
        <v>136.63999999999999</v>
      </c>
      <c r="AI110">
        <v>171.43</v>
      </c>
      <c r="AJ110">
        <v>171.43</v>
      </c>
      <c r="AK110">
        <v>174.96</v>
      </c>
      <c r="AL110">
        <v>194.29</v>
      </c>
      <c r="AM110">
        <v>193.91</v>
      </c>
      <c r="AN110">
        <v>193.91</v>
      </c>
      <c r="AO110">
        <v>193.91</v>
      </c>
      <c r="AP110">
        <v>193.91</v>
      </c>
      <c r="AQ110">
        <v>193.91</v>
      </c>
      <c r="AR110">
        <v>174.96</v>
      </c>
      <c r="AS110">
        <v>193.91</v>
      </c>
      <c r="AT110">
        <v>136.77000000000001</v>
      </c>
      <c r="AU110">
        <v>79.62</v>
      </c>
      <c r="AV110">
        <v>60.67</v>
      </c>
      <c r="AW110">
        <v>57.14</v>
      </c>
      <c r="AX110">
        <v>77.63</v>
      </c>
    </row>
    <row r="111" spans="1:50" x14ac:dyDescent="0.3">
      <c r="A111" t="s">
        <v>320</v>
      </c>
      <c r="B111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100</v>
      </c>
      <c r="AJ111">
        <v>100</v>
      </c>
      <c r="AK111">
        <v>100</v>
      </c>
      <c r="AL111">
        <v>100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0</v>
      </c>
      <c r="AV111">
        <v>0</v>
      </c>
      <c r="AW111">
        <v>0</v>
      </c>
      <c r="AX111">
        <v>0</v>
      </c>
    </row>
    <row r="112" spans="1:50" x14ac:dyDescent="0.3">
      <c r="A112" t="s">
        <v>321</v>
      </c>
      <c r="B112">
        <v>140</v>
      </c>
      <c r="C112">
        <v>100</v>
      </c>
      <c r="D112">
        <v>100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139.19</v>
      </c>
      <c r="AD112">
        <v>139.34</v>
      </c>
      <c r="AE112">
        <v>139.34</v>
      </c>
      <c r="AF112">
        <v>139.34</v>
      </c>
      <c r="AG112">
        <v>139.34</v>
      </c>
      <c r="AH112">
        <v>139.12</v>
      </c>
      <c r="AI112">
        <v>100</v>
      </c>
      <c r="AJ112">
        <v>100</v>
      </c>
      <c r="AK112">
        <v>106.18</v>
      </c>
      <c r="AL112">
        <v>140</v>
      </c>
      <c r="AM112">
        <v>139.34</v>
      </c>
      <c r="AN112">
        <v>139.34</v>
      </c>
      <c r="AO112">
        <v>139.34</v>
      </c>
      <c r="AP112">
        <v>139.34</v>
      </c>
      <c r="AQ112">
        <v>139.34</v>
      </c>
      <c r="AR112">
        <v>106.18</v>
      </c>
      <c r="AS112">
        <v>139.34</v>
      </c>
      <c r="AT112">
        <v>139.34</v>
      </c>
      <c r="AU112">
        <v>139.34</v>
      </c>
      <c r="AV112">
        <v>106.18</v>
      </c>
      <c r="AW112">
        <v>100</v>
      </c>
      <c r="AX112">
        <v>135.84</v>
      </c>
    </row>
    <row r="113" spans="1:50" x14ac:dyDescent="0.3">
      <c r="A113" t="s">
        <v>322</v>
      </c>
      <c r="B113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100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100</v>
      </c>
      <c r="AF113">
        <v>100</v>
      </c>
      <c r="AG113">
        <v>100</v>
      </c>
      <c r="AH113">
        <v>100</v>
      </c>
      <c r="AI113">
        <v>100</v>
      </c>
      <c r="AJ113">
        <v>100</v>
      </c>
      <c r="AK113">
        <v>100</v>
      </c>
      <c r="AL113">
        <v>100</v>
      </c>
      <c r="AM113">
        <v>100</v>
      </c>
      <c r="AN113">
        <v>100</v>
      </c>
      <c r="AO113">
        <v>100</v>
      </c>
      <c r="AP113">
        <v>100</v>
      </c>
      <c r="AQ113">
        <v>100</v>
      </c>
      <c r="AR113">
        <v>100</v>
      </c>
      <c r="AS113">
        <v>100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3">
      <c r="A114" t="s">
        <v>323</v>
      </c>
      <c r="B114">
        <v>232.79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3">
      <c r="A115" t="s">
        <v>324</v>
      </c>
      <c r="B115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3">
      <c r="A116" t="s">
        <v>325</v>
      </c>
      <c r="B116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3">
      <c r="A117" t="s">
        <v>326</v>
      </c>
      <c r="B117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9" spans="1:50" x14ac:dyDescent="0.3">
      <c r="A119" t="s">
        <v>327</v>
      </c>
      <c r="B119">
        <v>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3">
      <c r="A120" t="s">
        <v>328</v>
      </c>
      <c r="B120">
        <v>143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2" spans="1:50" x14ac:dyDescent="0.3">
      <c r="A122" t="s">
        <v>89</v>
      </c>
      <c r="B122">
        <v>290</v>
      </c>
      <c r="C122">
        <v>200</v>
      </c>
      <c r="D122">
        <v>200</v>
      </c>
      <c r="E122">
        <v>200</v>
      </c>
      <c r="F122">
        <v>200</v>
      </c>
      <c r="G122">
        <v>200</v>
      </c>
      <c r="H122">
        <v>200</v>
      </c>
      <c r="I122">
        <v>200</v>
      </c>
      <c r="J122">
        <v>200</v>
      </c>
      <c r="K122">
        <v>200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249.25</v>
      </c>
      <c r="R122">
        <v>290</v>
      </c>
      <c r="S122">
        <v>290</v>
      </c>
      <c r="T122">
        <v>290</v>
      </c>
      <c r="U122">
        <v>290</v>
      </c>
      <c r="V122">
        <v>290</v>
      </c>
      <c r="W122">
        <v>290</v>
      </c>
      <c r="X122">
        <v>290</v>
      </c>
      <c r="Y122">
        <v>290</v>
      </c>
      <c r="Z122">
        <v>290</v>
      </c>
      <c r="AA122">
        <v>290</v>
      </c>
      <c r="AB122">
        <v>290</v>
      </c>
      <c r="AC122">
        <v>290</v>
      </c>
      <c r="AD122">
        <v>290</v>
      </c>
      <c r="AE122">
        <v>290</v>
      </c>
      <c r="AF122">
        <v>290</v>
      </c>
      <c r="AG122">
        <v>290</v>
      </c>
      <c r="AH122">
        <v>290</v>
      </c>
      <c r="AI122">
        <v>290</v>
      </c>
      <c r="AJ122">
        <v>290</v>
      </c>
      <c r="AK122">
        <v>290</v>
      </c>
      <c r="AL122">
        <v>290</v>
      </c>
      <c r="AM122">
        <v>290</v>
      </c>
      <c r="AN122">
        <v>290</v>
      </c>
      <c r="AO122">
        <v>290</v>
      </c>
      <c r="AP122">
        <v>290</v>
      </c>
      <c r="AQ122">
        <v>290</v>
      </c>
      <c r="AR122">
        <v>290</v>
      </c>
      <c r="AS122">
        <v>290</v>
      </c>
      <c r="AT122">
        <v>290</v>
      </c>
      <c r="AU122">
        <v>290</v>
      </c>
      <c r="AV122">
        <v>290</v>
      </c>
      <c r="AW122">
        <v>290</v>
      </c>
      <c r="AX122">
        <v>290</v>
      </c>
    </row>
    <row r="123" spans="1:50" x14ac:dyDescent="0.3">
      <c r="A123" t="s">
        <v>90</v>
      </c>
      <c r="B123">
        <v>290</v>
      </c>
      <c r="C123">
        <v>200</v>
      </c>
      <c r="D123">
        <v>200</v>
      </c>
      <c r="E123">
        <v>200</v>
      </c>
      <c r="F123">
        <v>200</v>
      </c>
      <c r="G123">
        <v>200</v>
      </c>
      <c r="H123">
        <v>200</v>
      </c>
      <c r="I123">
        <v>200</v>
      </c>
      <c r="J123">
        <v>200</v>
      </c>
      <c r="K123">
        <v>200</v>
      </c>
      <c r="L123">
        <v>200</v>
      </c>
      <c r="M123">
        <v>200</v>
      </c>
      <c r="N123">
        <v>200</v>
      </c>
      <c r="O123">
        <v>200</v>
      </c>
      <c r="P123">
        <v>200</v>
      </c>
      <c r="Q123">
        <v>249.25</v>
      </c>
      <c r="R123">
        <v>290</v>
      </c>
      <c r="S123">
        <v>290</v>
      </c>
      <c r="T123">
        <v>290</v>
      </c>
      <c r="U123">
        <v>290</v>
      </c>
      <c r="V123">
        <v>290</v>
      </c>
      <c r="W123">
        <v>290</v>
      </c>
      <c r="X123">
        <v>290</v>
      </c>
      <c r="Y123">
        <v>290</v>
      </c>
      <c r="Z123">
        <v>290</v>
      </c>
      <c r="AA123">
        <v>290</v>
      </c>
      <c r="AB123">
        <v>290</v>
      </c>
      <c r="AC123">
        <v>290</v>
      </c>
      <c r="AD123">
        <v>290</v>
      </c>
      <c r="AE123">
        <v>290</v>
      </c>
      <c r="AF123">
        <v>290</v>
      </c>
      <c r="AG123">
        <v>290</v>
      </c>
      <c r="AH123">
        <v>290</v>
      </c>
      <c r="AI123">
        <v>290</v>
      </c>
      <c r="AJ123">
        <v>290</v>
      </c>
      <c r="AK123">
        <v>290</v>
      </c>
      <c r="AL123">
        <v>290</v>
      </c>
      <c r="AM123">
        <v>290</v>
      </c>
      <c r="AN123">
        <v>290</v>
      </c>
      <c r="AO123">
        <v>290</v>
      </c>
      <c r="AP123">
        <v>290</v>
      </c>
      <c r="AQ123">
        <v>290</v>
      </c>
      <c r="AR123">
        <v>290</v>
      </c>
      <c r="AS123">
        <v>290</v>
      </c>
      <c r="AT123">
        <v>290</v>
      </c>
      <c r="AU123">
        <v>290</v>
      </c>
      <c r="AV123">
        <v>290</v>
      </c>
      <c r="AW123">
        <v>290</v>
      </c>
      <c r="AX123">
        <v>290</v>
      </c>
    </row>
    <row r="124" spans="1:50" x14ac:dyDescent="0.3">
      <c r="A124" t="s">
        <v>91</v>
      </c>
      <c r="B124">
        <v>290</v>
      </c>
      <c r="C124">
        <v>200</v>
      </c>
      <c r="D124">
        <v>200</v>
      </c>
      <c r="E124">
        <v>200</v>
      </c>
      <c r="F124">
        <v>200</v>
      </c>
      <c r="G124">
        <v>200</v>
      </c>
      <c r="H124">
        <v>200</v>
      </c>
      <c r="I124">
        <v>200</v>
      </c>
      <c r="J124">
        <v>200</v>
      </c>
      <c r="K124">
        <v>200</v>
      </c>
      <c r="L124">
        <v>200</v>
      </c>
      <c r="M124">
        <v>200</v>
      </c>
      <c r="N124">
        <v>200</v>
      </c>
      <c r="O124">
        <v>200</v>
      </c>
      <c r="P124">
        <v>200</v>
      </c>
      <c r="Q124">
        <v>249.25</v>
      </c>
      <c r="R124">
        <v>290</v>
      </c>
      <c r="S124">
        <v>290</v>
      </c>
      <c r="T124">
        <v>290</v>
      </c>
      <c r="U124">
        <v>290</v>
      </c>
      <c r="V124">
        <v>290</v>
      </c>
      <c r="W124">
        <v>290</v>
      </c>
      <c r="X124">
        <v>290</v>
      </c>
      <c r="Y124">
        <v>290</v>
      </c>
      <c r="Z124">
        <v>290</v>
      </c>
      <c r="AA124">
        <v>290</v>
      </c>
      <c r="AB124">
        <v>290</v>
      </c>
      <c r="AC124">
        <v>290</v>
      </c>
      <c r="AD124">
        <v>290</v>
      </c>
      <c r="AE124">
        <v>290</v>
      </c>
      <c r="AF124">
        <v>290</v>
      </c>
      <c r="AG124">
        <v>290</v>
      </c>
      <c r="AH124">
        <v>290</v>
      </c>
      <c r="AI124">
        <v>290</v>
      </c>
      <c r="AJ124">
        <v>290</v>
      </c>
      <c r="AK124">
        <v>290</v>
      </c>
      <c r="AL124">
        <v>290</v>
      </c>
      <c r="AM124">
        <v>290</v>
      </c>
      <c r="AN124">
        <v>290</v>
      </c>
      <c r="AO124">
        <v>290</v>
      </c>
      <c r="AP124">
        <v>290</v>
      </c>
      <c r="AQ124">
        <v>290</v>
      </c>
      <c r="AR124">
        <v>290</v>
      </c>
      <c r="AS124">
        <v>290</v>
      </c>
      <c r="AT124">
        <v>290</v>
      </c>
      <c r="AU124">
        <v>290</v>
      </c>
      <c r="AV124">
        <v>290</v>
      </c>
      <c r="AW124">
        <v>290</v>
      </c>
      <c r="AX124">
        <v>290</v>
      </c>
    </row>
    <row r="125" spans="1:50" x14ac:dyDescent="0.3">
      <c r="C125" t="s">
        <v>289</v>
      </c>
      <c r="D125" t="s">
        <v>289</v>
      </c>
      <c r="E125" t="s">
        <v>289</v>
      </c>
      <c r="F125" t="s">
        <v>289</v>
      </c>
      <c r="G125" t="s">
        <v>289</v>
      </c>
      <c r="H125" t="s">
        <v>289</v>
      </c>
      <c r="I125" t="s">
        <v>289</v>
      </c>
      <c r="J125" t="s">
        <v>289</v>
      </c>
      <c r="K125" t="s">
        <v>289</v>
      </c>
      <c r="L125" t="s">
        <v>289</v>
      </c>
      <c r="M125" t="s">
        <v>289</v>
      </c>
      <c r="N125" t="s">
        <v>289</v>
      </c>
      <c r="O125" t="s">
        <v>289</v>
      </c>
      <c r="P125" t="s">
        <v>289</v>
      </c>
      <c r="Q125" t="s">
        <v>289</v>
      </c>
      <c r="R125" t="s">
        <v>289</v>
      </c>
      <c r="S125" t="s">
        <v>289</v>
      </c>
      <c r="T125" t="s">
        <v>289</v>
      </c>
      <c r="U125" t="s">
        <v>289</v>
      </c>
      <c r="V125" t="s">
        <v>289</v>
      </c>
      <c r="W125" t="s">
        <v>289</v>
      </c>
      <c r="X125" t="s">
        <v>289</v>
      </c>
      <c r="Y125" t="s">
        <v>289</v>
      </c>
      <c r="Z125" t="s">
        <v>289</v>
      </c>
      <c r="AA125" t="s">
        <v>289</v>
      </c>
      <c r="AB125" t="s">
        <v>289</v>
      </c>
      <c r="AC125" t="s">
        <v>289</v>
      </c>
      <c r="AD125" t="s">
        <v>289</v>
      </c>
      <c r="AE125" t="s">
        <v>289</v>
      </c>
      <c r="AF125" t="s">
        <v>289</v>
      </c>
      <c r="AG125" t="s">
        <v>289</v>
      </c>
      <c r="AH125" t="s">
        <v>289</v>
      </c>
      <c r="AI125" t="s">
        <v>289</v>
      </c>
      <c r="AJ125" t="s">
        <v>289</v>
      </c>
      <c r="AK125" t="s">
        <v>289</v>
      </c>
      <c r="AL125" t="s">
        <v>289</v>
      </c>
      <c r="AM125" t="s">
        <v>289</v>
      </c>
      <c r="AN125" t="s">
        <v>289</v>
      </c>
      <c r="AO125" t="s">
        <v>289</v>
      </c>
      <c r="AP125" t="s">
        <v>289</v>
      </c>
      <c r="AQ125" t="s">
        <v>289</v>
      </c>
      <c r="AR125" t="s">
        <v>289</v>
      </c>
      <c r="AS125" t="s">
        <v>289</v>
      </c>
      <c r="AT125" t="s">
        <v>289</v>
      </c>
      <c r="AU125" t="s">
        <v>289</v>
      </c>
      <c r="AV125" t="s">
        <v>289</v>
      </c>
      <c r="AW125" t="s">
        <v>289</v>
      </c>
      <c r="AX125" t="s">
        <v>289</v>
      </c>
    </row>
    <row r="127" spans="1:50" x14ac:dyDescent="0.3">
      <c r="A127" t="s">
        <v>329</v>
      </c>
      <c r="C127">
        <v>123</v>
      </c>
      <c r="D127">
        <v>123</v>
      </c>
      <c r="E127">
        <v>123</v>
      </c>
      <c r="F127">
        <v>123</v>
      </c>
      <c r="G127">
        <v>123</v>
      </c>
      <c r="H127">
        <v>123</v>
      </c>
      <c r="I127">
        <v>123</v>
      </c>
      <c r="J127">
        <v>123</v>
      </c>
      <c r="K127">
        <v>123</v>
      </c>
      <c r="L127">
        <v>123</v>
      </c>
      <c r="M127">
        <v>123</v>
      </c>
      <c r="N127">
        <v>123</v>
      </c>
      <c r="O127">
        <v>100</v>
      </c>
      <c r="P127">
        <v>108</v>
      </c>
      <c r="Q127">
        <v>108</v>
      </c>
      <c r="R127">
        <v>108</v>
      </c>
      <c r="S127">
        <v>108</v>
      </c>
      <c r="T127">
        <v>118</v>
      </c>
      <c r="U127">
        <v>134</v>
      </c>
      <c r="V127">
        <v>132</v>
      </c>
      <c r="W127">
        <v>132</v>
      </c>
      <c r="X127">
        <v>132</v>
      </c>
      <c r="Y127">
        <v>132</v>
      </c>
      <c r="Z127">
        <v>132</v>
      </c>
      <c r="AA127">
        <v>127</v>
      </c>
      <c r="AB127">
        <v>127</v>
      </c>
      <c r="AC127">
        <v>127</v>
      </c>
      <c r="AD127">
        <v>127</v>
      </c>
      <c r="AE127">
        <v>127</v>
      </c>
      <c r="AF127">
        <v>127</v>
      </c>
      <c r="AG127">
        <v>127</v>
      </c>
      <c r="AH127">
        <v>127</v>
      </c>
      <c r="AI127">
        <v>127</v>
      </c>
      <c r="AJ127">
        <v>127</v>
      </c>
      <c r="AK127">
        <v>127</v>
      </c>
      <c r="AL127">
        <v>127</v>
      </c>
      <c r="AM127">
        <v>127</v>
      </c>
      <c r="AN127">
        <v>127</v>
      </c>
      <c r="AO127">
        <v>124</v>
      </c>
      <c r="AP127">
        <v>124</v>
      </c>
      <c r="AQ127">
        <v>124</v>
      </c>
      <c r="AR127">
        <v>124</v>
      </c>
      <c r="AS127">
        <v>124</v>
      </c>
      <c r="AT127">
        <v>124</v>
      </c>
      <c r="AU127">
        <v>124</v>
      </c>
      <c r="AV127">
        <v>124</v>
      </c>
      <c r="AW127">
        <v>124</v>
      </c>
      <c r="AX127">
        <v>124</v>
      </c>
    </row>
    <row r="129" spans="1:50" x14ac:dyDescent="0.3">
      <c r="A129" t="s">
        <v>330</v>
      </c>
      <c r="B129">
        <v>91.728700000000003</v>
      </c>
      <c r="C129">
        <v>87.14</v>
      </c>
      <c r="D129">
        <v>87.14</v>
      </c>
      <c r="E129">
        <v>87.14</v>
      </c>
      <c r="F129">
        <v>87.14</v>
      </c>
      <c r="G129">
        <v>87.14</v>
      </c>
      <c r="H129">
        <v>87.14</v>
      </c>
      <c r="I129">
        <v>87.14</v>
      </c>
      <c r="J129">
        <v>87.14</v>
      </c>
      <c r="K129">
        <v>87.14</v>
      </c>
      <c r="L129">
        <v>87.14</v>
      </c>
      <c r="M129">
        <v>87.14</v>
      </c>
      <c r="N129">
        <v>87.14</v>
      </c>
      <c r="O129">
        <v>87.14</v>
      </c>
      <c r="P129">
        <v>87.14</v>
      </c>
      <c r="Q129">
        <v>87.14</v>
      </c>
      <c r="R129">
        <v>87.14</v>
      </c>
      <c r="S129">
        <v>91.73</v>
      </c>
      <c r="T129">
        <v>91.73</v>
      </c>
      <c r="U129">
        <v>91.61</v>
      </c>
      <c r="V129">
        <v>91.59</v>
      </c>
      <c r="W129">
        <v>91.48</v>
      </c>
      <c r="X129">
        <v>91.41</v>
      </c>
      <c r="Y129">
        <v>91.46</v>
      </c>
      <c r="Z129">
        <v>91.69</v>
      </c>
      <c r="AA129">
        <v>91.73</v>
      </c>
      <c r="AB129">
        <v>91.46</v>
      </c>
      <c r="AC129">
        <v>91.19</v>
      </c>
      <c r="AD129">
        <v>91.17</v>
      </c>
      <c r="AE129">
        <v>91.01</v>
      </c>
      <c r="AF129">
        <v>91.04</v>
      </c>
      <c r="AG129">
        <v>90.96</v>
      </c>
      <c r="AH129">
        <v>90.85</v>
      </c>
      <c r="AI129">
        <v>91.32</v>
      </c>
      <c r="AJ129">
        <v>91.34</v>
      </c>
      <c r="AK129">
        <v>91.3</v>
      </c>
      <c r="AL129">
        <v>91.73</v>
      </c>
      <c r="AM129">
        <v>91.18</v>
      </c>
      <c r="AN129">
        <v>91.3</v>
      </c>
      <c r="AO129">
        <v>91.36</v>
      </c>
      <c r="AP129">
        <v>91.42</v>
      </c>
      <c r="AQ129">
        <v>91.53</v>
      </c>
      <c r="AR129">
        <v>91.73</v>
      </c>
      <c r="AS129">
        <v>87.14</v>
      </c>
      <c r="AT129">
        <v>87.14</v>
      </c>
      <c r="AU129">
        <v>87.14</v>
      </c>
      <c r="AV129">
        <v>87.14</v>
      </c>
      <c r="AW129">
        <v>87.14</v>
      </c>
      <c r="AX129">
        <v>87.14</v>
      </c>
    </row>
    <row r="130" spans="1:50" x14ac:dyDescent="0.3">
      <c r="A130" t="s">
        <v>331</v>
      </c>
      <c r="B130">
        <v>126.78023</v>
      </c>
      <c r="C130">
        <v>120.44</v>
      </c>
      <c r="D130">
        <v>120.44</v>
      </c>
      <c r="E130">
        <v>120.44</v>
      </c>
      <c r="F130">
        <v>120.44</v>
      </c>
      <c r="G130">
        <v>120.44</v>
      </c>
      <c r="H130">
        <v>120.44</v>
      </c>
      <c r="I130">
        <v>120.44</v>
      </c>
      <c r="J130">
        <v>120.44</v>
      </c>
      <c r="K130">
        <v>120.44</v>
      </c>
      <c r="L130">
        <v>120.44</v>
      </c>
      <c r="M130">
        <v>120.44</v>
      </c>
      <c r="N130">
        <v>120.44</v>
      </c>
      <c r="O130">
        <v>120.44</v>
      </c>
      <c r="P130">
        <v>120.44</v>
      </c>
      <c r="Q130">
        <v>120.44</v>
      </c>
      <c r="R130">
        <v>120.44</v>
      </c>
      <c r="S130">
        <v>120.44</v>
      </c>
      <c r="T130">
        <v>120.44</v>
      </c>
      <c r="U130">
        <v>120.44</v>
      </c>
      <c r="V130">
        <v>120.44</v>
      </c>
      <c r="W130">
        <v>120.44</v>
      </c>
      <c r="X130">
        <v>120.44</v>
      </c>
      <c r="Y130">
        <v>120.44</v>
      </c>
      <c r="Z130">
        <v>120.44</v>
      </c>
      <c r="AA130">
        <v>120.44</v>
      </c>
      <c r="AB130">
        <v>120.44</v>
      </c>
      <c r="AC130">
        <v>120.44</v>
      </c>
      <c r="AD130">
        <v>120.44</v>
      </c>
      <c r="AE130">
        <v>120.44</v>
      </c>
      <c r="AF130">
        <v>120.44</v>
      </c>
      <c r="AG130">
        <v>120.44</v>
      </c>
      <c r="AH130">
        <v>120.44</v>
      </c>
      <c r="AI130">
        <v>120.44</v>
      </c>
      <c r="AJ130">
        <v>120.44</v>
      </c>
      <c r="AK130">
        <v>120.44</v>
      </c>
      <c r="AL130">
        <v>126.78</v>
      </c>
      <c r="AM130">
        <v>120.44</v>
      </c>
      <c r="AN130">
        <v>120.44</v>
      </c>
      <c r="AO130">
        <v>120.44</v>
      </c>
      <c r="AP130">
        <v>120.44</v>
      </c>
      <c r="AQ130">
        <v>120.44</v>
      </c>
      <c r="AR130">
        <v>120.44</v>
      </c>
      <c r="AS130">
        <v>120.44</v>
      </c>
      <c r="AT130">
        <v>120.44</v>
      </c>
      <c r="AU130">
        <v>120.44</v>
      </c>
      <c r="AV130">
        <v>120.44</v>
      </c>
      <c r="AW130">
        <v>120.44</v>
      </c>
      <c r="AX130">
        <v>120.44</v>
      </c>
    </row>
    <row r="132" spans="1:50" x14ac:dyDescent="0.3">
      <c r="A132" t="s">
        <v>332</v>
      </c>
      <c r="B132">
        <v>123.36635</v>
      </c>
      <c r="C132">
        <v>105</v>
      </c>
      <c r="D132">
        <v>105</v>
      </c>
      <c r="E132">
        <v>105</v>
      </c>
      <c r="F132">
        <v>105</v>
      </c>
      <c r="G132">
        <v>105</v>
      </c>
      <c r="H132">
        <v>105</v>
      </c>
      <c r="I132">
        <v>105</v>
      </c>
      <c r="J132">
        <v>105</v>
      </c>
      <c r="K132">
        <v>105</v>
      </c>
      <c r="L132">
        <v>105</v>
      </c>
      <c r="M132">
        <v>105</v>
      </c>
      <c r="N132">
        <v>105</v>
      </c>
      <c r="O132">
        <v>105</v>
      </c>
      <c r="P132">
        <v>105</v>
      </c>
      <c r="Q132">
        <v>105</v>
      </c>
      <c r="R132">
        <v>105</v>
      </c>
      <c r="S132">
        <v>105</v>
      </c>
      <c r="T132">
        <v>105</v>
      </c>
      <c r="U132">
        <v>105</v>
      </c>
      <c r="V132">
        <v>105</v>
      </c>
      <c r="W132">
        <v>105</v>
      </c>
      <c r="X132">
        <v>105</v>
      </c>
      <c r="Y132">
        <v>105</v>
      </c>
      <c r="Z132">
        <v>105</v>
      </c>
      <c r="AA132">
        <v>105</v>
      </c>
      <c r="AB132">
        <v>105</v>
      </c>
      <c r="AC132">
        <v>105</v>
      </c>
      <c r="AD132">
        <v>105</v>
      </c>
      <c r="AE132">
        <v>105</v>
      </c>
      <c r="AF132">
        <v>105</v>
      </c>
      <c r="AG132">
        <v>105</v>
      </c>
      <c r="AH132">
        <v>105</v>
      </c>
      <c r="AI132">
        <v>105</v>
      </c>
      <c r="AJ132">
        <v>105</v>
      </c>
      <c r="AK132">
        <v>105</v>
      </c>
      <c r="AL132">
        <v>105</v>
      </c>
      <c r="AM132">
        <v>105</v>
      </c>
      <c r="AN132">
        <v>105</v>
      </c>
      <c r="AO132">
        <v>105</v>
      </c>
      <c r="AP132">
        <v>105</v>
      </c>
      <c r="AQ132">
        <v>105</v>
      </c>
      <c r="AR132">
        <v>105</v>
      </c>
      <c r="AS132">
        <v>105</v>
      </c>
      <c r="AT132">
        <v>105</v>
      </c>
      <c r="AU132">
        <v>105</v>
      </c>
      <c r="AV132">
        <v>105</v>
      </c>
      <c r="AW132">
        <v>105</v>
      </c>
      <c r="AX132">
        <v>105</v>
      </c>
    </row>
    <row r="133" spans="1:50" x14ac:dyDescent="0.3">
      <c r="A133" t="s">
        <v>333</v>
      </c>
      <c r="B133">
        <v>122.32919</v>
      </c>
      <c r="C133">
        <v>115</v>
      </c>
      <c r="D133">
        <v>115</v>
      </c>
      <c r="E133">
        <v>115</v>
      </c>
      <c r="F133">
        <v>115</v>
      </c>
      <c r="G133">
        <v>115</v>
      </c>
      <c r="H133">
        <v>115</v>
      </c>
      <c r="I133">
        <v>115</v>
      </c>
      <c r="J133">
        <v>115</v>
      </c>
      <c r="K133">
        <v>115</v>
      </c>
      <c r="L133">
        <v>115</v>
      </c>
      <c r="M133">
        <v>115</v>
      </c>
      <c r="N133">
        <v>115</v>
      </c>
      <c r="O133">
        <v>115</v>
      </c>
      <c r="P133">
        <v>115</v>
      </c>
      <c r="Q133">
        <v>115</v>
      </c>
      <c r="R133">
        <v>115</v>
      </c>
      <c r="S133">
        <v>115</v>
      </c>
      <c r="T133">
        <v>115</v>
      </c>
      <c r="U133">
        <v>115</v>
      </c>
      <c r="V133">
        <v>115</v>
      </c>
      <c r="W133">
        <v>115</v>
      </c>
      <c r="X133">
        <v>115</v>
      </c>
      <c r="Y133">
        <v>115</v>
      </c>
      <c r="Z133">
        <v>115</v>
      </c>
      <c r="AA133">
        <v>115</v>
      </c>
      <c r="AB133">
        <v>115</v>
      </c>
      <c r="AC133">
        <v>115</v>
      </c>
      <c r="AD133">
        <v>115</v>
      </c>
      <c r="AE133">
        <v>115</v>
      </c>
      <c r="AF133">
        <v>115</v>
      </c>
      <c r="AG133">
        <v>115</v>
      </c>
      <c r="AH133">
        <v>115</v>
      </c>
      <c r="AI133">
        <v>115</v>
      </c>
      <c r="AJ133">
        <v>115</v>
      </c>
      <c r="AK133">
        <v>115</v>
      </c>
      <c r="AL133">
        <v>115</v>
      </c>
      <c r="AM133">
        <v>115</v>
      </c>
      <c r="AN133">
        <v>115</v>
      </c>
      <c r="AO133">
        <v>115</v>
      </c>
      <c r="AP133">
        <v>115</v>
      </c>
      <c r="AQ133">
        <v>115</v>
      </c>
      <c r="AR133">
        <v>115</v>
      </c>
      <c r="AS133">
        <v>115</v>
      </c>
      <c r="AT133">
        <v>115</v>
      </c>
      <c r="AU133">
        <v>115</v>
      </c>
      <c r="AV133">
        <v>115</v>
      </c>
      <c r="AW133">
        <v>115</v>
      </c>
      <c r="AX133">
        <v>115</v>
      </c>
    </row>
    <row r="135" spans="1:50" x14ac:dyDescent="0.3">
      <c r="A135" t="s">
        <v>334</v>
      </c>
      <c r="B135">
        <v>150</v>
      </c>
      <c r="C135">
        <v>90</v>
      </c>
      <c r="D135">
        <v>90</v>
      </c>
      <c r="E135">
        <v>90</v>
      </c>
      <c r="F135">
        <v>90</v>
      </c>
      <c r="G135">
        <v>90</v>
      </c>
      <c r="H135">
        <v>90</v>
      </c>
      <c r="I135">
        <v>90</v>
      </c>
      <c r="J135">
        <v>90</v>
      </c>
      <c r="K135">
        <v>90</v>
      </c>
      <c r="L135">
        <v>90</v>
      </c>
      <c r="M135">
        <v>90</v>
      </c>
      <c r="N135">
        <v>90</v>
      </c>
      <c r="O135">
        <v>90</v>
      </c>
      <c r="P135">
        <v>90</v>
      </c>
      <c r="Q135">
        <v>90</v>
      </c>
      <c r="R135">
        <v>90</v>
      </c>
      <c r="S135">
        <v>90</v>
      </c>
      <c r="T135">
        <v>90</v>
      </c>
      <c r="U135">
        <v>90</v>
      </c>
      <c r="V135">
        <v>90</v>
      </c>
      <c r="W135">
        <v>90</v>
      </c>
      <c r="X135">
        <v>90</v>
      </c>
      <c r="Y135">
        <v>90</v>
      </c>
      <c r="Z135">
        <v>90</v>
      </c>
      <c r="AA135">
        <v>90</v>
      </c>
      <c r="AB135">
        <v>90</v>
      </c>
      <c r="AC135">
        <v>139.22</v>
      </c>
      <c r="AD135">
        <v>150</v>
      </c>
      <c r="AE135">
        <v>150</v>
      </c>
      <c r="AF135">
        <v>150</v>
      </c>
      <c r="AG135">
        <v>150</v>
      </c>
      <c r="AH135">
        <v>140.78</v>
      </c>
      <c r="AI135">
        <v>90</v>
      </c>
      <c r="AJ135">
        <v>90</v>
      </c>
      <c r="AK135">
        <v>90</v>
      </c>
      <c r="AL135">
        <v>150</v>
      </c>
      <c r="AM135">
        <v>150</v>
      </c>
      <c r="AN135">
        <v>150</v>
      </c>
      <c r="AO135">
        <v>150</v>
      </c>
      <c r="AP135">
        <v>150</v>
      </c>
      <c r="AQ135">
        <v>150</v>
      </c>
      <c r="AR135">
        <v>90</v>
      </c>
      <c r="AS135">
        <v>150</v>
      </c>
      <c r="AT135">
        <v>150</v>
      </c>
      <c r="AU135">
        <v>150</v>
      </c>
      <c r="AV135">
        <v>90</v>
      </c>
      <c r="AW135">
        <v>90</v>
      </c>
      <c r="AX135">
        <v>90</v>
      </c>
    </row>
    <row r="137" spans="1:50" x14ac:dyDescent="0.3">
      <c r="A137" t="s">
        <v>335</v>
      </c>
      <c r="B137">
        <v>61.273200000000003</v>
      </c>
      <c r="C137">
        <v>55.15</v>
      </c>
      <c r="D137">
        <v>55.15</v>
      </c>
      <c r="E137">
        <v>55.15</v>
      </c>
      <c r="F137">
        <v>55.15</v>
      </c>
      <c r="G137">
        <v>55.15</v>
      </c>
      <c r="H137">
        <v>55.15</v>
      </c>
      <c r="I137">
        <v>55.15</v>
      </c>
      <c r="J137">
        <v>55.15</v>
      </c>
      <c r="K137">
        <v>55.15</v>
      </c>
      <c r="L137">
        <v>55.15</v>
      </c>
      <c r="M137">
        <v>55.15</v>
      </c>
      <c r="N137">
        <v>55.15</v>
      </c>
      <c r="O137">
        <v>55.15</v>
      </c>
      <c r="P137">
        <v>55.15</v>
      </c>
      <c r="Q137">
        <v>55.15</v>
      </c>
      <c r="R137">
        <v>55.15</v>
      </c>
      <c r="S137">
        <v>55.39</v>
      </c>
      <c r="T137">
        <v>55.2</v>
      </c>
      <c r="U137">
        <v>55.15</v>
      </c>
      <c r="V137">
        <v>55.15</v>
      </c>
      <c r="W137">
        <v>55.15</v>
      </c>
      <c r="X137">
        <v>55.15</v>
      </c>
      <c r="Y137">
        <v>55.15</v>
      </c>
      <c r="Z137">
        <v>55.15</v>
      </c>
      <c r="AA137">
        <v>55.19</v>
      </c>
      <c r="AB137">
        <v>55.15</v>
      </c>
      <c r="AC137">
        <v>55.15</v>
      </c>
      <c r="AD137">
        <v>55.15</v>
      </c>
      <c r="AE137">
        <v>55.15</v>
      </c>
      <c r="AF137">
        <v>55.15</v>
      </c>
      <c r="AG137">
        <v>55.15</v>
      </c>
      <c r="AH137">
        <v>55.15</v>
      </c>
      <c r="AI137">
        <v>55.15</v>
      </c>
      <c r="AJ137">
        <v>55.15</v>
      </c>
      <c r="AK137">
        <v>55.15</v>
      </c>
      <c r="AL137">
        <v>55.15</v>
      </c>
      <c r="AM137">
        <v>55.15</v>
      </c>
      <c r="AN137">
        <v>55.15</v>
      </c>
      <c r="AO137">
        <v>55.15</v>
      </c>
      <c r="AP137">
        <v>55.15</v>
      </c>
      <c r="AQ137">
        <v>55.15</v>
      </c>
      <c r="AR137">
        <v>55.23</v>
      </c>
      <c r="AS137">
        <v>55.15</v>
      </c>
      <c r="AT137">
        <v>55.15</v>
      </c>
      <c r="AU137">
        <v>55.15</v>
      </c>
      <c r="AV137">
        <v>55.15</v>
      </c>
      <c r="AW137">
        <v>55.15</v>
      </c>
      <c r="AX137">
        <v>55.15</v>
      </c>
    </row>
    <row r="138" spans="1:50" x14ac:dyDescent="0.3">
      <c r="A138" t="s">
        <v>336</v>
      </c>
      <c r="B138">
        <v>33</v>
      </c>
      <c r="C138">
        <v>29.7</v>
      </c>
      <c r="D138">
        <v>29.7</v>
      </c>
      <c r="E138">
        <v>29.7</v>
      </c>
      <c r="F138">
        <v>29.7</v>
      </c>
      <c r="G138">
        <v>29.7</v>
      </c>
      <c r="H138">
        <v>29.7</v>
      </c>
      <c r="I138">
        <v>29.7</v>
      </c>
      <c r="J138">
        <v>29.7</v>
      </c>
      <c r="K138">
        <v>29.7</v>
      </c>
      <c r="L138">
        <v>29.7</v>
      </c>
      <c r="M138">
        <v>29.7</v>
      </c>
      <c r="N138">
        <v>29.7</v>
      </c>
      <c r="O138">
        <v>29.7</v>
      </c>
      <c r="P138">
        <v>29.7</v>
      </c>
      <c r="Q138">
        <v>29.7</v>
      </c>
      <c r="R138">
        <v>29.7</v>
      </c>
      <c r="S138">
        <v>29.7</v>
      </c>
      <c r="T138">
        <v>29.7</v>
      </c>
      <c r="U138">
        <v>29.7</v>
      </c>
      <c r="V138">
        <v>29.7</v>
      </c>
      <c r="W138">
        <v>29.7</v>
      </c>
      <c r="X138">
        <v>29.7</v>
      </c>
      <c r="Y138">
        <v>29.7</v>
      </c>
      <c r="Z138">
        <v>29.7</v>
      </c>
      <c r="AA138">
        <v>29.7</v>
      </c>
      <c r="AB138">
        <v>29.7</v>
      </c>
      <c r="AC138">
        <v>29.7</v>
      </c>
      <c r="AD138">
        <v>29.7</v>
      </c>
      <c r="AE138">
        <v>29.7</v>
      </c>
      <c r="AF138">
        <v>29.7</v>
      </c>
      <c r="AG138">
        <v>29.7</v>
      </c>
      <c r="AH138">
        <v>29.7</v>
      </c>
      <c r="AI138">
        <v>29.7</v>
      </c>
      <c r="AJ138">
        <v>29.7</v>
      </c>
      <c r="AK138">
        <v>29.7</v>
      </c>
      <c r="AL138">
        <v>29.7</v>
      </c>
      <c r="AM138">
        <v>29.7</v>
      </c>
      <c r="AN138">
        <v>29.7</v>
      </c>
      <c r="AO138">
        <v>29.7</v>
      </c>
      <c r="AP138">
        <v>29.7</v>
      </c>
      <c r="AQ138">
        <v>29.7</v>
      </c>
      <c r="AR138">
        <v>29.7</v>
      </c>
      <c r="AS138">
        <v>29.7</v>
      </c>
      <c r="AT138">
        <v>29.7</v>
      </c>
      <c r="AU138">
        <v>29.7</v>
      </c>
      <c r="AV138">
        <v>29.7</v>
      </c>
      <c r="AW138">
        <v>29.7</v>
      </c>
      <c r="AX138">
        <v>29.7</v>
      </c>
    </row>
    <row r="140" spans="1:50" x14ac:dyDescent="0.3">
      <c r="A140" t="s">
        <v>75</v>
      </c>
      <c r="B140">
        <v>660</v>
      </c>
      <c r="C140">
        <v>450</v>
      </c>
      <c r="D140">
        <v>450</v>
      </c>
      <c r="E140">
        <v>450</v>
      </c>
      <c r="F140">
        <v>450</v>
      </c>
      <c r="G140">
        <v>450</v>
      </c>
      <c r="H140">
        <v>450</v>
      </c>
      <c r="I140">
        <v>450</v>
      </c>
      <c r="J140">
        <v>450</v>
      </c>
      <c r="K140">
        <v>450</v>
      </c>
      <c r="L140">
        <v>450</v>
      </c>
      <c r="M140">
        <v>576.76</v>
      </c>
      <c r="N140">
        <v>450</v>
      </c>
      <c r="O140">
        <v>450</v>
      </c>
      <c r="P140">
        <v>496.8</v>
      </c>
      <c r="Q140">
        <v>646.79999999999995</v>
      </c>
      <c r="R140">
        <v>646.79999999999995</v>
      </c>
      <c r="S140">
        <v>646.79999999999995</v>
      </c>
      <c r="T140">
        <v>646.79999999999995</v>
      </c>
      <c r="U140">
        <v>646.79999999999995</v>
      </c>
      <c r="V140">
        <v>646.79999999999995</v>
      </c>
      <c r="W140">
        <v>646.79999999999995</v>
      </c>
      <c r="X140">
        <v>646.79999999999995</v>
      </c>
      <c r="Y140">
        <v>646.79999999999995</v>
      </c>
      <c r="Z140">
        <v>646.79999999999995</v>
      </c>
      <c r="AA140">
        <v>646.79999999999995</v>
      </c>
      <c r="AB140">
        <v>646.79999999999995</v>
      </c>
      <c r="AC140">
        <v>646.79999999999995</v>
      </c>
      <c r="AD140">
        <v>646.79999999999995</v>
      </c>
      <c r="AE140">
        <v>646.79999999999995</v>
      </c>
      <c r="AF140">
        <v>646.79999999999995</v>
      </c>
      <c r="AG140">
        <v>646.79999999999995</v>
      </c>
      <c r="AH140">
        <v>646.79999999999995</v>
      </c>
      <c r="AI140">
        <v>646.79999999999995</v>
      </c>
      <c r="AJ140">
        <v>646.79999999999995</v>
      </c>
      <c r="AK140">
        <v>646.79999999999995</v>
      </c>
      <c r="AL140">
        <v>646.79999999999995</v>
      </c>
      <c r="AM140">
        <v>646.79999999999995</v>
      </c>
      <c r="AN140">
        <v>646.79999999999995</v>
      </c>
      <c r="AO140">
        <v>646.79999999999995</v>
      </c>
      <c r="AP140">
        <v>646.79999999999995</v>
      </c>
      <c r="AQ140">
        <v>646.79999999999995</v>
      </c>
      <c r="AR140">
        <v>646.79999999999995</v>
      </c>
      <c r="AS140">
        <v>646.79999999999995</v>
      </c>
      <c r="AT140">
        <v>646.79999999999995</v>
      </c>
      <c r="AU140">
        <v>646.79999999999995</v>
      </c>
      <c r="AV140">
        <v>646.79999999999995</v>
      </c>
      <c r="AW140">
        <v>646.79999999999995</v>
      </c>
      <c r="AX140">
        <v>646.79999999999995</v>
      </c>
    </row>
    <row r="142" spans="1:50" x14ac:dyDescent="0.3">
      <c r="A142" t="s">
        <v>337</v>
      </c>
      <c r="C142">
        <v>50</v>
      </c>
      <c r="D142">
        <v>50</v>
      </c>
      <c r="E142">
        <v>50</v>
      </c>
      <c r="F142">
        <v>50</v>
      </c>
      <c r="G142">
        <v>50</v>
      </c>
      <c r="H142">
        <v>50</v>
      </c>
      <c r="I142">
        <v>50</v>
      </c>
      <c r="J142">
        <v>50</v>
      </c>
      <c r="K142">
        <v>50</v>
      </c>
      <c r="L142">
        <v>50</v>
      </c>
      <c r="M142">
        <v>50</v>
      </c>
      <c r="N142">
        <v>50</v>
      </c>
      <c r="O142">
        <v>50</v>
      </c>
      <c r="P142">
        <v>50</v>
      </c>
      <c r="Q142">
        <v>50</v>
      </c>
      <c r="R142">
        <v>50</v>
      </c>
      <c r="S142">
        <v>50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118.8</v>
      </c>
      <c r="AD142">
        <v>118.8</v>
      </c>
      <c r="AE142">
        <v>118.8</v>
      </c>
      <c r="AF142">
        <v>118.8</v>
      </c>
      <c r="AG142">
        <v>118.8</v>
      </c>
      <c r="AH142">
        <v>118.8</v>
      </c>
      <c r="AI142">
        <v>100</v>
      </c>
      <c r="AJ142">
        <v>100</v>
      </c>
      <c r="AK142">
        <v>117.05</v>
      </c>
      <c r="AL142">
        <v>118.8</v>
      </c>
      <c r="AM142">
        <v>118.8</v>
      </c>
      <c r="AN142">
        <v>118.8</v>
      </c>
      <c r="AO142">
        <v>118.8</v>
      </c>
      <c r="AP142">
        <v>118.8</v>
      </c>
      <c r="AQ142">
        <v>118.8</v>
      </c>
      <c r="AR142">
        <v>110.26</v>
      </c>
      <c r="AS142">
        <v>118.8</v>
      </c>
      <c r="AT142">
        <v>118.8</v>
      </c>
      <c r="AU142">
        <v>118.8</v>
      </c>
      <c r="AV142">
        <v>105.15</v>
      </c>
      <c r="AW142">
        <v>100</v>
      </c>
      <c r="AX142">
        <v>100</v>
      </c>
    </row>
    <row r="144" spans="1:50" x14ac:dyDescent="0.3">
      <c r="A144" t="s">
        <v>338</v>
      </c>
      <c r="B144">
        <v>59.57282</v>
      </c>
      <c r="C144">
        <v>56.59</v>
      </c>
      <c r="D144">
        <v>56.59</v>
      </c>
      <c r="E144">
        <v>56.59</v>
      </c>
      <c r="F144">
        <v>56.59</v>
      </c>
      <c r="G144">
        <v>56.59</v>
      </c>
      <c r="H144">
        <v>56.59</v>
      </c>
      <c r="I144">
        <v>56.59</v>
      </c>
      <c r="J144">
        <v>56.59</v>
      </c>
      <c r="K144">
        <v>56.59</v>
      </c>
      <c r="L144">
        <v>56.59</v>
      </c>
      <c r="M144">
        <v>56.59</v>
      </c>
      <c r="N144">
        <v>56.59</v>
      </c>
      <c r="O144">
        <v>56.59</v>
      </c>
      <c r="P144">
        <v>56.59</v>
      </c>
      <c r="Q144">
        <v>56.59</v>
      </c>
      <c r="R144">
        <v>56.59</v>
      </c>
      <c r="S144">
        <v>56.59</v>
      </c>
      <c r="T144">
        <v>56.59</v>
      </c>
      <c r="U144">
        <v>56.59</v>
      </c>
      <c r="V144">
        <v>56.59</v>
      </c>
      <c r="W144">
        <v>56.59</v>
      </c>
      <c r="X144">
        <v>56.59</v>
      </c>
      <c r="Y144">
        <v>56.59</v>
      </c>
      <c r="Z144">
        <v>56.59</v>
      </c>
      <c r="AA144">
        <v>56.59</v>
      </c>
      <c r="AB144">
        <v>56.59</v>
      </c>
      <c r="AC144">
        <v>56.59</v>
      </c>
      <c r="AD144">
        <v>56.59</v>
      </c>
      <c r="AE144">
        <v>56.59</v>
      </c>
      <c r="AF144">
        <v>56.59</v>
      </c>
      <c r="AG144">
        <v>56.59</v>
      </c>
      <c r="AH144">
        <v>56.59</v>
      </c>
      <c r="AI144">
        <v>56.59</v>
      </c>
      <c r="AJ144">
        <v>56.59</v>
      </c>
      <c r="AK144">
        <v>56.59</v>
      </c>
      <c r="AL144">
        <v>56.98</v>
      </c>
      <c r="AM144">
        <v>56.59</v>
      </c>
      <c r="AN144">
        <v>56.59</v>
      </c>
      <c r="AO144">
        <v>56.59</v>
      </c>
      <c r="AP144">
        <v>56.59</v>
      </c>
      <c r="AQ144">
        <v>56.59</v>
      </c>
      <c r="AR144">
        <v>56.59</v>
      </c>
      <c r="AS144">
        <v>56.59</v>
      </c>
      <c r="AT144">
        <v>56.59</v>
      </c>
      <c r="AU144">
        <v>56.59</v>
      </c>
      <c r="AV144">
        <v>56.59</v>
      </c>
      <c r="AW144">
        <v>56.59</v>
      </c>
      <c r="AX144">
        <v>56.59</v>
      </c>
    </row>
    <row r="146" spans="1:50" x14ac:dyDescent="0.3">
      <c r="A146" t="s">
        <v>339</v>
      </c>
      <c r="B146">
        <v>18.537800000000001</v>
      </c>
      <c r="C146">
        <v>16.68</v>
      </c>
      <c r="D146">
        <v>16.68</v>
      </c>
      <c r="E146">
        <v>16.68</v>
      </c>
      <c r="F146">
        <v>16.68</v>
      </c>
      <c r="G146">
        <v>16.68</v>
      </c>
      <c r="H146">
        <v>16.68</v>
      </c>
      <c r="I146">
        <v>16.68</v>
      </c>
      <c r="J146">
        <v>16.68</v>
      </c>
      <c r="K146">
        <v>16.68</v>
      </c>
      <c r="L146">
        <v>16.68</v>
      </c>
      <c r="M146">
        <v>16.68</v>
      </c>
      <c r="N146">
        <v>16.68</v>
      </c>
      <c r="O146">
        <v>16.68</v>
      </c>
      <c r="P146">
        <v>16.68</v>
      </c>
      <c r="Q146">
        <v>16.68</v>
      </c>
      <c r="R146">
        <v>16.68</v>
      </c>
      <c r="S146">
        <v>16.68</v>
      </c>
      <c r="T146">
        <v>16.54</v>
      </c>
      <c r="U146">
        <v>16.68</v>
      </c>
      <c r="V146">
        <v>16.68</v>
      </c>
      <c r="W146">
        <v>16.68</v>
      </c>
      <c r="X146">
        <v>16.68</v>
      </c>
      <c r="Y146">
        <v>16.68</v>
      </c>
      <c r="Z146">
        <v>16.68</v>
      </c>
      <c r="AA146">
        <v>16.68</v>
      </c>
      <c r="AB146">
        <v>16.68</v>
      </c>
      <c r="AC146">
        <v>16.68</v>
      </c>
      <c r="AD146">
        <v>16.68</v>
      </c>
      <c r="AE146">
        <v>16.68</v>
      </c>
      <c r="AF146">
        <v>16.68</v>
      </c>
      <c r="AG146">
        <v>16.68</v>
      </c>
      <c r="AH146">
        <v>16.68</v>
      </c>
      <c r="AI146">
        <v>16.68</v>
      </c>
      <c r="AJ146">
        <v>16.68</v>
      </c>
      <c r="AK146">
        <v>16.68</v>
      </c>
      <c r="AL146">
        <v>16.68</v>
      </c>
      <c r="AM146">
        <v>16.68</v>
      </c>
      <c r="AN146">
        <v>16.68</v>
      </c>
      <c r="AO146">
        <v>16.68</v>
      </c>
      <c r="AP146">
        <v>16.68</v>
      </c>
      <c r="AQ146">
        <v>16.68</v>
      </c>
      <c r="AR146">
        <v>16.68</v>
      </c>
      <c r="AS146">
        <v>16.68</v>
      </c>
      <c r="AT146">
        <v>16.68</v>
      </c>
      <c r="AU146">
        <v>16.68</v>
      </c>
      <c r="AV146">
        <v>16.68</v>
      </c>
      <c r="AW146">
        <v>16.68</v>
      </c>
      <c r="AX146">
        <v>16.68</v>
      </c>
    </row>
    <row r="148" spans="1:50" x14ac:dyDescent="0.3">
      <c r="A148" t="s">
        <v>340</v>
      </c>
      <c r="B148">
        <v>46.6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50" spans="1:50" x14ac:dyDescent="0.3">
      <c r="A150" t="s">
        <v>341</v>
      </c>
      <c r="B150">
        <v>880</v>
      </c>
      <c r="C150">
        <v>380</v>
      </c>
      <c r="D150">
        <v>380</v>
      </c>
      <c r="E150">
        <v>380</v>
      </c>
      <c r="F150">
        <v>380</v>
      </c>
      <c r="G150">
        <v>380</v>
      </c>
      <c r="H150">
        <v>380</v>
      </c>
      <c r="I150">
        <v>380</v>
      </c>
      <c r="J150">
        <v>380</v>
      </c>
      <c r="K150">
        <v>380</v>
      </c>
      <c r="L150">
        <v>380</v>
      </c>
      <c r="M150">
        <v>380</v>
      </c>
      <c r="N150">
        <v>380</v>
      </c>
      <c r="O150">
        <v>380</v>
      </c>
      <c r="P150">
        <v>380</v>
      </c>
      <c r="Q150">
        <v>380</v>
      </c>
      <c r="R150">
        <v>411.73</v>
      </c>
      <c r="S150">
        <v>704</v>
      </c>
      <c r="T150">
        <v>704</v>
      </c>
      <c r="U150">
        <v>704</v>
      </c>
      <c r="V150">
        <v>704</v>
      </c>
      <c r="W150">
        <v>704</v>
      </c>
      <c r="X150">
        <v>704</v>
      </c>
      <c r="Y150">
        <v>704</v>
      </c>
      <c r="Z150">
        <v>380</v>
      </c>
      <c r="AA150">
        <v>380</v>
      </c>
      <c r="AB150">
        <v>442.91</v>
      </c>
      <c r="AC150">
        <v>704</v>
      </c>
      <c r="AD150">
        <v>744.79</v>
      </c>
      <c r="AE150">
        <v>713.56</v>
      </c>
      <c r="AF150">
        <v>819.62</v>
      </c>
      <c r="AG150">
        <v>741.89</v>
      </c>
      <c r="AH150">
        <v>704</v>
      </c>
      <c r="AI150">
        <v>631.5</v>
      </c>
      <c r="AJ150">
        <v>519.91</v>
      </c>
      <c r="AK150">
        <v>704</v>
      </c>
      <c r="AL150">
        <v>862.4</v>
      </c>
      <c r="AM150">
        <v>828.02</v>
      </c>
      <c r="AN150">
        <v>704</v>
      </c>
      <c r="AO150">
        <v>704</v>
      </c>
      <c r="AP150">
        <v>725.94</v>
      </c>
      <c r="AQ150">
        <v>766.34</v>
      </c>
      <c r="AR150">
        <v>704</v>
      </c>
      <c r="AS150">
        <v>825.88</v>
      </c>
      <c r="AT150">
        <v>756.62</v>
      </c>
      <c r="AU150">
        <v>831.87</v>
      </c>
      <c r="AV150">
        <v>704</v>
      </c>
      <c r="AW150">
        <v>704</v>
      </c>
      <c r="AX150">
        <v>663.83</v>
      </c>
    </row>
    <row r="151" spans="1:50" x14ac:dyDescent="0.3">
      <c r="A151" t="s">
        <v>342</v>
      </c>
      <c r="B151">
        <v>880</v>
      </c>
      <c r="C151">
        <v>380</v>
      </c>
      <c r="D151">
        <v>380</v>
      </c>
      <c r="E151">
        <v>380</v>
      </c>
      <c r="F151">
        <v>380</v>
      </c>
      <c r="G151">
        <v>380</v>
      </c>
      <c r="H151">
        <v>380</v>
      </c>
      <c r="I151">
        <v>380</v>
      </c>
      <c r="J151">
        <v>380</v>
      </c>
      <c r="K151">
        <v>380</v>
      </c>
      <c r="L151">
        <v>380</v>
      </c>
      <c r="M151">
        <v>380</v>
      </c>
      <c r="N151">
        <v>380</v>
      </c>
      <c r="O151">
        <v>380</v>
      </c>
      <c r="P151">
        <v>380</v>
      </c>
      <c r="Q151">
        <v>380</v>
      </c>
      <c r="R151">
        <v>704</v>
      </c>
      <c r="S151">
        <v>704</v>
      </c>
      <c r="T151">
        <v>457.8</v>
      </c>
      <c r="U151">
        <v>676.69</v>
      </c>
      <c r="V151">
        <v>638.55999999999995</v>
      </c>
      <c r="W151">
        <v>704</v>
      </c>
      <c r="X151">
        <v>704</v>
      </c>
      <c r="Y151">
        <v>639.94000000000005</v>
      </c>
      <c r="Z151">
        <v>606.23</v>
      </c>
      <c r="AA151">
        <v>557.51</v>
      </c>
      <c r="AB151">
        <v>704</v>
      </c>
      <c r="AC151">
        <v>704</v>
      </c>
      <c r="AD151">
        <v>704</v>
      </c>
      <c r="AE151">
        <v>862.4</v>
      </c>
      <c r="AF151">
        <v>704</v>
      </c>
      <c r="AG151">
        <v>862.4</v>
      </c>
      <c r="AH151">
        <v>704</v>
      </c>
      <c r="AI151">
        <v>704</v>
      </c>
      <c r="AJ151">
        <v>704</v>
      </c>
      <c r="AK151">
        <v>704</v>
      </c>
      <c r="AL151">
        <v>862.4</v>
      </c>
      <c r="AM151">
        <v>862.4</v>
      </c>
      <c r="AN151">
        <v>790.68</v>
      </c>
      <c r="AO151">
        <v>704</v>
      </c>
      <c r="AP151">
        <v>862.4</v>
      </c>
      <c r="AQ151">
        <v>704</v>
      </c>
      <c r="AR151">
        <v>704</v>
      </c>
      <c r="AS151">
        <v>862.4</v>
      </c>
      <c r="AT151">
        <v>862.4</v>
      </c>
      <c r="AU151">
        <v>704</v>
      </c>
      <c r="AV151">
        <v>704</v>
      </c>
      <c r="AW151">
        <v>704</v>
      </c>
      <c r="AX151">
        <v>380</v>
      </c>
    </row>
    <row r="153" spans="1:50" x14ac:dyDescent="0.3">
      <c r="A153" t="s">
        <v>74</v>
      </c>
      <c r="B153">
        <v>924</v>
      </c>
      <c r="C153">
        <v>370</v>
      </c>
      <c r="D153">
        <v>370</v>
      </c>
      <c r="E153">
        <v>370</v>
      </c>
      <c r="F153">
        <v>370</v>
      </c>
      <c r="G153">
        <v>370</v>
      </c>
      <c r="H153">
        <v>370</v>
      </c>
      <c r="I153">
        <v>370</v>
      </c>
      <c r="J153">
        <v>370</v>
      </c>
      <c r="K153">
        <v>370</v>
      </c>
      <c r="L153">
        <v>605.5</v>
      </c>
      <c r="M153">
        <v>905.5</v>
      </c>
      <c r="N153">
        <v>727.03</v>
      </c>
      <c r="O153">
        <v>554</v>
      </c>
      <c r="P153">
        <v>605.52</v>
      </c>
      <c r="Q153">
        <v>905.52</v>
      </c>
      <c r="R153">
        <v>905.52</v>
      </c>
      <c r="S153">
        <v>905.52</v>
      </c>
      <c r="T153">
        <v>905.52</v>
      </c>
      <c r="U153">
        <v>905.52</v>
      </c>
      <c r="V153">
        <v>905.52</v>
      </c>
      <c r="W153">
        <v>905.52</v>
      </c>
      <c r="X153">
        <v>905.52</v>
      </c>
      <c r="Y153">
        <v>905.52</v>
      </c>
      <c r="Z153">
        <v>905.52</v>
      </c>
      <c r="AA153">
        <v>905.52</v>
      </c>
      <c r="AB153">
        <v>905.52</v>
      </c>
      <c r="AC153">
        <v>905.52</v>
      </c>
      <c r="AD153">
        <v>905.52</v>
      </c>
      <c r="AE153">
        <v>905.52</v>
      </c>
      <c r="AF153">
        <v>905.52</v>
      </c>
      <c r="AG153">
        <v>905.52</v>
      </c>
      <c r="AH153">
        <v>905.52</v>
      </c>
      <c r="AI153">
        <v>905.52</v>
      </c>
      <c r="AJ153">
        <v>905.52</v>
      </c>
      <c r="AK153">
        <v>905.52</v>
      </c>
      <c r="AL153">
        <v>905.52</v>
      </c>
      <c r="AM153">
        <v>905.52</v>
      </c>
      <c r="AN153">
        <v>905.52</v>
      </c>
      <c r="AO153">
        <v>905.52</v>
      </c>
      <c r="AP153">
        <v>905.52</v>
      </c>
      <c r="AQ153">
        <v>905.52</v>
      </c>
      <c r="AR153">
        <v>905.52</v>
      </c>
      <c r="AS153">
        <v>905.52</v>
      </c>
      <c r="AT153">
        <v>905.52</v>
      </c>
      <c r="AU153">
        <v>905.52</v>
      </c>
      <c r="AV153">
        <v>905.52</v>
      </c>
      <c r="AW153">
        <v>905.52</v>
      </c>
      <c r="AX153">
        <v>905.52</v>
      </c>
    </row>
    <row r="155" spans="1:50" x14ac:dyDescent="0.3">
      <c r="A155" t="s">
        <v>343</v>
      </c>
      <c r="B155">
        <v>145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1.1000000000000001</v>
      </c>
      <c r="O155">
        <v>12.64</v>
      </c>
      <c r="P155">
        <v>26.94</v>
      </c>
      <c r="Q155">
        <v>48.64</v>
      </c>
      <c r="R155">
        <v>62.68</v>
      </c>
      <c r="S155">
        <v>70.87</v>
      </c>
      <c r="T155">
        <v>83.8</v>
      </c>
      <c r="U155">
        <v>92.5</v>
      </c>
      <c r="V155">
        <v>101.67</v>
      </c>
      <c r="W155">
        <v>107.96</v>
      </c>
      <c r="X155">
        <v>112.43</v>
      </c>
      <c r="Y155">
        <v>114.41</v>
      </c>
      <c r="Z155">
        <v>114.46</v>
      </c>
      <c r="AA155">
        <v>110.68</v>
      </c>
      <c r="AB155">
        <v>106.8</v>
      </c>
      <c r="AC155">
        <v>98.36</v>
      </c>
      <c r="AD155">
        <v>83.41</v>
      </c>
      <c r="AE155">
        <v>82.21</v>
      </c>
      <c r="AF155">
        <v>80.27</v>
      </c>
      <c r="AG155">
        <v>48.2</v>
      </c>
      <c r="AH155">
        <v>30.98</v>
      </c>
      <c r="AI155">
        <v>31.89</v>
      </c>
      <c r="AJ155">
        <v>15.27</v>
      </c>
      <c r="AK155">
        <v>1.97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3">
      <c r="A156" t="s">
        <v>343</v>
      </c>
      <c r="B156">
        <v>1.0000000000000001E-5</v>
      </c>
    </row>
    <row r="158" spans="1:50" x14ac:dyDescent="0.3">
      <c r="A158" t="s">
        <v>344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60" spans="1:50" x14ac:dyDescent="0.3">
      <c r="A160" t="s">
        <v>293</v>
      </c>
      <c r="C160">
        <v>3449.44</v>
      </c>
      <c r="D160">
        <v>3449.44</v>
      </c>
      <c r="E160">
        <v>3449.44</v>
      </c>
      <c r="F160">
        <v>3423.3</v>
      </c>
      <c r="G160">
        <v>3446.7</v>
      </c>
      <c r="H160">
        <v>3423.3</v>
      </c>
      <c r="I160">
        <v>3423.3</v>
      </c>
      <c r="J160">
        <v>3423.3</v>
      </c>
      <c r="K160">
        <v>3450.44</v>
      </c>
      <c r="L160">
        <v>3685.94</v>
      </c>
      <c r="M160">
        <v>4112.7</v>
      </c>
      <c r="N160">
        <v>3808.57</v>
      </c>
      <c r="O160">
        <v>3625.08</v>
      </c>
      <c r="P160">
        <v>3745.7</v>
      </c>
      <c r="Q160">
        <v>4365.1499999999996</v>
      </c>
      <c r="R160">
        <v>4857.17</v>
      </c>
      <c r="S160">
        <v>5370.12</v>
      </c>
      <c r="T160">
        <v>5413.21</v>
      </c>
      <c r="U160">
        <v>5644.41</v>
      </c>
      <c r="V160">
        <v>5759</v>
      </c>
      <c r="W160">
        <v>5974.73</v>
      </c>
      <c r="X160">
        <v>6014.55</v>
      </c>
      <c r="Y160">
        <v>5814.88</v>
      </c>
      <c r="Z160">
        <v>5077.68</v>
      </c>
      <c r="AA160">
        <v>5081.67</v>
      </c>
      <c r="AB160">
        <v>5433.48</v>
      </c>
      <c r="AC160">
        <v>6544.92</v>
      </c>
      <c r="AD160">
        <v>6581.76</v>
      </c>
      <c r="AE160">
        <v>6709.57</v>
      </c>
      <c r="AF160">
        <v>6651.32</v>
      </c>
      <c r="AG160">
        <v>6699.84</v>
      </c>
      <c r="AH160">
        <v>6531.65</v>
      </c>
      <c r="AI160">
        <v>6460.02</v>
      </c>
      <c r="AJ160">
        <v>6344.97</v>
      </c>
      <c r="AK160">
        <v>6699.94</v>
      </c>
      <c r="AL160">
        <v>7136.83</v>
      </c>
      <c r="AM160">
        <v>7094.13</v>
      </c>
      <c r="AN160">
        <v>6898.51</v>
      </c>
      <c r="AO160">
        <v>6808.89</v>
      </c>
      <c r="AP160">
        <v>6989.29</v>
      </c>
      <c r="AQ160">
        <v>6871.4</v>
      </c>
      <c r="AR160">
        <v>6677.69</v>
      </c>
      <c r="AS160">
        <v>7015.95</v>
      </c>
      <c r="AT160">
        <v>6759.55</v>
      </c>
      <c r="AU160">
        <v>6519.25</v>
      </c>
      <c r="AV160">
        <v>5915.62</v>
      </c>
      <c r="AW160">
        <v>5740.68</v>
      </c>
      <c r="AX160">
        <v>4842.92</v>
      </c>
    </row>
    <row r="161" spans="1:50" x14ac:dyDescent="0.3">
      <c r="A161" t="s">
        <v>294</v>
      </c>
      <c r="C161">
        <v>5622.33</v>
      </c>
      <c r="D161">
        <v>5575.45</v>
      </c>
      <c r="E161">
        <v>5570.66</v>
      </c>
      <c r="F161">
        <v>5498.08</v>
      </c>
      <c r="G161">
        <v>5464.79</v>
      </c>
      <c r="H161">
        <v>5430.07</v>
      </c>
      <c r="I161">
        <v>5460.63</v>
      </c>
      <c r="J161">
        <v>5506.9</v>
      </c>
      <c r="K161">
        <v>5664.2</v>
      </c>
      <c r="L161">
        <v>5861.22</v>
      </c>
      <c r="M161">
        <v>6074.45</v>
      </c>
      <c r="N161">
        <v>6003.51</v>
      </c>
      <c r="O161">
        <v>5892.64</v>
      </c>
      <c r="P161">
        <v>5917.61</v>
      </c>
      <c r="Q161">
        <v>6166.73</v>
      </c>
      <c r="R161">
        <v>6398.56</v>
      </c>
      <c r="S161">
        <v>6635.96</v>
      </c>
      <c r="T161">
        <v>6712.69</v>
      </c>
      <c r="U161">
        <v>6787.39</v>
      </c>
      <c r="V161">
        <v>6818.41</v>
      </c>
      <c r="W161">
        <v>6909.89</v>
      </c>
      <c r="X161">
        <v>6875</v>
      </c>
      <c r="Y161">
        <v>6796.71</v>
      </c>
      <c r="Z161">
        <v>6579.06</v>
      </c>
      <c r="AA161">
        <v>6594.89</v>
      </c>
      <c r="AB161">
        <v>6839.57</v>
      </c>
      <c r="AC161">
        <v>7070.51</v>
      </c>
      <c r="AD161">
        <v>7118.28</v>
      </c>
      <c r="AE161">
        <v>7149.5</v>
      </c>
      <c r="AF161">
        <v>7152.88</v>
      </c>
      <c r="AG161">
        <v>7220.54</v>
      </c>
      <c r="AH161">
        <v>7215.08</v>
      </c>
      <c r="AI161">
        <v>7206.69</v>
      </c>
      <c r="AJ161">
        <v>7202</v>
      </c>
      <c r="AK161">
        <v>7286.96</v>
      </c>
      <c r="AL161">
        <v>7505.68</v>
      </c>
      <c r="AM161">
        <v>7443.11</v>
      </c>
      <c r="AN161">
        <v>7379.12</v>
      </c>
      <c r="AO161">
        <v>7355.03</v>
      </c>
      <c r="AP161">
        <v>7344.15</v>
      </c>
      <c r="AQ161">
        <v>7356.72</v>
      </c>
      <c r="AR161">
        <v>7242.91</v>
      </c>
      <c r="AS161">
        <v>7112.82</v>
      </c>
      <c r="AT161">
        <v>6967.4</v>
      </c>
      <c r="AU161">
        <v>6842.89</v>
      </c>
      <c r="AV161">
        <v>6700.43</v>
      </c>
      <c r="AW161">
        <v>6575.43</v>
      </c>
      <c r="AX161">
        <v>6446.08</v>
      </c>
    </row>
    <row r="163" spans="1:50" x14ac:dyDescent="0.3">
      <c r="A163" t="s">
        <v>345</v>
      </c>
    </row>
    <row r="164" spans="1:50" x14ac:dyDescent="0.3">
      <c r="C164" t="s">
        <v>253</v>
      </c>
      <c r="D164" t="s">
        <v>253</v>
      </c>
      <c r="E164" t="s">
        <v>253</v>
      </c>
      <c r="F164" t="s">
        <v>253</v>
      </c>
      <c r="G164" t="s">
        <v>253</v>
      </c>
      <c r="H164" t="s">
        <v>253</v>
      </c>
      <c r="I164" t="s">
        <v>253</v>
      </c>
      <c r="J164" t="s">
        <v>253</v>
      </c>
      <c r="K164" t="s">
        <v>253</v>
      </c>
      <c r="L164" t="s">
        <v>253</v>
      </c>
      <c r="M164" t="s">
        <v>253</v>
      </c>
      <c r="N164" t="s">
        <v>253</v>
      </c>
      <c r="O164" t="s">
        <v>253</v>
      </c>
      <c r="P164" t="s">
        <v>253</v>
      </c>
      <c r="Q164" t="s">
        <v>253</v>
      </c>
      <c r="R164" t="s">
        <v>253</v>
      </c>
      <c r="S164" t="s">
        <v>253</v>
      </c>
      <c r="T164" t="s">
        <v>253</v>
      </c>
      <c r="U164" t="s">
        <v>253</v>
      </c>
      <c r="V164" t="s">
        <v>253</v>
      </c>
      <c r="W164" t="s">
        <v>253</v>
      </c>
      <c r="X164" t="s">
        <v>253</v>
      </c>
      <c r="Y164" t="s">
        <v>253</v>
      </c>
      <c r="Z164" t="s">
        <v>253</v>
      </c>
      <c r="AA164" t="s">
        <v>253</v>
      </c>
      <c r="AB164" t="s">
        <v>253</v>
      </c>
      <c r="AC164" t="s">
        <v>253</v>
      </c>
      <c r="AD164" t="s">
        <v>253</v>
      </c>
      <c r="AE164" t="s">
        <v>253</v>
      </c>
      <c r="AF164" t="s">
        <v>253</v>
      </c>
      <c r="AG164" t="s">
        <v>253</v>
      </c>
      <c r="AH164" t="s">
        <v>253</v>
      </c>
      <c r="AI164" t="s">
        <v>253</v>
      </c>
      <c r="AJ164" t="s">
        <v>253</v>
      </c>
      <c r="AK164" t="s">
        <v>253</v>
      </c>
      <c r="AL164" t="s">
        <v>253</v>
      </c>
      <c r="AM164" t="s">
        <v>253</v>
      </c>
      <c r="AN164" t="s">
        <v>253</v>
      </c>
      <c r="AO164" t="s">
        <v>253</v>
      </c>
      <c r="AP164" t="s">
        <v>253</v>
      </c>
      <c r="AQ164" t="s">
        <v>253</v>
      </c>
      <c r="AR164" t="s">
        <v>253</v>
      </c>
      <c r="AS164" t="s">
        <v>253</v>
      </c>
      <c r="AT164" t="s">
        <v>253</v>
      </c>
      <c r="AU164" t="s">
        <v>253</v>
      </c>
      <c r="AV164" t="s">
        <v>253</v>
      </c>
      <c r="AW164" t="s">
        <v>253</v>
      </c>
      <c r="AX164" t="s">
        <v>253</v>
      </c>
    </row>
    <row r="166" spans="1:50" x14ac:dyDescent="0.3">
      <c r="A166" t="s">
        <v>346</v>
      </c>
      <c r="C166">
        <v>8</v>
      </c>
      <c r="D166">
        <v>8</v>
      </c>
      <c r="E166">
        <v>8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14</v>
      </c>
      <c r="S166">
        <v>14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14</v>
      </c>
      <c r="AB166">
        <v>27</v>
      </c>
      <c r="AC166">
        <v>27</v>
      </c>
      <c r="AD166">
        <v>27</v>
      </c>
      <c r="AE166">
        <v>27</v>
      </c>
      <c r="AF166">
        <v>27</v>
      </c>
      <c r="AG166">
        <v>27</v>
      </c>
      <c r="AH166">
        <v>27</v>
      </c>
      <c r="AI166">
        <v>27</v>
      </c>
      <c r="AJ166">
        <v>27</v>
      </c>
      <c r="AK166">
        <v>27</v>
      </c>
      <c r="AL166">
        <v>27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27</v>
      </c>
      <c r="AS166">
        <v>14</v>
      </c>
      <c r="AT166">
        <v>14</v>
      </c>
      <c r="AU166">
        <v>14</v>
      </c>
      <c r="AV166">
        <v>14</v>
      </c>
      <c r="AW166">
        <v>14</v>
      </c>
      <c r="AX166">
        <v>14</v>
      </c>
    </row>
    <row r="168" spans="1:50" x14ac:dyDescent="0.3">
      <c r="A168" t="s">
        <v>347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30</v>
      </c>
      <c r="Z168">
        <v>30</v>
      </c>
      <c r="AA168">
        <v>30</v>
      </c>
      <c r="AB168">
        <v>30</v>
      </c>
      <c r="AC168">
        <v>30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30</v>
      </c>
      <c r="AK168">
        <v>30</v>
      </c>
      <c r="AL168">
        <v>30</v>
      </c>
      <c r="AM168">
        <v>30</v>
      </c>
      <c r="AN168">
        <v>30</v>
      </c>
      <c r="AO168">
        <v>30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70" spans="1:50" x14ac:dyDescent="0.3">
      <c r="A170" t="s">
        <v>348</v>
      </c>
      <c r="B170">
        <v>110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2" spans="1:50" x14ac:dyDescent="0.3">
      <c r="A172" t="s">
        <v>349</v>
      </c>
      <c r="C172">
        <v>101.61</v>
      </c>
      <c r="D172">
        <v>101.61</v>
      </c>
      <c r="E172">
        <v>101.61</v>
      </c>
      <c r="F172">
        <v>101.61</v>
      </c>
      <c r="G172">
        <v>101.61</v>
      </c>
      <c r="H172">
        <v>101.61</v>
      </c>
      <c r="I172">
        <v>101.61</v>
      </c>
      <c r="J172">
        <v>101.61</v>
      </c>
      <c r="K172">
        <v>101.61</v>
      </c>
      <c r="L172">
        <v>101.61</v>
      </c>
      <c r="M172">
        <v>101.61</v>
      </c>
      <c r="N172">
        <v>101.61</v>
      </c>
      <c r="O172">
        <v>101.61</v>
      </c>
      <c r="P172">
        <v>101.61</v>
      </c>
      <c r="Q172">
        <v>101.61</v>
      </c>
      <c r="R172">
        <v>101.61</v>
      </c>
      <c r="S172">
        <v>101.61</v>
      </c>
      <c r="T172">
        <v>116.13</v>
      </c>
      <c r="U172">
        <v>116.13</v>
      </c>
      <c r="V172">
        <v>217.74</v>
      </c>
      <c r="W172">
        <v>275.81</v>
      </c>
      <c r="X172">
        <v>275.81</v>
      </c>
      <c r="Y172">
        <v>275.81</v>
      </c>
      <c r="Z172">
        <v>246.77</v>
      </c>
      <c r="AA172">
        <v>246.77</v>
      </c>
      <c r="AB172">
        <v>309.19</v>
      </c>
      <c r="AC172">
        <v>309.19</v>
      </c>
      <c r="AD172">
        <v>309.19</v>
      </c>
      <c r="AE172">
        <v>309.19</v>
      </c>
      <c r="AF172">
        <v>309.19</v>
      </c>
      <c r="AG172">
        <v>309.19</v>
      </c>
      <c r="AH172">
        <v>304.85000000000002</v>
      </c>
      <c r="AI172">
        <v>250.06</v>
      </c>
      <c r="AJ172">
        <v>262.83</v>
      </c>
      <c r="AK172">
        <v>323.07</v>
      </c>
      <c r="AL172">
        <v>330.75</v>
      </c>
      <c r="AM172">
        <v>330.34</v>
      </c>
      <c r="AN172">
        <v>330.34</v>
      </c>
      <c r="AO172">
        <v>322.89</v>
      </c>
      <c r="AP172">
        <v>287.33</v>
      </c>
      <c r="AQ172">
        <v>246.77</v>
      </c>
      <c r="AR172">
        <v>246.77</v>
      </c>
      <c r="AS172">
        <v>246.77</v>
      </c>
      <c r="AT172">
        <v>246.77</v>
      </c>
      <c r="AU172">
        <v>101.61</v>
      </c>
      <c r="AV172">
        <v>101.61</v>
      </c>
      <c r="AW172">
        <v>101.61</v>
      </c>
      <c r="AX172">
        <v>101.61</v>
      </c>
    </row>
    <row r="173" spans="1:50" x14ac:dyDescent="0.3">
      <c r="A173" t="s">
        <v>350</v>
      </c>
      <c r="C173">
        <v>101.61</v>
      </c>
      <c r="D173">
        <v>101.61</v>
      </c>
      <c r="E173">
        <v>101.61</v>
      </c>
      <c r="F173">
        <v>101.61</v>
      </c>
      <c r="G173">
        <v>101.61</v>
      </c>
      <c r="H173">
        <v>101.61</v>
      </c>
      <c r="I173">
        <v>101.61</v>
      </c>
      <c r="J173">
        <v>101.61</v>
      </c>
      <c r="K173">
        <v>101.61</v>
      </c>
      <c r="L173">
        <v>101.61</v>
      </c>
      <c r="M173">
        <v>101.61</v>
      </c>
      <c r="N173">
        <v>101.61</v>
      </c>
      <c r="O173">
        <v>101.61</v>
      </c>
      <c r="P173">
        <v>203.23</v>
      </c>
      <c r="Q173">
        <v>203.23</v>
      </c>
      <c r="R173">
        <v>304.83999999999997</v>
      </c>
      <c r="S173">
        <v>304.83999999999997</v>
      </c>
      <c r="T173">
        <v>348.39</v>
      </c>
      <c r="U173">
        <v>348.39</v>
      </c>
      <c r="V173">
        <v>348.39</v>
      </c>
      <c r="W173">
        <v>348.39</v>
      </c>
      <c r="X173">
        <v>348.39</v>
      </c>
      <c r="Y173">
        <v>348.39</v>
      </c>
      <c r="Z173">
        <v>304.83999999999997</v>
      </c>
      <c r="AA173">
        <v>304.83999999999997</v>
      </c>
      <c r="AB173">
        <v>404</v>
      </c>
      <c r="AC173">
        <v>404</v>
      </c>
      <c r="AD173">
        <v>404</v>
      </c>
      <c r="AE173">
        <v>404</v>
      </c>
      <c r="AF173">
        <v>404</v>
      </c>
      <c r="AG173">
        <v>404</v>
      </c>
      <c r="AH173">
        <v>304.83999999999997</v>
      </c>
      <c r="AI173">
        <v>304.83999999999997</v>
      </c>
      <c r="AJ173">
        <v>304.83999999999997</v>
      </c>
      <c r="AK173">
        <v>304.83999999999997</v>
      </c>
      <c r="AL173">
        <v>315</v>
      </c>
      <c r="AM173">
        <v>304.83999999999997</v>
      </c>
      <c r="AN173">
        <v>304.83999999999997</v>
      </c>
      <c r="AO173">
        <v>304.83999999999997</v>
      </c>
      <c r="AP173">
        <v>304.83999999999997</v>
      </c>
      <c r="AQ173">
        <v>304.83999999999997</v>
      </c>
      <c r="AR173">
        <v>304.83999999999997</v>
      </c>
      <c r="AS173">
        <v>203.23</v>
      </c>
      <c r="AT173">
        <v>101.61</v>
      </c>
      <c r="AU173">
        <v>101.61</v>
      </c>
      <c r="AV173">
        <v>101.61</v>
      </c>
      <c r="AW173">
        <v>101.61</v>
      </c>
      <c r="AX173">
        <v>101.61</v>
      </c>
    </row>
    <row r="174" spans="1:50" x14ac:dyDescent="0.3">
      <c r="A174" t="s">
        <v>351</v>
      </c>
      <c r="B174">
        <v>773.39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6" spans="1:50" x14ac:dyDescent="0.3">
      <c r="A176" t="s">
        <v>352</v>
      </c>
      <c r="B176">
        <v>615</v>
      </c>
      <c r="C176">
        <v>450</v>
      </c>
      <c r="D176">
        <v>450</v>
      </c>
      <c r="E176">
        <v>450</v>
      </c>
      <c r="F176">
        <v>450</v>
      </c>
      <c r="G176">
        <v>450</v>
      </c>
      <c r="H176">
        <v>450</v>
      </c>
      <c r="I176">
        <v>450</v>
      </c>
      <c r="J176">
        <v>450</v>
      </c>
      <c r="K176">
        <v>450</v>
      </c>
      <c r="L176">
        <v>450</v>
      </c>
      <c r="M176">
        <v>450</v>
      </c>
      <c r="N176">
        <v>450</v>
      </c>
      <c r="O176">
        <v>450</v>
      </c>
      <c r="P176">
        <v>450</v>
      </c>
      <c r="Q176">
        <v>450</v>
      </c>
      <c r="R176">
        <v>450</v>
      </c>
      <c r="S176">
        <v>450</v>
      </c>
      <c r="T176">
        <v>450</v>
      </c>
      <c r="U176">
        <v>450</v>
      </c>
      <c r="V176">
        <v>450</v>
      </c>
      <c r="W176">
        <v>450</v>
      </c>
      <c r="X176">
        <v>450</v>
      </c>
      <c r="Y176">
        <v>450</v>
      </c>
      <c r="Z176">
        <v>450</v>
      </c>
      <c r="AA176">
        <v>450</v>
      </c>
      <c r="AB176">
        <v>450</v>
      </c>
      <c r="AC176">
        <v>450</v>
      </c>
      <c r="AD176">
        <v>450</v>
      </c>
      <c r="AE176">
        <v>450</v>
      </c>
      <c r="AF176">
        <v>450</v>
      </c>
      <c r="AG176">
        <v>450</v>
      </c>
      <c r="AH176">
        <v>450</v>
      </c>
      <c r="AI176">
        <v>450</v>
      </c>
      <c r="AJ176">
        <v>450</v>
      </c>
      <c r="AK176">
        <v>450</v>
      </c>
      <c r="AL176">
        <v>450</v>
      </c>
      <c r="AM176">
        <v>450</v>
      </c>
      <c r="AN176">
        <v>450</v>
      </c>
      <c r="AO176">
        <v>450</v>
      </c>
      <c r="AP176">
        <v>450</v>
      </c>
      <c r="AQ176">
        <v>450</v>
      </c>
      <c r="AR176">
        <v>450</v>
      </c>
      <c r="AS176">
        <v>450</v>
      </c>
      <c r="AT176">
        <v>450</v>
      </c>
      <c r="AU176">
        <v>450</v>
      </c>
      <c r="AV176">
        <v>450</v>
      </c>
      <c r="AW176">
        <v>450</v>
      </c>
      <c r="AX176">
        <v>450</v>
      </c>
    </row>
    <row r="177" spans="1:50" x14ac:dyDescent="0.3">
      <c r="C177" t="s">
        <v>282</v>
      </c>
      <c r="D177" t="s">
        <v>282</v>
      </c>
      <c r="E177" t="s">
        <v>282</v>
      </c>
      <c r="F177" t="s">
        <v>282</v>
      </c>
      <c r="G177" t="s">
        <v>282</v>
      </c>
      <c r="H177" t="s">
        <v>282</v>
      </c>
      <c r="I177" t="s">
        <v>282</v>
      </c>
      <c r="J177" t="s">
        <v>282</v>
      </c>
      <c r="K177" t="s">
        <v>282</v>
      </c>
      <c r="L177" t="s">
        <v>282</v>
      </c>
      <c r="M177" t="s">
        <v>282</v>
      </c>
      <c r="N177" t="s">
        <v>282</v>
      </c>
      <c r="O177" t="s">
        <v>282</v>
      </c>
      <c r="P177" t="s">
        <v>282</v>
      </c>
      <c r="Q177" t="s">
        <v>282</v>
      </c>
      <c r="R177" t="s">
        <v>282</v>
      </c>
      <c r="S177" t="s">
        <v>282</v>
      </c>
      <c r="T177" t="s">
        <v>282</v>
      </c>
      <c r="U177" t="s">
        <v>282</v>
      </c>
      <c r="V177" t="s">
        <v>282</v>
      </c>
      <c r="W177" t="s">
        <v>282</v>
      </c>
      <c r="X177" t="s">
        <v>282</v>
      </c>
      <c r="Y177" t="s">
        <v>282</v>
      </c>
      <c r="Z177" t="s">
        <v>282</v>
      </c>
      <c r="AA177" t="s">
        <v>282</v>
      </c>
      <c r="AB177" t="s">
        <v>282</v>
      </c>
      <c r="AC177" t="s">
        <v>282</v>
      </c>
      <c r="AD177" t="s">
        <v>282</v>
      </c>
      <c r="AE177" t="s">
        <v>282</v>
      </c>
      <c r="AF177" t="s">
        <v>282</v>
      </c>
      <c r="AG177" t="s">
        <v>282</v>
      </c>
      <c r="AH177" t="s">
        <v>282</v>
      </c>
      <c r="AI177" t="s">
        <v>282</v>
      </c>
      <c r="AJ177" t="s">
        <v>282</v>
      </c>
      <c r="AK177" t="s">
        <v>282</v>
      </c>
      <c r="AL177" t="s">
        <v>282</v>
      </c>
      <c r="AM177" t="s">
        <v>282</v>
      </c>
      <c r="AN177" t="s">
        <v>282</v>
      </c>
      <c r="AO177" t="s">
        <v>282</v>
      </c>
      <c r="AP177" t="s">
        <v>282</v>
      </c>
      <c r="AQ177" t="s">
        <v>282</v>
      </c>
      <c r="AR177" t="s">
        <v>282</v>
      </c>
      <c r="AS177" t="s">
        <v>282</v>
      </c>
      <c r="AT177" t="s">
        <v>282</v>
      </c>
      <c r="AU177" t="s">
        <v>282</v>
      </c>
      <c r="AV177" t="s">
        <v>282</v>
      </c>
      <c r="AW177" t="s">
        <v>282</v>
      </c>
      <c r="AX177" t="s">
        <v>282</v>
      </c>
    </row>
    <row r="179" spans="1:50" x14ac:dyDescent="0.3">
      <c r="A179" t="s">
        <v>86</v>
      </c>
      <c r="B179">
        <v>280</v>
      </c>
      <c r="C179">
        <v>200</v>
      </c>
      <c r="D179">
        <v>200</v>
      </c>
      <c r="E179">
        <v>200</v>
      </c>
      <c r="F179">
        <v>200</v>
      </c>
      <c r="G179">
        <v>200</v>
      </c>
      <c r="H179">
        <v>200</v>
      </c>
      <c r="I179">
        <v>200</v>
      </c>
      <c r="J179">
        <v>200</v>
      </c>
      <c r="K179">
        <v>200</v>
      </c>
      <c r="L179">
        <v>200</v>
      </c>
      <c r="M179">
        <v>200</v>
      </c>
      <c r="N179">
        <v>200</v>
      </c>
      <c r="O179">
        <v>200</v>
      </c>
      <c r="P179">
        <v>200</v>
      </c>
      <c r="Q179">
        <v>200</v>
      </c>
      <c r="R179">
        <v>200</v>
      </c>
      <c r="S179">
        <v>200</v>
      </c>
      <c r="T179">
        <v>200</v>
      </c>
      <c r="U179">
        <v>200</v>
      </c>
      <c r="V179">
        <v>200</v>
      </c>
      <c r="W179">
        <v>200</v>
      </c>
      <c r="X179">
        <v>200</v>
      </c>
      <c r="Y179">
        <v>200</v>
      </c>
      <c r="Z179">
        <v>200</v>
      </c>
      <c r="AA179">
        <v>200</v>
      </c>
      <c r="AB179">
        <v>250</v>
      </c>
      <c r="AC179">
        <v>250</v>
      </c>
      <c r="AD179">
        <v>250</v>
      </c>
      <c r="AE179">
        <v>250</v>
      </c>
      <c r="AF179">
        <v>250</v>
      </c>
      <c r="AG179">
        <v>250</v>
      </c>
      <c r="AH179">
        <v>250</v>
      </c>
      <c r="AI179">
        <v>250</v>
      </c>
      <c r="AJ179">
        <v>250</v>
      </c>
      <c r="AK179">
        <v>250</v>
      </c>
      <c r="AL179">
        <v>250</v>
      </c>
      <c r="AM179">
        <v>250</v>
      </c>
      <c r="AN179">
        <v>250</v>
      </c>
      <c r="AO179">
        <v>250</v>
      </c>
      <c r="AP179">
        <v>200</v>
      </c>
      <c r="AQ179">
        <v>200</v>
      </c>
      <c r="AR179">
        <v>200</v>
      </c>
      <c r="AS179">
        <v>200</v>
      </c>
      <c r="AT179">
        <v>200</v>
      </c>
      <c r="AU179">
        <v>200</v>
      </c>
      <c r="AV179">
        <v>200</v>
      </c>
      <c r="AW179">
        <v>200</v>
      </c>
      <c r="AX179">
        <v>200</v>
      </c>
    </row>
    <row r="180" spans="1:50" x14ac:dyDescent="0.3">
      <c r="A180" t="s">
        <v>85</v>
      </c>
      <c r="B180">
        <v>280</v>
      </c>
      <c r="C180">
        <v>200</v>
      </c>
      <c r="D180">
        <v>200</v>
      </c>
      <c r="E180">
        <v>200</v>
      </c>
      <c r="F180">
        <v>200</v>
      </c>
      <c r="G180">
        <v>200</v>
      </c>
      <c r="H180">
        <v>200</v>
      </c>
      <c r="I180">
        <v>200</v>
      </c>
      <c r="J180">
        <v>200</v>
      </c>
      <c r="K180">
        <v>200</v>
      </c>
      <c r="L180">
        <v>200</v>
      </c>
      <c r="M180">
        <v>200</v>
      </c>
      <c r="N180">
        <v>200</v>
      </c>
      <c r="O180">
        <v>200</v>
      </c>
      <c r="P180">
        <v>200</v>
      </c>
      <c r="Q180">
        <v>200</v>
      </c>
      <c r="R180">
        <v>200</v>
      </c>
      <c r="S180">
        <v>200</v>
      </c>
      <c r="T180">
        <v>200</v>
      </c>
      <c r="U180">
        <v>200</v>
      </c>
      <c r="V180">
        <v>200</v>
      </c>
      <c r="W180">
        <v>200</v>
      </c>
      <c r="X180">
        <v>200</v>
      </c>
      <c r="Y180">
        <v>200</v>
      </c>
      <c r="Z180">
        <v>200</v>
      </c>
      <c r="AA180">
        <v>200</v>
      </c>
      <c r="AB180">
        <v>250</v>
      </c>
      <c r="AC180">
        <v>250</v>
      </c>
      <c r="AD180">
        <v>250</v>
      </c>
      <c r="AE180">
        <v>250</v>
      </c>
      <c r="AF180">
        <v>250</v>
      </c>
      <c r="AG180">
        <v>250</v>
      </c>
      <c r="AH180">
        <v>250</v>
      </c>
      <c r="AI180">
        <v>250</v>
      </c>
      <c r="AJ180">
        <v>250</v>
      </c>
      <c r="AK180">
        <v>250</v>
      </c>
      <c r="AL180">
        <v>250</v>
      </c>
      <c r="AM180">
        <v>250</v>
      </c>
      <c r="AN180">
        <v>250</v>
      </c>
      <c r="AO180">
        <v>250</v>
      </c>
      <c r="AP180">
        <v>200</v>
      </c>
      <c r="AQ180">
        <v>200</v>
      </c>
      <c r="AR180">
        <v>200</v>
      </c>
      <c r="AS180">
        <v>200</v>
      </c>
      <c r="AT180">
        <v>200</v>
      </c>
      <c r="AU180">
        <v>200</v>
      </c>
      <c r="AV180">
        <v>200</v>
      </c>
      <c r="AW180">
        <v>200</v>
      </c>
      <c r="AX180">
        <v>200</v>
      </c>
    </row>
    <row r="181" spans="1:50" x14ac:dyDescent="0.3">
      <c r="C181" t="s">
        <v>289</v>
      </c>
      <c r="D181" t="s">
        <v>289</v>
      </c>
      <c r="E181" t="s">
        <v>289</v>
      </c>
      <c r="F181" t="s">
        <v>289</v>
      </c>
      <c r="G181" t="s">
        <v>289</v>
      </c>
      <c r="H181" t="s">
        <v>289</v>
      </c>
      <c r="I181" t="s">
        <v>289</v>
      </c>
      <c r="J181" t="s">
        <v>289</v>
      </c>
      <c r="K181" t="s">
        <v>289</v>
      </c>
      <c r="L181" t="s">
        <v>289</v>
      </c>
      <c r="M181" t="s">
        <v>289</v>
      </c>
      <c r="N181" t="s">
        <v>289</v>
      </c>
      <c r="O181" t="s">
        <v>289</v>
      </c>
      <c r="P181" t="s">
        <v>289</v>
      </c>
      <c r="Q181" t="s">
        <v>289</v>
      </c>
      <c r="R181" t="s">
        <v>289</v>
      </c>
      <c r="S181" t="s">
        <v>289</v>
      </c>
      <c r="T181" t="s">
        <v>289</v>
      </c>
      <c r="U181" t="s">
        <v>289</v>
      </c>
      <c r="V181" t="s">
        <v>289</v>
      </c>
      <c r="W181" t="s">
        <v>289</v>
      </c>
      <c r="X181" t="s">
        <v>289</v>
      </c>
      <c r="Y181" t="s">
        <v>289</v>
      </c>
      <c r="Z181" t="s">
        <v>289</v>
      </c>
      <c r="AA181" t="s">
        <v>289</v>
      </c>
      <c r="AB181" t="s">
        <v>289</v>
      </c>
      <c r="AC181" t="s">
        <v>289</v>
      </c>
      <c r="AD181" t="s">
        <v>289</v>
      </c>
      <c r="AE181" t="s">
        <v>289</v>
      </c>
      <c r="AF181" t="s">
        <v>289</v>
      </c>
      <c r="AG181" t="s">
        <v>289</v>
      </c>
      <c r="AH181" t="s">
        <v>289</v>
      </c>
      <c r="AI181" t="s">
        <v>289</v>
      </c>
      <c r="AJ181" t="s">
        <v>289</v>
      </c>
      <c r="AK181" t="s">
        <v>289</v>
      </c>
      <c r="AL181" t="s">
        <v>289</v>
      </c>
      <c r="AM181" t="s">
        <v>289</v>
      </c>
      <c r="AN181" t="s">
        <v>289</v>
      </c>
      <c r="AO181" t="s">
        <v>289</v>
      </c>
      <c r="AP181" t="s">
        <v>289</v>
      </c>
      <c r="AQ181" t="s">
        <v>289</v>
      </c>
      <c r="AR181" t="s">
        <v>289</v>
      </c>
      <c r="AS181" t="s">
        <v>289</v>
      </c>
      <c r="AT181" t="s">
        <v>289</v>
      </c>
      <c r="AU181" t="s">
        <v>289</v>
      </c>
      <c r="AV181" t="s">
        <v>289</v>
      </c>
      <c r="AW181" t="s">
        <v>289</v>
      </c>
      <c r="AX181" t="s">
        <v>289</v>
      </c>
    </row>
    <row r="183" spans="1:50" x14ac:dyDescent="0.3">
      <c r="A183" t="s">
        <v>353</v>
      </c>
      <c r="B183">
        <v>54.560989999999997</v>
      </c>
      <c r="C183">
        <v>35</v>
      </c>
      <c r="D183">
        <v>35</v>
      </c>
      <c r="E183">
        <v>35</v>
      </c>
      <c r="F183">
        <v>35</v>
      </c>
      <c r="G183">
        <v>35</v>
      </c>
      <c r="H183">
        <v>35</v>
      </c>
      <c r="I183">
        <v>35</v>
      </c>
      <c r="J183">
        <v>35</v>
      </c>
      <c r="K183">
        <v>35</v>
      </c>
      <c r="L183">
        <v>35</v>
      </c>
      <c r="M183">
        <v>35</v>
      </c>
      <c r="N183">
        <v>35</v>
      </c>
      <c r="O183">
        <v>35</v>
      </c>
      <c r="P183">
        <v>35</v>
      </c>
      <c r="Q183">
        <v>35</v>
      </c>
      <c r="R183">
        <v>35</v>
      </c>
      <c r="S183">
        <v>35</v>
      </c>
      <c r="T183">
        <v>35</v>
      </c>
      <c r="U183">
        <v>35</v>
      </c>
      <c r="V183">
        <v>35</v>
      </c>
      <c r="W183">
        <v>35</v>
      </c>
      <c r="X183">
        <v>35</v>
      </c>
      <c r="Y183">
        <v>35</v>
      </c>
      <c r="Z183">
        <v>35</v>
      </c>
      <c r="AA183">
        <v>35</v>
      </c>
      <c r="AB183">
        <v>35</v>
      </c>
      <c r="AC183">
        <v>35</v>
      </c>
      <c r="AD183">
        <v>35</v>
      </c>
      <c r="AE183">
        <v>35</v>
      </c>
      <c r="AF183">
        <v>35</v>
      </c>
      <c r="AG183">
        <v>35</v>
      </c>
      <c r="AH183">
        <v>35</v>
      </c>
      <c r="AI183">
        <v>35</v>
      </c>
      <c r="AJ183">
        <v>35</v>
      </c>
      <c r="AK183">
        <v>35</v>
      </c>
      <c r="AL183">
        <v>35</v>
      </c>
      <c r="AM183">
        <v>35</v>
      </c>
      <c r="AN183">
        <v>35</v>
      </c>
      <c r="AO183">
        <v>35</v>
      </c>
      <c r="AP183">
        <v>35</v>
      </c>
      <c r="AQ183">
        <v>35</v>
      </c>
      <c r="AR183">
        <v>35</v>
      </c>
      <c r="AS183">
        <v>35</v>
      </c>
      <c r="AT183">
        <v>35</v>
      </c>
      <c r="AU183">
        <v>35</v>
      </c>
      <c r="AV183">
        <v>35</v>
      </c>
      <c r="AW183">
        <v>35</v>
      </c>
      <c r="AX183">
        <v>35</v>
      </c>
    </row>
    <row r="185" spans="1:50" x14ac:dyDescent="0.3">
      <c r="A185" t="s">
        <v>87</v>
      </c>
      <c r="B185">
        <v>281</v>
      </c>
      <c r="C185">
        <v>141</v>
      </c>
      <c r="D185">
        <v>141</v>
      </c>
      <c r="E185">
        <v>141</v>
      </c>
      <c r="F185">
        <v>141</v>
      </c>
      <c r="G185">
        <v>141</v>
      </c>
      <c r="H185">
        <v>141</v>
      </c>
      <c r="I185">
        <v>141</v>
      </c>
      <c r="J185">
        <v>141</v>
      </c>
      <c r="K185">
        <v>141</v>
      </c>
      <c r="L185">
        <v>141</v>
      </c>
      <c r="M185">
        <v>196.43</v>
      </c>
      <c r="N185">
        <v>178.62</v>
      </c>
      <c r="O185">
        <v>141</v>
      </c>
      <c r="P185">
        <v>141</v>
      </c>
      <c r="Q185">
        <v>231</v>
      </c>
      <c r="R185">
        <v>274.39999999999998</v>
      </c>
      <c r="S185">
        <v>274.39999999999998</v>
      </c>
      <c r="T185">
        <v>274.39999999999998</v>
      </c>
      <c r="U185">
        <v>274.39999999999998</v>
      </c>
      <c r="V185">
        <v>274.39999999999998</v>
      </c>
      <c r="W185">
        <v>274.39999999999998</v>
      </c>
      <c r="X185">
        <v>274.39999999999998</v>
      </c>
      <c r="Y185">
        <v>274.39999999999998</v>
      </c>
      <c r="Z185">
        <v>274.39999999999998</v>
      </c>
      <c r="AA185">
        <v>274.39999999999998</v>
      </c>
      <c r="AB185">
        <v>274.39999999999998</v>
      </c>
      <c r="AC185">
        <v>274.39999999999998</v>
      </c>
      <c r="AD185">
        <v>274.39999999999998</v>
      </c>
      <c r="AE185">
        <v>274.39999999999998</v>
      </c>
      <c r="AF185">
        <v>274.39999999999998</v>
      </c>
      <c r="AG185">
        <v>274.39999999999998</v>
      </c>
      <c r="AH185">
        <v>274.39999999999998</v>
      </c>
      <c r="AI185">
        <v>274.39999999999998</v>
      </c>
      <c r="AJ185">
        <v>274.39999999999998</v>
      </c>
      <c r="AK185">
        <v>274.39999999999998</v>
      </c>
      <c r="AL185">
        <v>274.39999999999998</v>
      </c>
      <c r="AM185">
        <v>274.39999999999998</v>
      </c>
      <c r="AN185">
        <v>274.39999999999998</v>
      </c>
      <c r="AO185">
        <v>274.39999999999998</v>
      </c>
      <c r="AP185">
        <v>274.39999999999998</v>
      </c>
      <c r="AQ185">
        <v>274.39999999999998</v>
      </c>
      <c r="AR185">
        <v>274.39999999999998</v>
      </c>
      <c r="AS185">
        <v>274.39999999999998</v>
      </c>
      <c r="AT185">
        <v>274.39999999999998</v>
      </c>
      <c r="AU185">
        <v>274.39999999999998</v>
      </c>
      <c r="AV185">
        <v>274.39999999999998</v>
      </c>
      <c r="AW185">
        <v>274.39999999999998</v>
      </c>
      <c r="AX185">
        <v>274.39999999999998</v>
      </c>
    </row>
    <row r="186" spans="1:50" x14ac:dyDescent="0.3">
      <c r="A186" t="s">
        <v>88</v>
      </c>
      <c r="B186">
        <v>281</v>
      </c>
      <c r="C186">
        <v>141</v>
      </c>
      <c r="D186">
        <v>141</v>
      </c>
      <c r="E186">
        <v>141</v>
      </c>
      <c r="F186">
        <v>141</v>
      </c>
      <c r="G186">
        <v>141</v>
      </c>
      <c r="H186">
        <v>141</v>
      </c>
      <c r="I186">
        <v>141</v>
      </c>
      <c r="J186">
        <v>141</v>
      </c>
      <c r="K186">
        <v>141</v>
      </c>
      <c r="L186">
        <v>141</v>
      </c>
      <c r="M186">
        <v>141</v>
      </c>
      <c r="N186">
        <v>141</v>
      </c>
      <c r="O186">
        <v>141</v>
      </c>
      <c r="P186">
        <v>141</v>
      </c>
      <c r="Q186">
        <v>231</v>
      </c>
      <c r="R186">
        <v>274.39999999999998</v>
      </c>
      <c r="S186">
        <v>274.39999999999998</v>
      </c>
      <c r="T186">
        <v>274.39999999999998</v>
      </c>
      <c r="U186">
        <v>274.39999999999998</v>
      </c>
      <c r="V186">
        <v>274.39999999999998</v>
      </c>
      <c r="W186">
        <v>274.39999999999998</v>
      </c>
      <c r="X186">
        <v>274.39999999999998</v>
      </c>
      <c r="Y186">
        <v>274.39999999999998</v>
      </c>
      <c r="Z186">
        <v>274.39999999999998</v>
      </c>
      <c r="AA186">
        <v>274.39999999999998</v>
      </c>
      <c r="AB186">
        <v>274.39999999999998</v>
      </c>
      <c r="AC186">
        <v>274.39999999999998</v>
      </c>
      <c r="AD186">
        <v>274.39999999999998</v>
      </c>
      <c r="AE186">
        <v>274.39999999999998</v>
      </c>
      <c r="AF186">
        <v>274.39999999999998</v>
      </c>
      <c r="AG186">
        <v>274.39999999999998</v>
      </c>
      <c r="AH186">
        <v>274.39999999999998</v>
      </c>
      <c r="AI186">
        <v>274.39999999999998</v>
      </c>
      <c r="AJ186">
        <v>274.39999999999998</v>
      </c>
      <c r="AK186">
        <v>274.39999999999998</v>
      </c>
      <c r="AL186">
        <v>274.39999999999998</v>
      </c>
      <c r="AM186">
        <v>274.39999999999998</v>
      </c>
      <c r="AN186">
        <v>274.39999999999998</v>
      </c>
      <c r="AO186">
        <v>274.39999999999998</v>
      </c>
      <c r="AP186">
        <v>274.39999999999998</v>
      </c>
      <c r="AQ186">
        <v>274.39999999999998</v>
      </c>
      <c r="AR186">
        <v>274.39999999999998</v>
      </c>
      <c r="AS186">
        <v>274.39999999999998</v>
      </c>
      <c r="AT186">
        <v>274.39999999999998</v>
      </c>
      <c r="AU186">
        <v>274.39999999999998</v>
      </c>
      <c r="AV186">
        <v>274.39999999999998</v>
      </c>
      <c r="AW186">
        <v>274.39999999999998</v>
      </c>
      <c r="AX186">
        <v>274.39999999999998</v>
      </c>
    </row>
    <row r="187" spans="1:50" x14ac:dyDescent="0.3">
      <c r="A187" t="s">
        <v>65</v>
      </c>
      <c r="B187">
        <v>614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3">
      <c r="A188" t="s">
        <v>25</v>
      </c>
      <c r="B188">
        <v>945</v>
      </c>
      <c r="C188">
        <v>472.5</v>
      </c>
      <c r="D188">
        <v>490</v>
      </c>
      <c r="E188">
        <v>490</v>
      </c>
      <c r="F188">
        <v>472.5</v>
      </c>
      <c r="G188">
        <v>472.5</v>
      </c>
      <c r="H188">
        <v>472.5</v>
      </c>
      <c r="I188">
        <v>472.5</v>
      </c>
      <c r="J188">
        <v>472.5</v>
      </c>
      <c r="K188">
        <v>490</v>
      </c>
      <c r="L188">
        <v>490</v>
      </c>
      <c r="M188">
        <v>490</v>
      </c>
      <c r="N188">
        <v>490</v>
      </c>
      <c r="O188">
        <v>490</v>
      </c>
      <c r="P188">
        <v>490</v>
      </c>
      <c r="Q188">
        <v>490</v>
      </c>
      <c r="R188">
        <v>490</v>
      </c>
      <c r="S188">
        <v>490</v>
      </c>
      <c r="T188">
        <v>490</v>
      </c>
      <c r="U188">
        <v>490</v>
      </c>
      <c r="V188">
        <v>490</v>
      </c>
      <c r="W188">
        <v>490</v>
      </c>
      <c r="X188">
        <v>490</v>
      </c>
      <c r="Y188">
        <v>490</v>
      </c>
      <c r="Z188">
        <v>490</v>
      </c>
      <c r="AA188">
        <v>490</v>
      </c>
      <c r="AB188">
        <v>490</v>
      </c>
      <c r="AC188">
        <v>490</v>
      </c>
      <c r="AD188">
        <v>490</v>
      </c>
      <c r="AE188">
        <v>490</v>
      </c>
      <c r="AF188">
        <v>490</v>
      </c>
      <c r="AG188">
        <v>490</v>
      </c>
      <c r="AH188">
        <v>490</v>
      </c>
      <c r="AI188">
        <v>490</v>
      </c>
      <c r="AJ188">
        <v>490</v>
      </c>
      <c r="AK188">
        <v>490</v>
      </c>
      <c r="AL188">
        <v>490</v>
      </c>
      <c r="AM188">
        <v>490</v>
      </c>
      <c r="AN188">
        <v>490</v>
      </c>
      <c r="AO188">
        <v>490</v>
      </c>
      <c r="AP188">
        <v>490</v>
      </c>
      <c r="AQ188">
        <v>490</v>
      </c>
      <c r="AR188">
        <v>490</v>
      </c>
      <c r="AS188">
        <v>490</v>
      </c>
      <c r="AT188">
        <v>490</v>
      </c>
      <c r="AU188">
        <v>490</v>
      </c>
      <c r="AV188">
        <v>490</v>
      </c>
      <c r="AW188">
        <v>490</v>
      </c>
      <c r="AX188">
        <v>490</v>
      </c>
    </row>
    <row r="190" spans="1:50" x14ac:dyDescent="0.3">
      <c r="A190" t="s">
        <v>38</v>
      </c>
      <c r="B190">
        <v>950</v>
      </c>
      <c r="C190">
        <v>931</v>
      </c>
      <c r="D190">
        <v>931</v>
      </c>
      <c r="E190">
        <v>931</v>
      </c>
      <c r="F190">
        <v>931</v>
      </c>
      <c r="G190">
        <v>931</v>
      </c>
      <c r="H190">
        <v>931</v>
      </c>
      <c r="I190">
        <v>931</v>
      </c>
      <c r="J190">
        <v>931</v>
      </c>
      <c r="K190">
        <v>931</v>
      </c>
      <c r="L190">
        <v>931</v>
      </c>
      <c r="M190">
        <v>931</v>
      </c>
      <c r="N190">
        <v>931</v>
      </c>
      <c r="O190">
        <v>931</v>
      </c>
      <c r="P190">
        <v>931</v>
      </c>
      <c r="Q190">
        <v>931</v>
      </c>
      <c r="R190">
        <v>931</v>
      </c>
      <c r="S190">
        <v>931</v>
      </c>
      <c r="T190">
        <v>931</v>
      </c>
      <c r="U190">
        <v>931</v>
      </c>
      <c r="V190">
        <v>931</v>
      </c>
      <c r="W190">
        <v>931</v>
      </c>
      <c r="X190">
        <v>931</v>
      </c>
      <c r="Y190">
        <v>931</v>
      </c>
      <c r="Z190">
        <v>931</v>
      </c>
      <c r="AA190">
        <v>931</v>
      </c>
      <c r="AB190">
        <v>931</v>
      </c>
      <c r="AC190">
        <v>931</v>
      </c>
      <c r="AD190">
        <v>931</v>
      </c>
      <c r="AE190">
        <v>931</v>
      </c>
      <c r="AF190">
        <v>931</v>
      </c>
      <c r="AG190">
        <v>931</v>
      </c>
      <c r="AH190">
        <v>931</v>
      </c>
      <c r="AI190">
        <v>931</v>
      </c>
      <c r="AJ190">
        <v>931</v>
      </c>
      <c r="AK190">
        <v>931</v>
      </c>
      <c r="AL190">
        <v>931</v>
      </c>
      <c r="AM190">
        <v>931</v>
      </c>
      <c r="AN190">
        <v>931</v>
      </c>
      <c r="AO190">
        <v>931</v>
      </c>
      <c r="AP190">
        <v>931</v>
      </c>
      <c r="AQ190">
        <v>931</v>
      </c>
      <c r="AR190">
        <v>931</v>
      </c>
      <c r="AS190">
        <v>931</v>
      </c>
      <c r="AT190">
        <v>931</v>
      </c>
      <c r="AU190">
        <v>931</v>
      </c>
      <c r="AV190">
        <v>931</v>
      </c>
      <c r="AW190">
        <v>931</v>
      </c>
      <c r="AX190">
        <v>931</v>
      </c>
    </row>
    <row r="191" spans="1:50" x14ac:dyDescent="0.3">
      <c r="A191" t="s">
        <v>39</v>
      </c>
      <c r="B191">
        <v>950</v>
      </c>
      <c r="C191">
        <v>931</v>
      </c>
      <c r="D191">
        <v>931</v>
      </c>
      <c r="E191">
        <v>931</v>
      </c>
      <c r="F191">
        <v>931</v>
      </c>
      <c r="G191">
        <v>931</v>
      </c>
      <c r="H191">
        <v>931</v>
      </c>
      <c r="I191">
        <v>931</v>
      </c>
      <c r="J191">
        <v>931</v>
      </c>
      <c r="K191">
        <v>931</v>
      </c>
      <c r="L191">
        <v>931</v>
      </c>
      <c r="M191">
        <v>931</v>
      </c>
      <c r="N191">
        <v>931</v>
      </c>
      <c r="O191">
        <v>931</v>
      </c>
      <c r="P191">
        <v>931</v>
      </c>
      <c r="Q191">
        <v>931</v>
      </c>
      <c r="R191">
        <v>931</v>
      </c>
      <c r="S191">
        <v>931</v>
      </c>
      <c r="T191">
        <v>931</v>
      </c>
      <c r="U191">
        <v>931</v>
      </c>
      <c r="V191">
        <v>931</v>
      </c>
      <c r="W191">
        <v>931</v>
      </c>
      <c r="X191">
        <v>931</v>
      </c>
      <c r="Y191">
        <v>931</v>
      </c>
      <c r="Z191">
        <v>931</v>
      </c>
      <c r="AA191">
        <v>931</v>
      </c>
      <c r="AB191">
        <v>931</v>
      </c>
      <c r="AC191">
        <v>931</v>
      </c>
      <c r="AD191">
        <v>931</v>
      </c>
      <c r="AE191">
        <v>931</v>
      </c>
      <c r="AF191">
        <v>931</v>
      </c>
      <c r="AG191">
        <v>931</v>
      </c>
      <c r="AH191">
        <v>931</v>
      </c>
      <c r="AI191">
        <v>931</v>
      </c>
      <c r="AJ191">
        <v>931</v>
      </c>
      <c r="AK191">
        <v>931</v>
      </c>
      <c r="AL191">
        <v>931</v>
      </c>
      <c r="AM191">
        <v>931</v>
      </c>
      <c r="AN191">
        <v>931</v>
      </c>
      <c r="AO191">
        <v>931</v>
      </c>
      <c r="AP191">
        <v>931</v>
      </c>
      <c r="AQ191">
        <v>931</v>
      </c>
      <c r="AR191">
        <v>931</v>
      </c>
      <c r="AS191">
        <v>931</v>
      </c>
      <c r="AT191">
        <v>931</v>
      </c>
      <c r="AU191">
        <v>931</v>
      </c>
      <c r="AV191">
        <v>931</v>
      </c>
      <c r="AW191">
        <v>931</v>
      </c>
      <c r="AX191">
        <v>931</v>
      </c>
    </row>
    <row r="193" spans="1:50" x14ac:dyDescent="0.3">
      <c r="A193" t="s">
        <v>32</v>
      </c>
      <c r="B193">
        <v>1000</v>
      </c>
      <c r="C193">
        <v>980</v>
      </c>
      <c r="D193">
        <v>980</v>
      </c>
      <c r="E193">
        <v>980</v>
      </c>
      <c r="F193">
        <v>980</v>
      </c>
      <c r="G193">
        <v>980</v>
      </c>
      <c r="H193">
        <v>980</v>
      </c>
      <c r="I193">
        <v>980</v>
      </c>
      <c r="J193">
        <v>980</v>
      </c>
      <c r="K193">
        <v>980</v>
      </c>
      <c r="L193">
        <v>980</v>
      </c>
      <c r="M193">
        <v>980</v>
      </c>
      <c r="N193">
        <v>980</v>
      </c>
      <c r="O193">
        <v>980</v>
      </c>
      <c r="P193">
        <v>980</v>
      </c>
      <c r="Q193">
        <v>980</v>
      </c>
      <c r="R193">
        <v>980</v>
      </c>
      <c r="S193">
        <v>980</v>
      </c>
      <c r="T193">
        <v>980</v>
      </c>
      <c r="U193">
        <v>980</v>
      </c>
      <c r="V193">
        <v>980</v>
      </c>
      <c r="W193">
        <v>980</v>
      </c>
      <c r="X193">
        <v>980</v>
      </c>
      <c r="Y193">
        <v>980</v>
      </c>
      <c r="Z193">
        <v>980</v>
      </c>
      <c r="AA193">
        <v>980</v>
      </c>
      <c r="AB193">
        <v>980</v>
      </c>
      <c r="AC193">
        <v>980</v>
      </c>
      <c r="AD193">
        <v>980</v>
      </c>
      <c r="AE193">
        <v>980</v>
      </c>
      <c r="AF193">
        <v>980</v>
      </c>
      <c r="AG193">
        <v>980</v>
      </c>
      <c r="AH193">
        <v>980</v>
      </c>
      <c r="AI193">
        <v>980</v>
      </c>
      <c r="AJ193">
        <v>980</v>
      </c>
      <c r="AK193">
        <v>980</v>
      </c>
      <c r="AL193">
        <v>980</v>
      </c>
      <c r="AM193">
        <v>980</v>
      </c>
      <c r="AN193">
        <v>980</v>
      </c>
      <c r="AO193">
        <v>980</v>
      </c>
      <c r="AP193">
        <v>980</v>
      </c>
      <c r="AQ193">
        <v>980</v>
      </c>
      <c r="AR193">
        <v>980</v>
      </c>
      <c r="AS193">
        <v>980</v>
      </c>
      <c r="AT193">
        <v>980</v>
      </c>
      <c r="AU193">
        <v>980</v>
      </c>
      <c r="AV193">
        <v>980</v>
      </c>
      <c r="AW193">
        <v>980</v>
      </c>
      <c r="AX193">
        <v>980</v>
      </c>
    </row>
    <row r="194" spans="1:50" x14ac:dyDescent="0.3">
      <c r="A194" t="s">
        <v>34</v>
      </c>
      <c r="B194">
        <v>1000</v>
      </c>
      <c r="C194">
        <v>980</v>
      </c>
      <c r="D194">
        <v>980</v>
      </c>
      <c r="E194">
        <v>980</v>
      </c>
      <c r="F194">
        <v>980</v>
      </c>
      <c r="G194">
        <v>980</v>
      </c>
      <c r="H194">
        <v>980</v>
      </c>
      <c r="I194">
        <v>980</v>
      </c>
      <c r="J194">
        <v>980</v>
      </c>
      <c r="K194">
        <v>980</v>
      </c>
      <c r="L194">
        <v>980</v>
      </c>
      <c r="M194">
        <v>980</v>
      </c>
      <c r="N194">
        <v>980</v>
      </c>
      <c r="O194">
        <v>980</v>
      </c>
      <c r="P194">
        <v>980</v>
      </c>
      <c r="Q194">
        <v>980</v>
      </c>
      <c r="R194">
        <v>980</v>
      </c>
      <c r="S194">
        <v>980</v>
      </c>
      <c r="T194">
        <v>980</v>
      </c>
      <c r="U194">
        <v>980</v>
      </c>
      <c r="V194">
        <v>980</v>
      </c>
      <c r="W194">
        <v>980</v>
      </c>
      <c r="X194">
        <v>980</v>
      </c>
      <c r="Y194">
        <v>980</v>
      </c>
      <c r="Z194">
        <v>980</v>
      </c>
      <c r="AA194">
        <v>980</v>
      </c>
      <c r="AB194">
        <v>980</v>
      </c>
      <c r="AC194">
        <v>980</v>
      </c>
      <c r="AD194">
        <v>980</v>
      </c>
      <c r="AE194">
        <v>980</v>
      </c>
      <c r="AF194">
        <v>980</v>
      </c>
      <c r="AG194">
        <v>980</v>
      </c>
      <c r="AH194">
        <v>980</v>
      </c>
      <c r="AI194">
        <v>980</v>
      </c>
      <c r="AJ194">
        <v>980</v>
      </c>
      <c r="AK194">
        <v>980</v>
      </c>
      <c r="AL194">
        <v>980</v>
      </c>
      <c r="AM194">
        <v>980</v>
      </c>
      <c r="AN194">
        <v>980</v>
      </c>
      <c r="AO194">
        <v>980</v>
      </c>
      <c r="AP194">
        <v>980</v>
      </c>
      <c r="AQ194">
        <v>980</v>
      </c>
      <c r="AR194">
        <v>980</v>
      </c>
      <c r="AS194">
        <v>980</v>
      </c>
      <c r="AT194">
        <v>980</v>
      </c>
      <c r="AU194">
        <v>980</v>
      </c>
      <c r="AV194">
        <v>980</v>
      </c>
      <c r="AW194">
        <v>980</v>
      </c>
      <c r="AX194">
        <v>980</v>
      </c>
    </row>
    <row r="195" spans="1:50" x14ac:dyDescent="0.3">
      <c r="C195" t="s">
        <v>354</v>
      </c>
      <c r="D195" t="s">
        <v>354</v>
      </c>
      <c r="E195" t="s">
        <v>354</v>
      </c>
      <c r="F195" t="s">
        <v>354</v>
      </c>
      <c r="G195" t="s">
        <v>354</v>
      </c>
      <c r="H195" t="s">
        <v>354</v>
      </c>
      <c r="I195" t="s">
        <v>354</v>
      </c>
      <c r="J195" t="s">
        <v>354</v>
      </c>
      <c r="K195" t="s">
        <v>354</v>
      </c>
      <c r="L195" t="s">
        <v>354</v>
      </c>
      <c r="M195" t="s">
        <v>354</v>
      </c>
      <c r="N195" t="s">
        <v>354</v>
      </c>
      <c r="O195" t="s">
        <v>354</v>
      </c>
      <c r="P195" t="s">
        <v>354</v>
      </c>
      <c r="Q195" t="s">
        <v>354</v>
      </c>
      <c r="R195" t="s">
        <v>354</v>
      </c>
      <c r="S195" t="s">
        <v>354</v>
      </c>
      <c r="T195" t="s">
        <v>354</v>
      </c>
      <c r="U195" t="s">
        <v>354</v>
      </c>
      <c r="V195" t="s">
        <v>354</v>
      </c>
      <c r="W195" t="s">
        <v>354</v>
      </c>
      <c r="X195" t="s">
        <v>354</v>
      </c>
      <c r="Y195" t="s">
        <v>354</v>
      </c>
      <c r="Z195" t="s">
        <v>354</v>
      </c>
      <c r="AA195" t="s">
        <v>354</v>
      </c>
      <c r="AB195" t="s">
        <v>354</v>
      </c>
      <c r="AC195" t="s">
        <v>354</v>
      </c>
      <c r="AD195" t="s">
        <v>354</v>
      </c>
      <c r="AE195" t="s">
        <v>354</v>
      </c>
      <c r="AF195" t="s">
        <v>354</v>
      </c>
      <c r="AG195" t="s">
        <v>354</v>
      </c>
      <c r="AH195" t="s">
        <v>354</v>
      </c>
      <c r="AI195" t="s">
        <v>354</v>
      </c>
      <c r="AJ195" t="s">
        <v>354</v>
      </c>
      <c r="AK195" t="s">
        <v>354</v>
      </c>
      <c r="AL195" t="s">
        <v>354</v>
      </c>
      <c r="AM195" t="s">
        <v>354</v>
      </c>
      <c r="AN195" t="s">
        <v>354</v>
      </c>
      <c r="AO195" t="s">
        <v>354</v>
      </c>
      <c r="AP195" t="s">
        <v>354</v>
      </c>
      <c r="AQ195" t="s">
        <v>354</v>
      </c>
      <c r="AR195" t="s">
        <v>354</v>
      </c>
      <c r="AS195" t="s">
        <v>354</v>
      </c>
      <c r="AT195" t="s">
        <v>354</v>
      </c>
      <c r="AU195" t="s">
        <v>354</v>
      </c>
      <c r="AV195" t="s">
        <v>354</v>
      </c>
      <c r="AW195" t="s">
        <v>354</v>
      </c>
      <c r="AX195" t="s">
        <v>354</v>
      </c>
    </row>
    <row r="197" spans="1:50" x14ac:dyDescent="0.3">
      <c r="A197" t="s">
        <v>52</v>
      </c>
      <c r="B197">
        <v>660.8</v>
      </c>
      <c r="C197">
        <v>604.88</v>
      </c>
      <c r="D197">
        <v>604.88</v>
      </c>
      <c r="E197">
        <v>604.88</v>
      </c>
      <c r="F197">
        <v>604.88</v>
      </c>
      <c r="G197">
        <v>604.88</v>
      </c>
      <c r="H197">
        <v>604.88</v>
      </c>
      <c r="I197">
        <v>604.88</v>
      </c>
      <c r="J197">
        <v>604.88</v>
      </c>
      <c r="K197">
        <v>604.88</v>
      </c>
      <c r="L197">
        <v>604.88</v>
      </c>
      <c r="M197">
        <v>604.88</v>
      </c>
      <c r="N197">
        <v>604.88</v>
      </c>
      <c r="O197">
        <v>604.88</v>
      </c>
      <c r="P197">
        <v>604.88</v>
      </c>
      <c r="Q197">
        <v>617.36</v>
      </c>
      <c r="R197">
        <v>647.58000000000004</v>
      </c>
      <c r="S197">
        <v>647.58000000000004</v>
      </c>
      <c r="T197">
        <v>647.58000000000004</v>
      </c>
      <c r="U197">
        <v>647.58000000000004</v>
      </c>
      <c r="V197">
        <v>647.58000000000004</v>
      </c>
      <c r="W197">
        <v>647.58000000000004</v>
      </c>
      <c r="X197">
        <v>647.58000000000004</v>
      </c>
      <c r="Y197">
        <v>647.58000000000004</v>
      </c>
      <c r="Z197">
        <v>647.58000000000004</v>
      </c>
      <c r="AA197">
        <v>647.58000000000004</v>
      </c>
      <c r="AB197">
        <v>647.58000000000004</v>
      </c>
      <c r="AC197">
        <v>647.58000000000004</v>
      </c>
      <c r="AD197">
        <v>647.58000000000004</v>
      </c>
      <c r="AE197">
        <v>647.58000000000004</v>
      </c>
      <c r="AF197">
        <v>647.58000000000004</v>
      </c>
      <c r="AG197">
        <v>647.58000000000004</v>
      </c>
      <c r="AH197">
        <v>647.58000000000004</v>
      </c>
      <c r="AI197">
        <v>647.58000000000004</v>
      </c>
      <c r="AJ197">
        <v>647.58000000000004</v>
      </c>
      <c r="AK197">
        <v>647.58000000000004</v>
      </c>
      <c r="AL197">
        <v>647.58000000000004</v>
      </c>
      <c r="AM197">
        <v>647.58000000000004</v>
      </c>
      <c r="AN197">
        <v>647.58000000000004</v>
      </c>
      <c r="AO197">
        <v>647.58000000000004</v>
      </c>
      <c r="AP197">
        <v>647.58000000000004</v>
      </c>
      <c r="AQ197">
        <v>647.58000000000004</v>
      </c>
      <c r="AR197">
        <v>647.58000000000004</v>
      </c>
      <c r="AS197">
        <v>647.58000000000004</v>
      </c>
      <c r="AT197">
        <v>647.58000000000004</v>
      </c>
      <c r="AU197">
        <v>647.58000000000004</v>
      </c>
      <c r="AV197">
        <v>647.58000000000004</v>
      </c>
      <c r="AW197">
        <v>647.58000000000004</v>
      </c>
      <c r="AX197">
        <v>647.58000000000004</v>
      </c>
    </row>
    <row r="198" spans="1:50" x14ac:dyDescent="0.3">
      <c r="A198" t="s">
        <v>53</v>
      </c>
      <c r="B198">
        <v>660.8</v>
      </c>
      <c r="C198">
        <v>604.88</v>
      </c>
      <c r="D198">
        <v>604.88</v>
      </c>
      <c r="E198">
        <v>604.88</v>
      </c>
      <c r="F198">
        <v>604.88</v>
      </c>
      <c r="G198">
        <v>604.88</v>
      </c>
      <c r="H198">
        <v>604.88</v>
      </c>
      <c r="I198">
        <v>604.88</v>
      </c>
      <c r="J198">
        <v>604.88</v>
      </c>
      <c r="K198">
        <v>604.88</v>
      </c>
      <c r="L198">
        <v>604.88</v>
      </c>
      <c r="M198">
        <v>604.88</v>
      </c>
      <c r="N198">
        <v>604.88</v>
      </c>
      <c r="O198">
        <v>604.88</v>
      </c>
      <c r="P198">
        <v>604.88</v>
      </c>
      <c r="Q198">
        <v>604.88</v>
      </c>
      <c r="R198">
        <v>647.58000000000004</v>
      </c>
      <c r="S198">
        <v>647.58000000000004</v>
      </c>
      <c r="T198">
        <v>647.58000000000004</v>
      </c>
      <c r="U198">
        <v>647.58000000000004</v>
      </c>
      <c r="V198">
        <v>647.58000000000004</v>
      </c>
      <c r="W198">
        <v>647.58000000000004</v>
      </c>
      <c r="X198">
        <v>647.58000000000004</v>
      </c>
      <c r="Y198">
        <v>647.58000000000004</v>
      </c>
      <c r="Z198">
        <v>647.58000000000004</v>
      </c>
      <c r="AA198">
        <v>647.58000000000004</v>
      </c>
      <c r="AB198">
        <v>647.58000000000004</v>
      </c>
      <c r="AC198">
        <v>647.58000000000004</v>
      </c>
      <c r="AD198">
        <v>647.58000000000004</v>
      </c>
      <c r="AE198">
        <v>647.58000000000004</v>
      </c>
      <c r="AF198">
        <v>647.58000000000004</v>
      </c>
      <c r="AG198">
        <v>647.58000000000004</v>
      </c>
      <c r="AH198">
        <v>647.58000000000004</v>
      </c>
      <c r="AI198">
        <v>647.58000000000004</v>
      </c>
      <c r="AJ198">
        <v>647.58000000000004</v>
      </c>
      <c r="AK198">
        <v>647.58000000000004</v>
      </c>
      <c r="AL198">
        <v>647.58000000000004</v>
      </c>
      <c r="AM198">
        <v>647.58000000000004</v>
      </c>
      <c r="AN198">
        <v>647.58000000000004</v>
      </c>
      <c r="AO198">
        <v>647.58000000000004</v>
      </c>
      <c r="AP198">
        <v>647.58000000000004</v>
      </c>
      <c r="AQ198">
        <v>647.58000000000004</v>
      </c>
      <c r="AR198">
        <v>647.58000000000004</v>
      </c>
      <c r="AS198">
        <v>647.58000000000004</v>
      </c>
      <c r="AT198">
        <v>647.58000000000004</v>
      </c>
      <c r="AU198">
        <v>647.58000000000004</v>
      </c>
      <c r="AV198">
        <v>647.58000000000004</v>
      </c>
      <c r="AW198">
        <v>647.58000000000004</v>
      </c>
      <c r="AX198">
        <v>647.58000000000004</v>
      </c>
    </row>
    <row r="199" spans="1:50" x14ac:dyDescent="0.3">
      <c r="A199" t="s">
        <v>28</v>
      </c>
      <c r="B199">
        <v>661.1</v>
      </c>
      <c r="C199">
        <v>510</v>
      </c>
      <c r="D199">
        <v>510</v>
      </c>
      <c r="E199">
        <v>510</v>
      </c>
      <c r="F199">
        <v>496.14</v>
      </c>
      <c r="G199">
        <v>496.14</v>
      </c>
      <c r="H199">
        <v>496.14</v>
      </c>
      <c r="I199">
        <v>496.14</v>
      </c>
      <c r="J199">
        <v>496.14</v>
      </c>
      <c r="K199">
        <v>516.54999999999995</v>
      </c>
      <c r="L199">
        <v>606.54999999999995</v>
      </c>
      <c r="M199">
        <v>606.54999999999995</v>
      </c>
      <c r="N199">
        <v>606.54999999999995</v>
      </c>
      <c r="O199">
        <v>606.54999999999995</v>
      </c>
      <c r="P199">
        <v>557.88</v>
      </c>
      <c r="Q199">
        <v>647.88</v>
      </c>
      <c r="R199">
        <v>647.88</v>
      </c>
      <c r="S199">
        <v>647.88</v>
      </c>
      <c r="T199">
        <v>647.88</v>
      </c>
      <c r="U199">
        <v>647.88</v>
      </c>
      <c r="V199">
        <v>647.88</v>
      </c>
      <c r="W199">
        <v>647.88</v>
      </c>
      <c r="X199">
        <v>647.88</v>
      </c>
      <c r="Y199">
        <v>647.88</v>
      </c>
      <c r="Z199">
        <v>647.88</v>
      </c>
      <c r="AA199">
        <v>647.88</v>
      </c>
      <c r="AB199">
        <v>647.88</v>
      </c>
      <c r="AC199">
        <v>647.88</v>
      </c>
      <c r="AD199">
        <v>647.88</v>
      </c>
      <c r="AE199">
        <v>647.88</v>
      </c>
      <c r="AF199">
        <v>647.88</v>
      </c>
      <c r="AG199">
        <v>647.88</v>
      </c>
      <c r="AH199">
        <v>647.88</v>
      </c>
      <c r="AI199">
        <v>647.88</v>
      </c>
      <c r="AJ199">
        <v>647.88</v>
      </c>
      <c r="AK199">
        <v>647.88</v>
      </c>
      <c r="AL199">
        <v>647.88</v>
      </c>
      <c r="AM199">
        <v>647.88</v>
      </c>
      <c r="AN199">
        <v>647.88</v>
      </c>
      <c r="AO199">
        <v>647.88</v>
      </c>
      <c r="AP199">
        <v>647.88</v>
      </c>
      <c r="AQ199">
        <v>647.88</v>
      </c>
      <c r="AR199">
        <v>647.88</v>
      </c>
      <c r="AS199">
        <v>647.88</v>
      </c>
      <c r="AT199">
        <v>647.88</v>
      </c>
      <c r="AU199">
        <v>647.88</v>
      </c>
      <c r="AV199">
        <v>647.88</v>
      </c>
      <c r="AW199">
        <v>647.88</v>
      </c>
      <c r="AX199">
        <v>647.88</v>
      </c>
    </row>
    <row r="200" spans="1:50" x14ac:dyDescent="0.3">
      <c r="A200" t="s">
        <v>30</v>
      </c>
      <c r="B200">
        <v>661.1</v>
      </c>
      <c r="C200">
        <v>510</v>
      </c>
      <c r="D200">
        <v>499.49</v>
      </c>
      <c r="E200">
        <v>499.49</v>
      </c>
      <c r="F200">
        <v>496.14</v>
      </c>
      <c r="G200">
        <v>496.14</v>
      </c>
      <c r="H200">
        <v>496.14</v>
      </c>
      <c r="I200">
        <v>496.14</v>
      </c>
      <c r="J200">
        <v>496.14</v>
      </c>
      <c r="K200">
        <v>524.64</v>
      </c>
      <c r="L200">
        <v>606.54999999999995</v>
      </c>
      <c r="M200">
        <v>606.54999999999995</v>
      </c>
      <c r="N200">
        <v>606.54999999999995</v>
      </c>
      <c r="O200">
        <v>606.54999999999995</v>
      </c>
      <c r="P200">
        <v>557.88</v>
      </c>
      <c r="Q200">
        <v>647.88</v>
      </c>
      <c r="R200">
        <v>647.88</v>
      </c>
      <c r="S200">
        <v>647.88</v>
      </c>
      <c r="T200">
        <v>647.88</v>
      </c>
      <c r="U200">
        <v>647.88</v>
      </c>
      <c r="V200">
        <v>647.88</v>
      </c>
      <c r="W200">
        <v>647.88</v>
      </c>
      <c r="X200">
        <v>647.88</v>
      </c>
      <c r="Y200">
        <v>647.88</v>
      </c>
      <c r="Z200">
        <v>647.88</v>
      </c>
      <c r="AA200">
        <v>647.88</v>
      </c>
      <c r="AB200">
        <v>647.88</v>
      </c>
      <c r="AC200">
        <v>647.88</v>
      </c>
      <c r="AD200">
        <v>647.88</v>
      </c>
      <c r="AE200">
        <v>647.88</v>
      </c>
      <c r="AF200">
        <v>647.88</v>
      </c>
      <c r="AG200">
        <v>647.88</v>
      </c>
      <c r="AH200">
        <v>647.88</v>
      </c>
      <c r="AI200">
        <v>647.88</v>
      </c>
      <c r="AJ200">
        <v>647.88</v>
      </c>
      <c r="AK200">
        <v>647.88</v>
      </c>
      <c r="AL200">
        <v>647.88</v>
      </c>
      <c r="AM200">
        <v>647.88</v>
      </c>
      <c r="AN200">
        <v>647.88</v>
      </c>
      <c r="AO200">
        <v>647.88</v>
      </c>
      <c r="AP200">
        <v>647.88</v>
      </c>
      <c r="AQ200">
        <v>647.88</v>
      </c>
      <c r="AR200">
        <v>647.88</v>
      </c>
      <c r="AS200">
        <v>647.88</v>
      </c>
      <c r="AT200">
        <v>647.88</v>
      </c>
      <c r="AU200">
        <v>647.88</v>
      </c>
      <c r="AV200">
        <v>647.88</v>
      </c>
      <c r="AW200">
        <v>647.88</v>
      </c>
      <c r="AX200">
        <v>647.88</v>
      </c>
    </row>
    <row r="202" spans="1:50" x14ac:dyDescent="0.3">
      <c r="A202" t="s">
        <v>293</v>
      </c>
      <c r="C202">
        <v>7902.48</v>
      </c>
      <c r="D202">
        <v>7909.47</v>
      </c>
      <c r="E202">
        <v>7909.47</v>
      </c>
      <c r="F202">
        <v>7874.76</v>
      </c>
      <c r="G202">
        <v>7874.76</v>
      </c>
      <c r="H202">
        <v>7874.76</v>
      </c>
      <c r="I202">
        <v>7874.76</v>
      </c>
      <c r="J202">
        <v>7874.76</v>
      </c>
      <c r="K202">
        <v>7941.17</v>
      </c>
      <c r="L202">
        <v>8113.08</v>
      </c>
      <c r="M202">
        <v>8168.51</v>
      </c>
      <c r="N202">
        <v>8150.7</v>
      </c>
      <c r="O202">
        <v>8113.08</v>
      </c>
      <c r="P202">
        <v>8117.36</v>
      </c>
      <c r="Q202">
        <v>8489.84</v>
      </c>
      <c r="R202">
        <v>8757.17</v>
      </c>
      <c r="S202">
        <v>8757.17</v>
      </c>
      <c r="T202">
        <v>8815.24</v>
      </c>
      <c r="U202">
        <v>8815.24</v>
      </c>
      <c r="V202">
        <v>8916.85</v>
      </c>
      <c r="W202">
        <v>8974.92</v>
      </c>
      <c r="X202">
        <v>8974.92</v>
      </c>
      <c r="Y202">
        <v>9004.92</v>
      </c>
      <c r="Z202">
        <v>8932.33</v>
      </c>
      <c r="AA202">
        <v>8932.33</v>
      </c>
      <c r="AB202">
        <v>9206.91</v>
      </c>
      <c r="AC202">
        <v>9206.91</v>
      </c>
      <c r="AD202">
        <v>9176.91</v>
      </c>
      <c r="AE202">
        <v>9176.91</v>
      </c>
      <c r="AF202">
        <v>9176.91</v>
      </c>
      <c r="AG202">
        <v>9176.91</v>
      </c>
      <c r="AH202">
        <v>9073.41</v>
      </c>
      <c r="AI202">
        <v>9018.6200000000008</v>
      </c>
      <c r="AJ202">
        <v>9061.39</v>
      </c>
      <c r="AK202">
        <v>9121.6299999999992</v>
      </c>
      <c r="AL202">
        <v>9139.4699999999993</v>
      </c>
      <c r="AM202">
        <v>9128.9</v>
      </c>
      <c r="AN202">
        <v>9128.9</v>
      </c>
      <c r="AO202">
        <v>9121.4500000000007</v>
      </c>
      <c r="AP202">
        <v>8955.89</v>
      </c>
      <c r="AQ202">
        <v>8915.33</v>
      </c>
      <c r="AR202">
        <v>8915.33</v>
      </c>
      <c r="AS202">
        <v>8800.7199999999993</v>
      </c>
      <c r="AT202">
        <v>8699.1</v>
      </c>
      <c r="AU202">
        <v>8553.94</v>
      </c>
      <c r="AV202">
        <v>8553.94</v>
      </c>
      <c r="AW202">
        <v>8553.94</v>
      </c>
      <c r="AX202">
        <v>8553.94</v>
      </c>
    </row>
    <row r="203" spans="1:50" x14ac:dyDescent="0.3">
      <c r="A203" t="s">
        <v>294</v>
      </c>
      <c r="C203">
        <v>4024.89</v>
      </c>
      <c r="D203">
        <v>3961.51</v>
      </c>
      <c r="E203">
        <v>3925.51</v>
      </c>
      <c r="F203">
        <v>3892.16</v>
      </c>
      <c r="G203">
        <v>3859.18</v>
      </c>
      <c r="H203">
        <v>3846</v>
      </c>
      <c r="I203">
        <v>3847.91</v>
      </c>
      <c r="J203">
        <v>3884.23</v>
      </c>
      <c r="K203">
        <v>4046.9</v>
      </c>
      <c r="L203">
        <v>4253.1099999999997</v>
      </c>
      <c r="M203">
        <v>4416</v>
      </c>
      <c r="N203">
        <v>4325.24</v>
      </c>
      <c r="O203">
        <v>4173.13</v>
      </c>
      <c r="P203">
        <v>4197.1000000000004</v>
      </c>
      <c r="Q203">
        <v>4402.97</v>
      </c>
      <c r="R203">
        <v>4594.43</v>
      </c>
      <c r="S203">
        <v>4801.6099999999997</v>
      </c>
      <c r="T203">
        <v>4871.07</v>
      </c>
      <c r="U203">
        <v>4981.54</v>
      </c>
      <c r="V203">
        <v>5008.8900000000003</v>
      </c>
      <c r="W203">
        <v>5061.2</v>
      </c>
      <c r="X203">
        <v>5072.43</v>
      </c>
      <c r="Y203">
        <v>5016.28</v>
      </c>
      <c r="Z203">
        <v>4852.34</v>
      </c>
      <c r="AA203">
        <v>4893.07</v>
      </c>
      <c r="AB203">
        <v>5043.49</v>
      </c>
      <c r="AC203">
        <v>5228.9399999999996</v>
      </c>
      <c r="AD203">
        <v>5252.37</v>
      </c>
      <c r="AE203">
        <v>5248.98</v>
      </c>
      <c r="AF203">
        <v>5237.67</v>
      </c>
      <c r="AG203">
        <v>5232.59</v>
      </c>
      <c r="AH203">
        <v>5143.01</v>
      </c>
      <c r="AI203">
        <v>5095.42</v>
      </c>
      <c r="AJ203">
        <v>5131.6099999999997</v>
      </c>
      <c r="AK203">
        <v>5336.92</v>
      </c>
      <c r="AL203">
        <v>5731.81</v>
      </c>
      <c r="AM203">
        <v>5684.07</v>
      </c>
      <c r="AN203">
        <v>5638.51</v>
      </c>
      <c r="AO203">
        <v>5572.57</v>
      </c>
      <c r="AP203">
        <v>5528.74</v>
      </c>
      <c r="AQ203">
        <v>5439.44</v>
      </c>
      <c r="AR203">
        <v>5285.03</v>
      </c>
      <c r="AS203">
        <v>5126.8</v>
      </c>
      <c r="AT203">
        <v>4955.53</v>
      </c>
      <c r="AU203">
        <v>4808.6899999999996</v>
      </c>
      <c r="AV203">
        <v>4664.21</v>
      </c>
      <c r="AW203">
        <v>4541.8500000000004</v>
      </c>
      <c r="AX203">
        <v>4405.8900000000003</v>
      </c>
    </row>
    <row r="205" spans="1:50" x14ac:dyDescent="0.3">
      <c r="A205" t="s">
        <v>355</v>
      </c>
    </row>
    <row r="206" spans="1:50" x14ac:dyDescent="0.3">
      <c r="C206" t="s">
        <v>253</v>
      </c>
      <c r="D206" t="s">
        <v>253</v>
      </c>
      <c r="E206" t="s">
        <v>253</v>
      </c>
      <c r="F206" t="s">
        <v>253</v>
      </c>
      <c r="G206" t="s">
        <v>253</v>
      </c>
      <c r="H206" t="s">
        <v>253</v>
      </c>
      <c r="I206" t="s">
        <v>253</v>
      </c>
      <c r="J206" t="s">
        <v>253</v>
      </c>
      <c r="K206" t="s">
        <v>253</v>
      </c>
      <c r="L206" t="s">
        <v>253</v>
      </c>
      <c r="M206" t="s">
        <v>253</v>
      </c>
      <c r="N206" t="s">
        <v>253</v>
      </c>
      <c r="O206" t="s">
        <v>253</v>
      </c>
      <c r="P206" t="s">
        <v>253</v>
      </c>
      <c r="Q206" t="s">
        <v>253</v>
      </c>
      <c r="R206" t="s">
        <v>253</v>
      </c>
      <c r="S206" t="s">
        <v>253</v>
      </c>
      <c r="T206" t="s">
        <v>253</v>
      </c>
      <c r="U206" t="s">
        <v>253</v>
      </c>
      <c r="V206" t="s">
        <v>253</v>
      </c>
      <c r="W206" t="s">
        <v>253</v>
      </c>
      <c r="X206" t="s">
        <v>253</v>
      </c>
      <c r="Y206" t="s">
        <v>253</v>
      </c>
      <c r="Z206" t="s">
        <v>253</v>
      </c>
      <c r="AA206" t="s">
        <v>253</v>
      </c>
      <c r="AB206" t="s">
        <v>253</v>
      </c>
      <c r="AC206" t="s">
        <v>253</v>
      </c>
      <c r="AD206" t="s">
        <v>253</v>
      </c>
      <c r="AE206" t="s">
        <v>253</v>
      </c>
      <c r="AF206" t="s">
        <v>253</v>
      </c>
      <c r="AG206" t="s">
        <v>253</v>
      </c>
      <c r="AH206" t="s">
        <v>253</v>
      </c>
      <c r="AI206" t="s">
        <v>253</v>
      </c>
      <c r="AJ206" t="s">
        <v>253</v>
      </c>
      <c r="AK206" t="s">
        <v>253</v>
      </c>
      <c r="AL206" t="s">
        <v>253</v>
      </c>
      <c r="AM206" t="s">
        <v>253</v>
      </c>
      <c r="AN206" t="s">
        <v>253</v>
      </c>
      <c r="AO206" t="s">
        <v>253</v>
      </c>
      <c r="AP206" t="s">
        <v>253</v>
      </c>
      <c r="AQ206" t="s">
        <v>253</v>
      </c>
      <c r="AR206" t="s">
        <v>253</v>
      </c>
      <c r="AS206" t="s">
        <v>253</v>
      </c>
      <c r="AT206" t="s">
        <v>253</v>
      </c>
      <c r="AU206" t="s">
        <v>253</v>
      </c>
      <c r="AV206" t="s">
        <v>253</v>
      </c>
      <c r="AW206" t="s">
        <v>253</v>
      </c>
      <c r="AX206" t="s">
        <v>253</v>
      </c>
    </row>
    <row r="208" spans="1:50" x14ac:dyDescent="0.3">
      <c r="A208" t="s">
        <v>356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9.3800000000000008</v>
      </c>
      <c r="U208">
        <v>28.9</v>
      </c>
      <c r="V208">
        <v>30</v>
      </c>
      <c r="W208">
        <v>30</v>
      </c>
      <c r="X208">
        <v>30</v>
      </c>
      <c r="Y208">
        <v>30</v>
      </c>
      <c r="Z208">
        <v>30</v>
      </c>
      <c r="AA208">
        <v>30</v>
      </c>
      <c r="AB208">
        <v>30</v>
      </c>
      <c r="AC208">
        <v>30</v>
      </c>
      <c r="AD208">
        <v>30</v>
      </c>
      <c r="AE208">
        <v>30</v>
      </c>
      <c r="AF208">
        <v>30</v>
      </c>
      <c r="AG208">
        <v>30</v>
      </c>
      <c r="AH208">
        <v>30</v>
      </c>
      <c r="AI208">
        <v>30</v>
      </c>
      <c r="AJ208">
        <v>30</v>
      </c>
      <c r="AK208">
        <v>30</v>
      </c>
      <c r="AL208">
        <v>30</v>
      </c>
      <c r="AM208">
        <v>30</v>
      </c>
      <c r="AN208">
        <v>30</v>
      </c>
      <c r="AO208">
        <v>30</v>
      </c>
      <c r="AP208">
        <v>30</v>
      </c>
      <c r="AQ208">
        <v>30</v>
      </c>
      <c r="AR208">
        <v>30</v>
      </c>
      <c r="AS208">
        <v>30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">
      <c r="A209" t="s">
        <v>357</v>
      </c>
      <c r="C209">
        <v>154.94999999999999</v>
      </c>
      <c r="D209">
        <v>154.94999999999999</v>
      </c>
      <c r="E209">
        <v>154.94999999999999</v>
      </c>
      <c r="F209">
        <v>154.94999999999999</v>
      </c>
      <c r="G209">
        <v>154.94999999999999</v>
      </c>
      <c r="H209">
        <v>154.94999999999999</v>
      </c>
      <c r="I209">
        <v>154.94999999999999</v>
      </c>
      <c r="J209">
        <v>154.94999999999999</v>
      </c>
      <c r="K209">
        <v>154.94999999999999</v>
      </c>
      <c r="L209">
        <v>154.94999999999999</v>
      </c>
      <c r="M209">
        <v>154.94999999999999</v>
      </c>
      <c r="N209">
        <v>154.94999999999999</v>
      </c>
      <c r="O209">
        <v>154.94999999999999</v>
      </c>
      <c r="P209">
        <v>174.12</v>
      </c>
      <c r="Q209">
        <v>259.56</v>
      </c>
      <c r="R209">
        <v>288.31</v>
      </c>
      <c r="S209">
        <v>287.55</v>
      </c>
      <c r="T209">
        <v>287.5</v>
      </c>
      <c r="U209">
        <v>287.31</v>
      </c>
      <c r="V209">
        <v>287.18</v>
      </c>
      <c r="W209">
        <v>287.17</v>
      </c>
      <c r="X209">
        <v>286.94</v>
      </c>
      <c r="Y209">
        <v>287.27</v>
      </c>
      <c r="Z209">
        <v>287.98</v>
      </c>
      <c r="AA209">
        <v>287.75</v>
      </c>
      <c r="AB209">
        <v>287.05</v>
      </c>
      <c r="AC209">
        <v>286.31</v>
      </c>
      <c r="AD209">
        <v>286.33999999999997</v>
      </c>
      <c r="AE209">
        <v>286.08</v>
      </c>
      <c r="AF209">
        <v>286.04000000000002</v>
      </c>
      <c r="AG209">
        <v>286.08999999999997</v>
      </c>
      <c r="AH209">
        <v>286.06</v>
      </c>
      <c r="AI209">
        <v>286.29000000000002</v>
      </c>
      <c r="AJ209">
        <v>285.72000000000003</v>
      </c>
      <c r="AK209">
        <v>284.45</v>
      </c>
      <c r="AL209">
        <v>284.12</v>
      </c>
      <c r="AM209">
        <v>284.45</v>
      </c>
      <c r="AN209">
        <v>284.63</v>
      </c>
      <c r="AO209">
        <v>285</v>
      </c>
      <c r="AP209">
        <v>285.35000000000002</v>
      </c>
      <c r="AQ209">
        <v>285.76</v>
      </c>
      <c r="AR209">
        <v>286.48</v>
      </c>
      <c r="AS209">
        <v>242.98</v>
      </c>
      <c r="AT209">
        <v>154.94999999999999</v>
      </c>
      <c r="AU209">
        <v>154.94999999999999</v>
      </c>
      <c r="AV209">
        <v>154.94999999999999</v>
      </c>
      <c r="AW209">
        <v>154.94999999999999</v>
      </c>
      <c r="AX209">
        <v>154.94999999999999</v>
      </c>
    </row>
    <row r="210" spans="1:50" x14ac:dyDescent="0.3">
      <c r="A210" t="s">
        <v>358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">
      <c r="C211" t="s">
        <v>282</v>
      </c>
      <c r="D211" t="s">
        <v>282</v>
      </c>
      <c r="E211" t="s">
        <v>282</v>
      </c>
      <c r="F211" t="s">
        <v>282</v>
      </c>
      <c r="G211" t="s">
        <v>282</v>
      </c>
      <c r="H211" t="s">
        <v>282</v>
      </c>
      <c r="I211" t="s">
        <v>282</v>
      </c>
      <c r="J211" t="s">
        <v>282</v>
      </c>
      <c r="K211" t="s">
        <v>282</v>
      </c>
      <c r="L211" t="s">
        <v>282</v>
      </c>
      <c r="M211" t="s">
        <v>282</v>
      </c>
      <c r="N211" t="s">
        <v>282</v>
      </c>
      <c r="O211" t="s">
        <v>282</v>
      </c>
      <c r="P211" t="s">
        <v>282</v>
      </c>
      <c r="Q211" t="s">
        <v>282</v>
      </c>
      <c r="R211" t="s">
        <v>282</v>
      </c>
      <c r="S211" t="s">
        <v>282</v>
      </c>
      <c r="T211" t="s">
        <v>282</v>
      </c>
      <c r="U211" t="s">
        <v>282</v>
      </c>
      <c r="V211" t="s">
        <v>282</v>
      </c>
      <c r="W211" t="s">
        <v>282</v>
      </c>
      <c r="X211" t="s">
        <v>282</v>
      </c>
      <c r="Y211" t="s">
        <v>282</v>
      </c>
      <c r="Z211" t="s">
        <v>282</v>
      </c>
      <c r="AA211" t="s">
        <v>282</v>
      </c>
      <c r="AB211" t="s">
        <v>282</v>
      </c>
      <c r="AC211" t="s">
        <v>282</v>
      </c>
      <c r="AD211" t="s">
        <v>282</v>
      </c>
      <c r="AE211" t="s">
        <v>282</v>
      </c>
      <c r="AF211" t="s">
        <v>282</v>
      </c>
      <c r="AG211" t="s">
        <v>282</v>
      </c>
      <c r="AH211" t="s">
        <v>282</v>
      </c>
      <c r="AI211" t="s">
        <v>282</v>
      </c>
      <c r="AJ211" t="s">
        <v>282</v>
      </c>
      <c r="AK211" t="s">
        <v>282</v>
      </c>
      <c r="AL211" t="s">
        <v>282</v>
      </c>
      <c r="AM211" t="s">
        <v>282</v>
      </c>
      <c r="AN211" t="s">
        <v>282</v>
      </c>
      <c r="AO211" t="s">
        <v>282</v>
      </c>
      <c r="AP211" t="s">
        <v>282</v>
      </c>
      <c r="AQ211" t="s">
        <v>282</v>
      </c>
      <c r="AR211" t="s">
        <v>282</v>
      </c>
      <c r="AS211" t="s">
        <v>282</v>
      </c>
      <c r="AT211" t="s">
        <v>282</v>
      </c>
      <c r="AU211" t="s">
        <v>282</v>
      </c>
      <c r="AV211" t="s">
        <v>282</v>
      </c>
      <c r="AW211" t="s">
        <v>282</v>
      </c>
      <c r="AX211" t="s">
        <v>282</v>
      </c>
    </row>
    <row r="213" spans="1:50" x14ac:dyDescent="0.3">
      <c r="A213" t="s">
        <v>359</v>
      </c>
      <c r="C213">
        <v>19</v>
      </c>
      <c r="D213">
        <v>19</v>
      </c>
      <c r="E213">
        <v>19</v>
      </c>
      <c r="F213">
        <v>19</v>
      </c>
      <c r="G213">
        <v>19</v>
      </c>
      <c r="H213">
        <v>19</v>
      </c>
      <c r="I213">
        <v>19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</v>
      </c>
      <c r="P213">
        <v>1</v>
      </c>
      <c r="Q213">
        <v>1</v>
      </c>
      <c r="R213">
        <v>1</v>
      </c>
      <c r="S213">
        <v>9</v>
      </c>
      <c r="T213">
        <v>9</v>
      </c>
      <c r="U213">
        <v>9</v>
      </c>
      <c r="V213">
        <v>20</v>
      </c>
      <c r="W213">
        <v>20</v>
      </c>
      <c r="X213">
        <v>20</v>
      </c>
      <c r="Y213">
        <v>20</v>
      </c>
      <c r="Z213">
        <v>19</v>
      </c>
      <c r="AA213">
        <v>19</v>
      </c>
      <c r="AB213">
        <v>19</v>
      </c>
      <c r="AC213">
        <v>20</v>
      </c>
      <c r="AD213">
        <v>20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21</v>
      </c>
      <c r="AL213">
        <v>21</v>
      </c>
      <c r="AM213">
        <v>21</v>
      </c>
      <c r="AN213">
        <v>21</v>
      </c>
      <c r="AO213">
        <v>21</v>
      </c>
      <c r="AP213">
        <v>19</v>
      </c>
      <c r="AQ213">
        <v>19</v>
      </c>
      <c r="AR213">
        <v>19</v>
      </c>
      <c r="AS213">
        <v>19</v>
      </c>
      <c r="AT213">
        <v>19</v>
      </c>
      <c r="AU213">
        <v>19</v>
      </c>
      <c r="AV213">
        <v>19</v>
      </c>
      <c r="AW213">
        <v>19</v>
      </c>
      <c r="AX213">
        <v>19</v>
      </c>
    </row>
    <row r="214" spans="1:50" x14ac:dyDescent="0.3">
      <c r="A214" t="s">
        <v>360</v>
      </c>
      <c r="C214">
        <v>33</v>
      </c>
      <c r="D214">
        <v>33</v>
      </c>
      <c r="E214">
        <v>33</v>
      </c>
      <c r="F214">
        <v>32</v>
      </c>
      <c r="G214">
        <v>33</v>
      </c>
      <c r="H214">
        <v>31</v>
      </c>
      <c r="I214">
        <v>31</v>
      </c>
      <c r="J214">
        <v>33</v>
      </c>
      <c r="K214">
        <v>33</v>
      </c>
      <c r="L214">
        <v>33</v>
      </c>
      <c r="M214">
        <v>33</v>
      </c>
      <c r="N214">
        <v>33</v>
      </c>
      <c r="O214">
        <v>32</v>
      </c>
      <c r="P214">
        <v>32</v>
      </c>
      <c r="Q214">
        <v>33</v>
      </c>
      <c r="R214">
        <v>33</v>
      </c>
      <c r="S214">
        <v>33</v>
      </c>
      <c r="T214">
        <v>33</v>
      </c>
      <c r="U214">
        <v>33</v>
      </c>
      <c r="V214">
        <v>33</v>
      </c>
      <c r="W214">
        <v>33</v>
      </c>
      <c r="X214">
        <v>33</v>
      </c>
      <c r="Y214">
        <v>32</v>
      </c>
      <c r="Z214">
        <v>33</v>
      </c>
      <c r="AA214">
        <v>33</v>
      </c>
      <c r="AB214">
        <v>33</v>
      </c>
      <c r="AC214">
        <v>33</v>
      </c>
      <c r="AD214">
        <v>33</v>
      </c>
      <c r="AE214">
        <v>33</v>
      </c>
      <c r="AF214">
        <v>33</v>
      </c>
      <c r="AG214">
        <v>33</v>
      </c>
      <c r="AH214">
        <v>33</v>
      </c>
      <c r="AI214">
        <v>33</v>
      </c>
      <c r="AJ214">
        <v>37</v>
      </c>
      <c r="AK214">
        <v>37</v>
      </c>
      <c r="AL214">
        <v>38</v>
      </c>
      <c r="AM214">
        <v>38</v>
      </c>
      <c r="AN214">
        <v>38</v>
      </c>
      <c r="AO214">
        <v>37</v>
      </c>
      <c r="AP214">
        <v>38</v>
      </c>
      <c r="AQ214">
        <v>39</v>
      </c>
      <c r="AR214">
        <v>38</v>
      </c>
      <c r="AS214">
        <v>39</v>
      </c>
      <c r="AT214">
        <v>39</v>
      </c>
      <c r="AU214">
        <v>39</v>
      </c>
      <c r="AV214">
        <v>38</v>
      </c>
      <c r="AW214">
        <v>38</v>
      </c>
      <c r="AX214">
        <v>39</v>
      </c>
    </row>
    <row r="216" spans="1:50" x14ac:dyDescent="0.3">
      <c r="A216" t="s">
        <v>361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30</v>
      </c>
      <c r="AK216">
        <v>30</v>
      </c>
      <c r="AL216">
        <v>30</v>
      </c>
      <c r="AM216">
        <v>29</v>
      </c>
      <c r="AN216">
        <v>30</v>
      </c>
      <c r="AO216">
        <v>29</v>
      </c>
      <c r="AP216">
        <v>29</v>
      </c>
      <c r="AQ216">
        <v>30</v>
      </c>
      <c r="AR216">
        <v>29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8" spans="1:50" x14ac:dyDescent="0.3">
      <c r="A218" t="s">
        <v>362</v>
      </c>
      <c r="B218">
        <v>80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">
      <c r="A219" t="s">
        <v>363</v>
      </c>
      <c r="B219">
        <v>80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">
      <c r="A220" t="s">
        <v>364</v>
      </c>
      <c r="B220">
        <v>166.5</v>
      </c>
      <c r="C220">
        <v>93</v>
      </c>
      <c r="D220">
        <v>93</v>
      </c>
      <c r="E220">
        <v>93</v>
      </c>
      <c r="F220">
        <v>93</v>
      </c>
      <c r="G220">
        <v>93</v>
      </c>
      <c r="H220">
        <v>93</v>
      </c>
      <c r="I220">
        <v>93</v>
      </c>
      <c r="J220">
        <v>93</v>
      </c>
      <c r="K220">
        <v>93</v>
      </c>
      <c r="L220">
        <v>93</v>
      </c>
      <c r="M220">
        <v>93</v>
      </c>
      <c r="N220">
        <v>93</v>
      </c>
      <c r="O220">
        <v>93</v>
      </c>
      <c r="P220">
        <v>93</v>
      </c>
      <c r="Q220">
        <v>93</v>
      </c>
      <c r="R220">
        <v>93</v>
      </c>
      <c r="S220">
        <v>93</v>
      </c>
      <c r="T220">
        <v>93</v>
      </c>
      <c r="U220">
        <v>93</v>
      </c>
      <c r="V220">
        <v>93</v>
      </c>
      <c r="W220">
        <v>93</v>
      </c>
      <c r="X220">
        <v>93</v>
      </c>
      <c r="Y220">
        <v>93</v>
      </c>
      <c r="Z220">
        <v>93</v>
      </c>
      <c r="AA220">
        <v>93</v>
      </c>
      <c r="AB220">
        <v>93</v>
      </c>
      <c r="AC220">
        <v>93</v>
      </c>
      <c r="AD220">
        <v>93</v>
      </c>
      <c r="AE220">
        <v>93</v>
      </c>
      <c r="AF220">
        <v>93</v>
      </c>
      <c r="AG220">
        <v>93</v>
      </c>
      <c r="AH220">
        <v>93</v>
      </c>
      <c r="AI220">
        <v>93</v>
      </c>
      <c r="AJ220">
        <v>93</v>
      </c>
      <c r="AK220">
        <v>93</v>
      </c>
      <c r="AL220">
        <v>93</v>
      </c>
      <c r="AM220">
        <v>93</v>
      </c>
      <c r="AN220">
        <v>93</v>
      </c>
      <c r="AO220">
        <v>93</v>
      </c>
      <c r="AP220">
        <v>93</v>
      </c>
      <c r="AQ220">
        <v>93</v>
      </c>
      <c r="AR220">
        <v>93</v>
      </c>
      <c r="AS220">
        <v>93</v>
      </c>
      <c r="AT220">
        <v>93</v>
      </c>
      <c r="AU220">
        <v>93</v>
      </c>
      <c r="AV220">
        <v>93</v>
      </c>
      <c r="AW220">
        <v>93</v>
      </c>
      <c r="AX220">
        <v>93</v>
      </c>
    </row>
    <row r="221" spans="1:50" x14ac:dyDescent="0.3">
      <c r="A221" t="s">
        <v>365</v>
      </c>
      <c r="B221">
        <v>166.5</v>
      </c>
      <c r="C221">
        <v>93</v>
      </c>
      <c r="D221">
        <v>93</v>
      </c>
      <c r="E221">
        <v>93</v>
      </c>
      <c r="F221">
        <v>93</v>
      </c>
      <c r="G221">
        <v>93</v>
      </c>
      <c r="H221">
        <v>93</v>
      </c>
      <c r="I221">
        <v>93</v>
      </c>
      <c r="J221">
        <v>93</v>
      </c>
      <c r="K221">
        <v>93</v>
      </c>
      <c r="L221">
        <v>93</v>
      </c>
      <c r="M221">
        <v>93</v>
      </c>
      <c r="N221">
        <v>93</v>
      </c>
      <c r="O221">
        <v>93</v>
      </c>
      <c r="P221">
        <v>93</v>
      </c>
      <c r="Q221">
        <v>93</v>
      </c>
      <c r="R221">
        <v>93</v>
      </c>
      <c r="S221">
        <v>93</v>
      </c>
      <c r="T221">
        <v>93</v>
      </c>
      <c r="U221">
        <v>93</v>
      </c>
      <c r="V221">
        <v>93</v>
      </c>
      <c r="W221">
        <v>93</v>
      </c>
      <c r="X221">
        <v>93</v>
      </c>
      <c r="Y221">
        <v>93</v>
      </c>
      <c r="Z221">
        <v>93</v>
      </c>
      <c r="AA221">
        <v>93</v>
      </c>
      <c r="AB221">
        <v>93</v>
      </c>
      <c r="AC221">
        <v>93</v>
      </c>
      <c r="AD221">
        <v>93</v>
      </c>
      <c r="AE221">
        <v>93</v>
      </c>
      <c r="AF221">
        <v>93</v>
      </c>
      <c r="AG221">
        <v>93</v>
      </c>
      <c r="AH221">
        <v>93</v>
      </c>
      <c r="AI221">
        <v>93</v>
      </c>
      <c r="AJ221">
        <v>93</v>
      </c>
      <c r="AK221">
        <v>93</v>
      </c>
      <c r="AL221">
        <v>93</v>
      </c>
      <c r="AM221">
        <v>93</v>
      </c>
      <c r="AN221">
        <v>93</v>
      </c>
      <c r="AO221">
        <v>93</v>
      </c>
      <c r="AP221">
        <v>93</v>
      </c>
      <c r="AQ221">
        <v>93</v>
      </c>
      <c r="AR221">
        <v>93</v>
      </c>
      <c r="AS221">
        <v>93</v>
      </c>
      <c r="AT221">
        <v>93</v>
      </c>
      <c r="AU221">
        <v>93</v>
      </c>
      <c r="AV221">
        <v>93</v>
      </c>
      <c r="AW221">
        <v>93</v>
      </c>
      <c r="AX221">
        <v>93</v>
      </c>
    </row>
    <row r="223" spans="1:50" x14ac:dyDescent="0.3">
      <c r="A223" t="s">
        <v>54</v>
      </c>
      <c r="B223">
        <v>370</v>
      </c>
      <c r="C223">
        <v>275</v>
      </c>
      <c r="D223">
        <v>275</v>
      </c>
      <c r="E223">
        <v>275</v>
      </c>
      <c r="F223">
        <v>275</v>
      </c>
      <c r="G223">
        <v>275</v>
      </c>
      <c r="H223">
        <v>275</v>
      </c>
      <c r="I223">
        <v>275</v>
      </c>
      <c r="J223">
        <v>275</v>
      </c>
      <c r="K223">
        <v>275</v>
      </c>
      <c r="L223">
        <v>275</v>
      </c>
      <c r="M223">
        <v>275</v>
      </c>
      <c r="N223">
        <v>275</v>
      </c>
      <c r="O223">
        <v>275</v>
      </c>
      <c r="P223">
        <v>275</v>
      </c>
      <c r="Q223">
        <v>275</v>
      </c>
      <c r="R223">
        <v>275</v>
      </c>
      <c r="S223">
        <v>275</v>
      </c>
      <c r="T223">
        <v>275</v>
      </c>
      <c r="U223">
        <v>275</v>
      </c>
      <c r="V223">
        <v>275</v>
      </c>
      <c r="W223">
        <v>275</v>
      </c>
      <c r="X223">
        <v>275</v>
      </c>
      <c r="Y223">
        <v>275</v>
      </c>
      <c r="Z223">
        <v>275</v>
      </c>
      <c r="AA223">
        <v>275</v>
      </c>
      <c r="AB223">
        <v>340</v>
      </c>
      <c r="AC223">
        <v>340</v>
      </c>
      <c r="AD223">
        <v>340</v>
      </c>
      <c r="AE223">
        <v>340</v>
      </c>
      <c r="AF223">
        <v>340</v>
      </c>
      <c r="AG223">
        <v>340</v>
      </c>
      <c r="AH223">
        <v>340</v>
      </c>
      <c r="AI223">
        <v>340</v>
      </c>
      <c r="AJ223">
        <v>340</v>
      </c>
      <c r="AK223">
        <v>340</v>
      </c>
      <c r="AL223">
        <v>340</v>
      </c>
      <c r="AM223">
        <v>340</v>
      </c>
      <c r="AN223">
        <v>340</v>
      </c>
      <c r="AO223">
        <v>340</v>
      </c>
      <c r="AP223">
        <v>275</v>
      </c>
      <c r="AQ223">
        <v>275</v>
      </c>
      <c r="AR223">
        <v>275</v>
      </c>
      <c r="AS223">
        <v>275</v>
      </c>
      <c r="AT223">
        <v>275</v>
      </c>
      <c r="AU223">
        <v>275</v>
      </c>
      <c r="AV223">
        <v>275</v>
      </c>
      <c r="AW223">
        <v>275</v>
      </c>
      <c r="AX223">
        <v>275</v>
      </c>
    </row>
    <row r="224" spans="1:50" x14ac:dyDescent="0.3">
      <c r="A224" t="s">
        <v>57</v>
      </c>
      <c r="B224">
        <v>370</v>
      </c>
      <c r="C224">
        <v>275</v>
      </c>
      <c r="D224">
        <v>275</v>
      </c>
      <c r="E224">
        <v>275</v>
      </c>
      <c r="F224">
        <v>275</v>
      </c>
      <c r="G224">
        <v>275</v>
      </c>
      <c r="H224">
        <v>275</v>
      </c>
      <c r="I224">
        <v>275</v>
      </c>
      <c r="J224">
        <v>275</v>
      </c>
      <c r="K224">
        <v>275</v>
      </c>
      <c r="L224">
        <v>275</v>
      </c>
      <c r="M224">
        <v>275</v>
      </c>
      <c r="N224">
        <v>275</v>
      </c>
      <c r="O224">
        <v>275</v>
      </c>
      <c r="P224">
        <v>275</v>
      </c>
      <c r="Q224">
        <v>275</v>
      </c>
      <c r="R224">
        <v>275</v>
      </c>
      <c r="S224">
        <v>275</v>
      </c>
      <c r="T224">
        <v>275</v>
      </c>
      <c r="U224">
        <v>275</v>
      </c>
      <c r="V224">
        <v>275</v>
      </c>
      <c r="W224">
        <v>275</v>
      </c>
      <c r="X224">
        <v>275</v>
      </c>
      <c r="Y224">
        <v>275</v>
      </c>
      <c r="Z224">
        <v>275</v>
      </c>
      <c r="AA224">
        <v>275</v>
      </c>
      <c r="AB224">
        <v>340</v>
      </c>
      <c r="AC224">
        <v>340</v>
      </c>
      <c r="AD224">
        <v>340</v>
      </c>
      <c r="AE224">
        <v>340</v>
      </c>
      <c r="AF224">
        <v>340</v>
      </c>
      <c r="AG224">
        <v>340</v>
      </c>
      <c r="AH224">
        <v>340</v>
      </c>
      <c r="AI224">
        <v>340</v>
      </c>
      <c r="AJ224">
        <v>340</v>
      </c>
      <c r="AK224">
        <v>340</v>
      </c>
      <c r="AL224">
        <v>340</v>
      </c>
      <c r="AM224">
        <v>340</v>
      </c>
      <c r="AN224">
        <v>340</v>
      </c>
      <c r="AO224">
        <v>340</v>
      </c>
      <c r="AP224">
        <v>275</v>
      </c>
      <c r="AQ224">
        <v>275</v>
      </c>
      <c r="AR224">
        <v>275</v>
      </c>
      <c r="AS224">
        <v>275</v>
      </c>
      <c r="AT224">
        <v>275</v>
      </c>
      <c r="AU224">
        <v>275</v>
      </c>
      <c r="AV224">
        <v>275</v>
      </c>
      <c r="AW224">
        <v>275</v>
      </c>
      <c r="AX224">
        <v>275</v>
      </c>
    </row>
    <row r="226" spans="1:50" x14ac:dyDescent="0.3">
      <c r="A226" t="s">
        <v>366</v>
      </c>
      <c r="B226">
        <v>15.5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3">
      <c r="A227" t="s">
        <v>367</v>
      </c>
      <c r="B227">
        <v>15.5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9" spans="1:50" x14ac:dyDescent="0.3">
      <c r="A229" t="s">
        <v>368</v>
      </c>
      <c r="C229">
        <v>242.25</v>
      </c>
      <c r="D229">
        <v>242.25</v>
      </c>
      <c r="E229">
        <v>242.25</v>
      </c>
      <c r="F229">
        <v>242.25</v>
      </c>
      <c r="G229">
        <v>242.25</v>
      </c>
      <c r="H229">
        <v>242.25</v>
      </c>
      <c r="I229">
        <v>242.25</v>
      </c>
      <c r="J229">
        <v>242.25</v>
      </c>
      <c r="K229">
        <v>242.25</v>
      </c>
      <c r="L229">
        <v>242.25</v>
      </c>
      <c r="M229">
        <v>242.25</v>
      </c>
      <c r="N229">
        <v>242.25</v>
      </c>
      <c r="O229">
        <v>254.99</v>
      </c>
      <c r="P229">
        <v>280.47000000000003</v>
      </c>
      <c r="Q229">
        <v>326.17</v>
      </c>
      <c r="R229">
        <v>326.17</v>
      </c>
      <c r="S229">
        <v>326.17</v>
      </c>
      <c r="T229">
        <v>326.17</v>
      </c>
      <c r="U229">
        <v>326.17</v>
      </c>
      <c r="V229">
        <v>326.17</v>
      </c>
      <c r="W229">
        <v>326.17</v>
      </c>
      <c r="X229">
        <v>326.17</v>
      </c>
      <c r="Y229">
        <v>326.17</v>
      </c>
      <c r="Z229">
        <v>326.17</v>
      </c>
      <c r="AA229">
        <v>326.17</v>
      </c>
      <c r="AB229">
        <v>326.17</v>
      </c>
      <c r="AC229">
        <v>326.17</v>
      </c>
      <c r="AD229">
        <v>326.17</v>
      </c>
      <c r="AE229">
        <v>326.17</v>
      </c>
      <c r="AF229">
        <v>326.17</v>
      </c>
      <c r="AG229">
        <v>326.17</v>
      </c>
      <c r="AH229">
        <v>326.17</v>
      </c>
      <c r="AI229">
        <v>326.17</v>
      </c>
      <c r="AJ229">
        <v>326.17</v>
      </c>
      <c r="AK229">
        <v>326.17</v>
      </c>
      <c r="AL229">
        <v>326.17</v>
      </c>
      <c r="AM229">
        <v>326.17</v>
      </c>
      <c r="AN229">
        <v>326.17</v>
      </c>
      <c r="AO229">
        <v>326.17</v>
      </c>
      <c r="AP229">
        <v>326.17</v>
      </c>
      <c r="AQ229">
        <v>326.17</v>
      </c>
      <c r="AR229">
        <v>326.17</v>
      </c>
      <c r="AS229">
        <v>326.17</v>
      </c>
      <c r="AT229">
        <v>274.98</v>
      </c>
      <c r="AU229">
        <v>242.25</v>
      </c>
      <c r="AV229">
        <v>242.25</v>
      </c>
      <c r="AW229">
        <v>242.25</v>
      </c>
      <c r="AX229">
        <v>242.25</v>
      </c>
    </row>
    <row r="230" spans="1:50" x14ac:dyDescent="0.3">
      <c r="A230" t="s">
        <v>369</v>
      </c>
      <c r="C230">
        <v>155</v>
      </c>
      <c r="D230">
        <v>155</v>
      </c>
      <c r="E230">
        <v>155</v>
      </c>
      <c r="F230">
        <v>155</v>
      </c>
      <c r="G230">
        <v>155</v>
      </c>
      <c r="H230">
        <v>155</v>
      </c>
      <c r="I230">
        <v>155</v>
      </c>
      <c r="J230">
        <v>155</v>
      </c>
      <c r="K230">
        <v>155</v>
      </c>
      <c r="L230">
        <v>155</v>
      </c>
      <c r="M230">
        <v>155</v>
      </c>
      <c r="N230">
        <v>155</v>
      </c>
      <c r="O230">
        <v>155</v>
      </c>
      <c r="P230">
        <v>155</v>
      </c>
      <c r="Q230">
        <v>155</v>
      </c>
      <c r="R230">
        <v>220.25</v>
      </c>
      <c r="S230">
        <v>237.15</v>
      </c>
      <c r="T230">
        <v>302.39999999999998</v>
      </c>
      <c r="U230">
        <v>319.3</v>
      </c>
      <c r="V230">
        <v>319.3</v>
      </c>
      <c r="W230">
        <v>319.3</v>
      </c>
      <c r="X230">
        <v>319.3</v>
      </c>
      <c r="Y230">
        <v>319.3</v>
      </c>
      <c r="Z230">
        <v>319.3</v>
      </c>
      <c r="AA230">
        <v>319.3</v>
      </c>
      <c r="AB230">
        <v>319.3</v>
      </c>
      <c r="AC230">
        <v>319.3</v>
      </c>
      <c r="AD230">
        <v>319.3</v>
      </c>
      <c r="AE230">
        <v>319.3</v>
      </c>
      <c r="AF230">
        <v>319.3</v>
      </c>
      <c r="AG230">
        <v>319.3</v>
      </c>
      <c r="AH230">
        <v>319.3</v>
      </c>
      <c r="AI230">
        <v>319.3</v>
      </c>
      <c r="AJ230">
        <v>319.3</v>
      </c>
      <c r="AK230">
        <v>319.3</v>
      </c>
      <c r="AL230">
        <v>319.3</v>
      </c>
      <c r="AM230">
        <v>319.3</v>
      </c>
      <c r="AN230">
        <v>319.3</v>
      </c>
      <c r="AO230">
        <v>319.3</v>
      </c>
      <c r="AP230">
        <v>319.3</v>
      </c>
      <c r="AQ230">
        <v>319.3</v>
      </c>
      <c r="AR230">
        <v>319.3</v>
      </c>
      <c r="AS230">
        <v>319.3</v>
      </c>
      <c r="AT230">
        <v>319.3</v>
      </c>
      <c r="AU230">
        <v>155</v>
      </c>
      <c r="AV230">
        <v>155</v>
      </c>
      <c r="AW230">
        <v>155</v>
      </c>
      <c r="AX230">
        <v>155</v>
      </c>
    </row>
    <row r="231" spans="1:50" x14ac:dyDescent="0.3">
      <c r="A231" t="s">
        <v>370</v>
      </c>
      <c r="C231">
        <v>156.66999999999999</v>
      </c>
      <c r="D231">
        <v>156.66999999999999</v>
      </c>
      <c r="E231">
        <v>156.66999999999999</v>
      </c>
      <c r="F231">
        <v>156.66999999999999</v>
      </c>
      <c r="G231">
        <v>156.66999999999999</v>
      </c>
      <c r="H231">
        <v>156.66999999999999</v>
      </c>
      <c r="I231">
        <v>156.66999999999999</v>
      </c>
      <c r="J231">
        <v>156.66999999999999</v>
      </c>
      <c r="K231">
        <v>156.66999999999999</v>
      </c>
      <c r="L231">
        <v>156.66999999999999</v>
      </c>
      <c r="M231">
        <v>156.66999999999999</v>
      </c>
      <c r="N231">
        <v>156.66999999999999</v>
      </c>
      <c r="O231">
        <v>156.66999999999999</v>
      </c>
      <c r="P231">
        <v>156.66999999999999</v>
      </c>
      <c r="Q231">
        <v>156.66999999999999</v>
      </c>
      <c r="R231">
        <v>156.66999999999999</v>
      </c>
      <c r="S231">
        <v>169.41</v>
      </c>
      <c r="T231">
        <v>260.55</v>
      </c>
      <c r="U231">
        <v>373.61</v>
      </c>
      <c r="V231">
        <v>398.84</v>
      </c>
      <c r="W231">
        <v>410</v>
      </c>
      <c r="X231">
        <v>410</v>
      </c>
      <c r="Y231">
        <v>410</v>
      </c>
      <c r="Z231">
        <v>410</v>
      </c>
      <c r="AA231">
        <v>410</v>
      </c>
      <c r="AB231">
        <v>410</v>
      </c>
      <c r="AC231">
        <v>410</v>
      </c>
      <c r="AD231">
        <v>410</v>
      </c>
      <c r="AE231">
        <v>410</v>
      </c>
      <c r="AF231">
        <v>410</v>
      </c>
      <c r="AG231">
        <v>410</v>
      </c>
      <c r="AH231">
        <v>410</v>
      </c>
      <c r="AI231">
        <v>410</v>
      </c>
      <c r="AJ231">
        <v>410</v>
      </c>
      <c r="AK231">
        <v>410</v>
      </c>
      <c r="AL231">
        <v>410</v>
      </c>
      <c r="AM231">
        <v>410</v>
      </c>
      <c r="AN231">
        <v>410</v>
      </c>
      <c r="AO231">
        <v>385</v>
      </c>
      <c r="AP231">
        <v>325</v>
      </c>
      <c r="AQ231">
        <v>300</v>
      </c>
      <c r="AR231">
        <v>272.52</v>
      </c>
      <c r="AS231">
        <v>156.66999999999999</v>
      </c>
      <c r="AT231">
        <v>156.66999999999999</v>
      </c>
      <c r="AU231">
        <v>156.66999999999999</v>
      </c>
      <c r="AV231">
        <v>156.66999999999999</v>
      </c>
      <c r="AW231">
        <v>156.66999999999999</v>
      </c>
      <c r="AX231">
        <v>156.66999999999999</v>
      </c>
    </row>
    <row r="233" spans="1:50" x14ac:dyDescent="0.3">
      <c r="A233" t="s">
        <v>47</v>
      </c>
      <c r="B233">
        <v>323</v>
      </c>
      <c r="C233">
        <v>232.75</v>
      </c>
      <c r="D233">
        <v>322.75</v>
      </c>
      <c r="E233">
        <v>322.75</v>
      </c>
      <c r="F233">
        <v>322.75</v>
      </c>
      <c r="G233">
        <v>322.75</v>
      </c>
      <c r="H233">
        <v>322.75</v>
      </c>
      <c r="I233">
        <v>322.75</v>
      </c>
      <c r="J233">
        <v>322.75</v>
      </c>
      <c r="K233">
        <v>322.75</v>
      </c>
      <c r="L233">
        <v>322.75</v>
      </c>
      <c r="M233">
        <v>322.75</v>
      </c>
      <c r="N233">
        <v>322.75</v>
      </c>
      <c r="O233">
        <v>322.75</v>
      </c>
      <c r="P233">
        <v>322.75</v>
      </c>
      <c r="Q233">
        <v>322.75</v>
      </c>
      <c r="R233">
        <v>323</v>
      </c>
      <c r="S233">
        <v>323</v>
      </c>
      <c r="T233">
        <v>323</v>
      </c>
      <c r="U233">
        <v>323</v>
      </c>
      <c r="V233">
        <v>323</v>
      </c>
      <c r="W233">
        <v>323</v>
      </c>
      <c r="X233">
        <v>323</v>
      </c>
      <c r="Y233">
        <v>323</v>
      </c>
      <c r="Z233">
        <v>323</v>
      </c>
      <c r="AA233">
        <v>323</v>
      </c>
      <c r="AB233">
        <v>323</v>
      </c>
      <c r="AC233">
        <v>323</v>
      </c>
      <c r="AD233">
        <v>323</v>
      </c>
      <c r="AE233">
        <v>323</v>
      </c>
      <c r="AF233">
        <v>323</v>
      </c>
      <c r="AG233">
        <v>323</v>
      </c>
      <c r="AH233">
        <v>323</v>
      </c>
      <c r="AI233">
        <v>323</v>
      </c>
      <c r="AJ233">
        <v>323</v>
      </c>
      <c r="AK233">
        <v>323</v>
      </c>
      <c r="AL233">
        <v>323</v>
      </c>
      <c r="AM233">
        <v>323</v>
      </c>
      <c r="AN233">
        <v>323</v>
      </c>
      <c r="AO233">
        <v>323</v>
      </c>
      <c r="AP233">
        <v>323</v>
      </c>
      <c r="AQ233">
        <v>323</v>
      </c>
      <c r="AR233">
        <v>323</v>
      </c>
      <c r="AS233">
        <v>323</v>
      </c>
      <c r="AT233">
        <v>323</v>
      </c>
      <c r="AU233">
        <v>323</v>
      </c>
      <c r="AV233">
        <v>323</v>
      </c>
      <c r="AW233">
        <v>323</v>
      </c>
      <c r="AX233">
        <v>323</v>
      </c>
    </row>
    <row r="234" spans="1:50" x14ac:dyDescent="0.3">
      <c r="A234" t="s">
        <v>50</v>
      </c>
      <c r="B234">
        <v>323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6" spans="1:50" x14ac:dyDescent="0.3">
      <c r="A236" t="s">
        <v>69</v>
      </c>
      <c r="B236">
        <v>615</v>
      </c>
      <c r="C236">
        <v>410</v>
      </c>
      <c r="D236">
        <v>330.91</v>
      </c>
      <c r="E236">
        <v>330.91</v>
      </c>
      <c r="F236">
        <v>330.91</v>
      </c>
      <c r="G236">
        <v>330.91</v>
      </c>
      <c r="H236">
        <v>330.91</v>
      </c>
      <c r="I236">
        <v>330.91</v>
      </c>
      <c r="J236">
        <v>330.91</v>
      </c>
      <c r="K236">
        <v>420.91</v>
      </c>
      <c r="L236">
        <v>510.91</v>
      </c>
      <c r="M236">
        <v>600.91</v>
      </c>
      <c r="N236">
        <v>602.70000000000005</v>
      </c>
      <c r="O236">
        <v>602.70000000000005</v>
      </c>
      <c r="P236">
        <v>579.03</v>
      </c>
      <c r="Q236">
        <v>602.70000000000005</v>
      </c>
      <c r="R236">
        <v>602.70000000000005</v>
      </c>
      <c r="S236">
        <v>602.70000000000005</v>
      </c>
      <c r="T236">
        <v>602.70000000000005</v>
      </c>
      <c r="U236">
        <v>602.70000000000005</v>
      </c>
      <c r="V236">
        <v>602.70000000000005</v>
      </c>
      <c r="W236">
        <v>602.70000000000005</v>
      </c>
      <c r="X236">
        <v>602.70000000000005</v>
      </c>
      <c r="Y236">
        <v>602.70000000000005</v>
      </c>
      <c r="Z236">
        <v>602.70000000000005</v>
      </c>
      <c r="AA236">
        <v>602.70000000000005</v>
      </c>
      <c r="AB236">
        <v>602.70000000000005</v>
      </c>
      <c r="AC236">
        <v>602.70000000000005</v>
      </c>
      <c r="AD236">
        <v>602.70000000000005</v>
      </c>
      <c r="AE236">
        <v>602.70000000000005</v>
      </c>
      <c r="AF236">
        <v>602.70000000000005</v>
      </c>
      <c r="AG236">
        <v>602.70000000000005</v>
      </c>
      <c r="AH236">
        <v>602.70000000000005</v>
      </c>
      <c r="AI236">
        <v>602.70000000000005</v>
      </c>
      <c r="AJ236">
        <v>602.70000000000005</v>
      </c>
      <c r="AK236">
        <v>602.70000000000005</v>
      </c>
      <c r="AL236">
        <v>602.70000000000005</v>
      </c>
      <c r="AM236">
        <v>602.70000000000005</v>
      </c>
      <c r="AN236">
        <v>602.70000000000005</v>
      </c>
      <c r="AO236">
        <v>602.70000000000005</v>
      </c>
      <c r="AP236">
        <v>602.70000000000005</v>
      </c>
      <c r="AQ236">
        <v>602.70000000000005</v>
      </c>
      <c r="AR236">
        <v>602.70000000000005</v>
      </c>
      <c r="AS236">
        <v>602.70000000000005</v>
      </c>
      <c r="AT236">
        <v>602.70000000000005</v>
      </c>
      <c r="AU236">
        <v>602.70000000000005</v>
      </c>
      <c r="AV236">
        <v>602.70000000000005</v>
      </c>
      <c r="AW236">
        <v>602.70000000000005</v>
      </c>
      <c r="AX236">
        <v>602.70000000000005</v>
      </c>
    </row>
    <row r="238" spans="1:50" x14ac:dyDescent="0.3">
      <c r="A238" t="s">
        <v>72</v>
      </c>
      <c r="B238">
        <v>280</v>
      </c>
      <c r="C238">
        <v>200</v>
      </c>
      <c r="D238">
        <v>200</v>
      </c>
      <c r="E238">
        <v>200</v>
      </c>
      <c r="F238">
        <v>200</v>
      </c>
      <c r="G238">
        <v>200</v>
      </c>
      <c r="H238">
        <v>200</v>
      </c>
      <c r="I238">
        <v>200</v>
      </c>
      <c r="J238">
        <v>200</v>
      </c>
      <c r="K238">
        <v>200</v>
      </c>
      <c r="L238">
        <v>200</v>
      </c>
      <c r="M238">
        <v>200</v>
      </c>
      <c r="N238">
        <v>200</v>
      </c>
      <c r="O238">
        <v>200</v>
      </c>
      <c r="P238">
        <v>200</v>
      </c>
      <c r="Q238">
        <v>200</v>
      </c>
      <c r="R238">
        <v>200</v>
      </c>
      <c r="S238">
        <v>200</v>
      </c>
      <c r="T238">
        <v>200</v>
      </c>
      <c r="U238">
        <v>200</v>
      </c>
      <c r="V238">
        <v>200</v>
      </c>
      <c r="W238">
        <v>200</v>
      </c>
      <c r="X238">
        <v>200</v>
      </c>
      <c r="Y238">
        <v>200</v>
      </c>
      <c r="Z238">
        <v>200</v>
      </c>
      <c r="AA238">
        <v>200</v>
      </c>
      <c r="AB238">
        <v>200</v>
      </c>
      <c r="AC238">
        <v>200</v>
      </c>
      <c r="AD238">
        <v>200</v>
      </c>
      <c r="AE238">
        <v>200</v>
      </c>
      <c r="AF238">
        <v>200</v>
      </c>
      <c r="AG238">
        <v>200</v>
      </c>
      <c r="AH238">
        <v>200</v>
      </c>
      <c r="AI238">
        <v>200</v>
      </c>
      <c r="AJ238">
        <v>200</v>
      </c>
      <c r="AK238">
        <v>270</v>
      </c>
      <c r="AL238">
        <v>270</v>
      </c>
      <c r="AM238">
        <v>270</v>
      </c>
      <c r="AN238">
        <v>270</v>
      </c>
      <c r="AO238">
        <v>270</v>
      </c>
      <c r="AP238">
        <v>200</v>
      </c>
      <c r="AQ238">
        <v>200</v>
      </c>
      <c r="AR238">
        <v>200</v>
      </c>
      <c r="AS238">
        <v>200</v>
      </c>
      <c r="AT238">
        <v>200</v>
      </c>
      <c r="AU238">
        <v>200</v>
      </c>
      <c r="AV238">
        <v>200</v>
      </c>
      <c r="AW238">
        <v>200</v>
      </c>
      <c r="AX238">
        <v>200</v>
      </c>
    </row>
    <row r="239" spans="1:50" x14ac:dyDescent="0.3">
      <c r="A239" t="s">
        <v>73</v>
      </c>
      <c r="B239">
        <v>280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3">
      <c r="A240" t="s">
        <v>371</v>
      </c>
      <c r="B240">
        <v>0</v>
      </c>
    </row>
    <row r="242" spans="1:50" x14ac:dyDescent="0.3">
      <c r="A242" t="s">
        <v>372</v>
      </c>
      <c r="B242">
        <v>0</v>
      </c>
    </row>
    <row r="243" spans="1:50" x14ac:dyDescent="0.3">
      <c r="A243" t="s">
        <v>373</v>
      </c>
      <c r="B243">
        <v>0</v>
      </c>
    </row>
    <row r="244" spans="1:50" x14ac:dyDescent="0.3">
      <c r="C244" t="s">
        <v>289</v>
      </c>
      <c r="D244" t="s">
        <v>289</v>
      </c>
      <c r="E244" t="s">
        <v>289</v>
      </c>
      <c r="F244" t="s">
        <v>289</v>
      </c>
      <c r="G244" t="s">
        <v>289</v>
      </c>
      <c r="H244" t="s">
        <v>289</v>
      </c>
      <c r="I244" t="s">
        <v>289</v>
      </c>
      <c r="J244" t="s">
        <v>289</v>
      </c>
      <c r="K244" t="s">
        <v>289</v>
      </c>
      <c r="L244" t="s">
        <v>289</v>
      </c>
      <c r="M244" t="s">
        <v>289</v>
      </c>
      <c r="N244" t="s">
        <v>289</v>
      </c>
      <c r="O244" t="s">
        <v>289</v>
      </c>
      <c r="P244" t="s">
        <v>289</v>
      </c>
      <c r="Q244" t="s">
        <v>289</v>
      </c>
      <c r="R244" t="s">
        <v>289</v>
      </c>
      <c r="S244" t="s">
        <v>289</v>
      </c>
      <c r="T244" t="s">
        <v>289</v>
      </c>
      <c r="U244" t="s">
        <v>289</v>
      </c>
      <c r="V244" t="s">
        <v>289</v>
      </c>
      <c r="W244" t="s">
        <v>289</v>
      </c>
      <c r="X244" t="s">
        <v>289</v>
      </c>
      <c r="Y244" t="s">
        <v>289</v>
      </c>
      <c r="Z244" t="s">
        <v>289</v>
      </c>
      <c r="AA244" t="s">
        <v>289</v>
      </c>
      <c r="AB244" t="s">
        <v>289</v>
      </c>
      <c r="AC244" t="s">
        <v>289</v>
      </c>
      <c r="AD244" t="s">
        <v>289</v>
      </c>
      <c r="AE244" t="s">
        <v>289</v>
      </c>
      <c r="AF244" t="s">
        <v>289</v>
      </c>
      <c r="AG244" t="s">
        <v>289</v>
      </c>
      <c r="AH244" t="s">
        <v>289</v>
      </c>
      <c r="AI244" t="s">
        <v>289</v>
      </c>
      <c r="AJ244" t="s">
        <v>289</v>
      </c>
      <c r="AK244" t="s">
        <v>289</v>
      </c>
      <c r="AL244" t="s">
        <v>289</v>
      </c>
      <c r="AM244" t="s">
        <v>289</v>
      </c>
      <c r="AN244" t="s">
        <v>289</v>
      </c>
      <c r="AO244" t="s">
        <v>289</v>
      </c>
      <c r="AP244" t="s">
        <v>289</v>
      </c>
      <c r="AQ244" t="s">
        <v>289</v>
      </c>
      <c r="AR244" t="s">
        <v>289</v>
      </c>
      <c r="AS244" t="s">
        <v>289</v>
      </c>
      <c r="AT244" t="s">
        <v>289</v>
      </c>
      <c r="AU244" t="s">
        <v>289</v>
      </c>
      <c r="AV244" t="s">
        <v>289</v>
      </c>
      <c r="AW244" t="s">
        <v>289</v>
      </c>
      <c r="AX244" t="s">
        <v>289</v>
      </c>
    </row>
    <row r="246" spans="1:50" x14ac:dyDescent="0.3">
      <c r="A246" t="s">
        <v>77</v>
      </c>
      <c r="B246">
        <v>610</v>
      </c>
      <c r="C246">
        <v>590</v>
      </c>
      <c r="D246">
        <v>597.79999999999995</v>
      </c>
      <c r="E246">
        <v>530</v>
      </c>
      <c r="F246">
        <v>440</v>
      </c>
      <c r="G246">
        <v>350</v>
      </c>
      <c r="H246">
        <v>350</v>
      </c>
      <c r="I246">
        <v>350</v>
      </c>
      <c r="J246">
        <v>440</v>
      </c>
      <c r="K246">
        <v>530</v>
      </c>
      <c r="L246">
        <v>597.79999999999995</v>
      </c>
      <c r="M246">
        <v>597.79999999999995</v>
      </c>
      <c r="N246">
        <v>597.79999999999995</v>
      </c>
      <c r="O246">
        <v>597.79999999999995</v>
      </c>
      <c r="P246">
        <v>597.79999999999995</v>
      </c>
      <c r="Q246">
        <v>597.79999999999995</v>
      </c>
      <c r="R246">
        <v>597.79999999999995</v>
      </c>
      <c r="S246">
        <v>597.79999999999995</v>
      </c>
      <c r="T246">
        <v>597.79999999999995</v>
      </c>
      <c r="U246">
        <v>597.79999999999995</v>
      </c>
      <c r="V246">
        <v>597.79999999999995</v>
      </c>
      <c r="W246">
        <v>597.79999999999995</v>
      </c>
      <c r="X246">
        <v>597.79999999999995</v>
      </c>
      <c r="Y246">
        <v>597.79999999999995</v>
      </c>
      <c r="Z246">
        <v>597.79999999999995</v>
      </c>
      <c r="AA246">
        <v>597.79999999999995</v>
      </c>
      <c r="AB246">
        <v>597.79999999999995</v>
      </c>
      <c r="AC246">
        <v>597.79999999999995</v>
      </c>
      <c r="AD246">
        <v>597.79999999999995</v>
      </c>
      <c r="AE246">
        <v>597.79999999999995</v>
      </c>
      <c r="AF246">
        <v>597.79999999999995</v>
      </c>
      <c r="AG246">
        <v>597.79999999999995</v>
      </c>
      <c r="AH246">
        <v>597.79999999999995</v>
      </c>
      <c r="AI246">
        <v>597.79999999999995</v>
      </c>
      <c r="AJ246">
        <v>597.79999999999995</v>
      </c>
      <c r="AK246">
        <v>597.79999999999995</v>
      </c>
      <c r="AL246">
        <v>597.79999999999995</v>
      </c>
      <c r="AM246">
        <v>597.79999999999995</v>
      </c>
      <c r="AN246">
        <v>597.79999999999995</v>
      </c>
      <c r="AO246">
        <v>597.79999999999995</v>
      </c>
      <c r="AP246">
        <v>597.79999999999995</v>
      </c>
      <c r="AQ246">
        <v>597.79999999999995</v>
      </c>
      <c r="AR246">
        <v>597.79999999999995</v>
      </c>
      <c r="AS246">
        <v>597.79999999999995</v>
      </c>
      <c r="AT246">
        <v>597.79999999999995</v>
      </c>
      <c r="AU246">
        <v>597.79999999999995</v>
      </c>
      <c r="AV246">
        <v>597.79999999999995</v>
      </c>
      <c r="AW246">
        <v>597.79999999999995</v>
      </c>
      <c r="AX246">
        <v>597.79999999999995</v>
      </c>
    </row>
    <row r="247" spans="1:50" x14ac:dyDescent="0.3">
      <c r="A247" t="s">
        <v>78</v>
      </c>
      <c r="B247">
        <v>610</v>
      </c>
      <c r="C247">
        <v>590</v>
      </c>
      <c r="D247">
        <v>597.79999999999995</v>
      </c>
      <c r="E247">
        <v>530</v>
      </c>
      <c r="F247">
        <v>440</v>
      </c>
      <c r="G247">
        <v>350</v>
      </c>
      <c r="H247">
        <v>350</v>
      </c>
      <c r="I247">
        <v>350</v>
      </c>
      <c r="J247">
        <v>440</v>
      </c>
      <c r="K247">
        <v>530</v>
      </c>
      <c r="L247">
        <v>597.79999999999995</v>
      </c>
      <c r="M247">
        <v>597.79999999999995</v>
      </c>
      <c r="N247">
        <v>597.79999999999995</v>
      </c>
      <c r="O247">
        <v>597.79999999999995</v>
      </c>
      <c r="P247">
        <v>597.79999999999995</v>
      </c>
      <c r="Q247">
        <v>597.79999999999995</v>
      </c>
      <c r="R247">
        <v>597.79999999999995</v>
      </c>
      <c r="S247">
        <v>597.79999999999995</v>
      </c>
      <c r="T247">
        <v>597.79999999999995</v>
      </c>
      <c r="U247">
        <v>597.79999999999995</v>
      </c>
      <c r="V247">
        <v>597.79999999999995</v>
      </c>
      <c r="W247">
        <v>597.79999999999995</v>
      </c>
      <c r="X247">
        <v>597.79999999999995</v>
      </c>
      <c r="Y247">
        <v>597.79999999999995</v>
      </c>
      <c r="Z247">
        <v>597.79999999999995</v>
      </c>
      <c r="AA247">
        <v>597.79999999999995</v>
      </c>
      <c r="AB247">
        <v>597.79999999999995</v>
      </c>
      <c r="AC247">
        <v>597.79999999999995</v>
      </c>
      <c r="AD247">
        <v>597.79999999999995</v>
      </c>
      <c r="AE247">
        <v>597.79999999999995</v>
      </c>
      <c r="AF247">
        <v>597.79999999999995</v>
      </c>
      <c r="AG247">
        <v>597.79999999999995</v>
      </c>
      <c r="AH247">
        <v>597.79999999999995</v>
      </c>
      <c r="AI247">
        <v>597.79999999999995</v>
      </c>
      <c r="AJ247">
        <v>597.79999999999995</v>
      </c>
      <c r="AK247">
        <v>597.79999999999995</v>
      </c>
      <c r="AL247">
        <v>597.79999999999995</v>
      </c>
      <c r="AM247">
        <v>597.79999999999995</v>
      </c>
      <c r="AN247">
        <v>597.79999999999995</v>
      </c>
      <c r="AO247">
        <v>597.79999999999995</v>
      </c>
      <c r="AP247">
        <v>597.79999999999995</v>
      </c>
      <c r="AQ247">
        <v>597.79999999999995</v>
      </c>
      <c r="AR247">
        <v>597.79999999999995</v>
      </c>
      <c r="AS247">
        <v>597.79999999999995</v>
      </c>
      <c r="AT247">
        <v>597.79999999999995</v>
      </c>
      <c r="AU247">
        <v>597.79999999999995</v>
      </c>
      <c r="AV247">
        <v>597.79999999999995</v>
      </c>
      <c r="AW247">
        <v>597.79999999999995</v>
      </c>
      <c r="AX247">
        <v>597.79999999999995</v>
      </c>
    </row>
    <row r="248" spans="1:50" x14ac:dyDescent="0.3">
      <c r="A248" t="s">
        <v>62</v>
      </c>
      <c r="B248">
        <v>811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50" spans="1:50" x14ac:dyDescent="0.3">
      <c r="A250" t="s">
        <v>59</v>
      </c>
      <c r="B250">
        <v>610</v>
      </c>
      <c r="C250">
        <v>410</v>
      </c>
      <c r="D250">
        <v>320</v>
      </c>
      <c r="E250">
        <v>305</v>
      </c>
      <c r="F250">
        <v>305</v>
      </c>
      <c r="G250">
        <v>305</v>
      </c>
      <c r="H250">
        <v>305</v>
      </c>
      <c r="I250">
        <v>305</v>
      </c>
      <c r="J250">
        <v>395</v>
      </c>
      <c r="K250">
        <v>485</v>
      </c>
      <c r="L250">
        <v>575</v>
      </c>
      <c r="M250">
        <v>597.79999999999995</v>
      </c>
      <c r="N250">
        <v>597.79999999999995</v>
      </c>
      <c r="O250">
        <v>597.79999999999995</v>
      </c>
      <c r="P250">
        <v>597.79999999999995</v>
      </c>
      <c r="Q250">
        <v>597.79999999999995</v>
      </c>
      <c r="R250">
        <v>597.79999999999995</v>
      </c>
      <c r="S250">
        <v>597.79999999999995</v>
      </c>
      <c r="T250">
        <v>597.79999999999995</v>
      </c>
      <c r="U250">
        <v>597.79999999999995</v>
      </c>
      <c r="V250">
        <v>597.79999999999995</v>
      </c>
      <c r="W250">
        <v>597.79999999999995</v>
      </c>
      <c r="X250">
        <v>597.79999999999995</v>
      </c>
      <c r="Y250">
        <v>597.79999999999995</v>
      </c>
      <c r="Z250">
        <v>597.79999999999995</v>
      </c>
      <c r="AA250">
        <v>597.79999999999995</v>
      </c>
      <c r="AB250">
        <v>597.79999999999995</v>
      </c>
      <c r="AC250">
        <v>597.79999999999995</v>
      </c>
      <c r="AD250">
        <v>597.79999999999995</v>
      </c>
      <c r="AE250">
        <v>597.79999999999995</v>
      </c>
      <c r="AF250">
        <v>597.79999999999995</v>
      </c>
      <c r="AG250">
        <v>597.79999999999995</v>
      </c>
      <c r="AH250">
        <v>597.79999999999995</v>
      </c>
      <c r="AI250">
        <v>597.79999999999995</v>
      </c>
      <c r="AJ250">
        <v>597.79999999999995</v>
      </c>
      <c r="AK250">
        <v>597.79999999999995</v>
      </c>
      <c r="AL250">
        <v>597.79999999999995</v>
      </c>
      <c r="AM250">
        <v>597.79999999999995</v>
      </c>
      <c r="AN250">
        <v>597.79999999999995</v>
      </c>
      <c r="AO250">
        <v>597.79999999999995</v>
      </c>
      <c r="AP250">
        <v>597.79999999999995</v>
      </c>
      <c r="AQ250">
        <v>597.79999999999995</v>
      </c>
      <c r="AR250">
        <v>597.79999999999995</v>
      </c>
      <c r="AS250">
        <v>597.79999999999995</v>
      </c>
      <c r="AT250">
        <v>597.79999999999995</v>
      </c>
      <c r="AU250">
        <v>597.79999999999995</v>
      </c>
      <c r="AV250">
        <v>597.79999999999995</v>
      </c>
      <c r="AW250">
        <v>597.79999999999995</v>
      </c>
      <c r="AX250">
        <v>597.79999999999995</v>
      </c>
    </row>
    <row r="251" spans="1:50" x14ac:dyDescent="0.3">
      <c r="A251" t="s">
        <v>60</v>
      </c>
      <c r="B251">
        <v>610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3" spans="1:50" x14ac:dyDescent="0.3">
      <c r="A253" t="s">
        <v>374</v>
      </c>
      <c r="B253">
        <v>35.866149999999998</v>
      </c>
      <c r="C253">
        <v>33.81</v>
      </c>
      <c r="D253">
        <v>33.81</v>
      </c>
      <c r="E253">
        <v>33.81</v>
      </c>
      <c r="F253">
        <v>33.81</v>
      </c>
      <c r="G253">
        <v>33.81</v>
      </c>
      <c r="H253">
        <v>33.81</v>
      </c>
      <c r="I253">
        <v>33.81</v>
      </c>
      <c r="J253">
        <v>33.81</v>
      </c>
      <c r="K253">
        <v>33.81</v>
      </c>
      <c r="L253">
        <v>33.81</v>
      </c>
      <c r="M253">
        <v>33.81</v>
      </c>
      <c r="N253">
        <v>33.81</v>
      </c>
      <c r="O253">
        <v>33.81</v>
      </c>
      <c r="P253">
        <v>33.81</v>
      </c>
      <c r="Q253">
        <v>33.81</v>
      </c>
      <c r="R253">
        <v>33.81</v>
      </c>
      <c r="S253">
        <v>33.81</v>
      </c>
      <c r="T253">
        <v>33.81</v>
      </c>
      <c r="U253">
        <v>33.81</v>
      </c>
      <c r="V253">
        <v>33.81</v>
      </c>
      <c r="W253">
        <v>33.81</v>
      </c>
      <c r="X253">
        <v>33.81</v>
      </c>
      <c r="Y253">
        <v>33.81</v>
      </c>
      <c r="Z253">
        <v>33.81</v>
      </c>
      <c r="AA253">
        <v>33.81</v>
      </c>
      <c r="AB253">
        <v>33.81</v>
      </c>
      <c r="AC253">
        <v>33.81</v>
      </c>
      <c r="AD253">
        <v>33.81</v>
      </c>
      <c r="AE253">
        <v>33.81</v>
      </c>
      <c r="AF253">
        <v>33.81</v>
      </c>
      <c r="AG253">
        <v>33.81</v>
      </c>
      <c r="AH253">
        <v>33.81</v>
      </c>
      <c r="AI253">
        <v>33.81</v>
      </c>
      <c r="AJ253">
        <v>33.81</v>
      </c>
      <c r="AK253">
        <v>33.81</v>
      </c>
      <c r="AL253">
        <v>33.81</v>
      </c>
      <c r="AM253">
        <v>33.81</v>
      </c>
      <c r="AN253">
        <v>33.81</v>
      </c>
      <c r="AO253">
        <v>33.81</v>
      </c>
      <c r="AP253">
        <v>33.81</v>
      </c>
      <c r="AQ253">
        <v>33.81</v>
      </c>
      <c r="AR253">
        <v>33.81</v>
      </c>
      <c r="AS253">
        <v>33.81</v>
      </c>
      <c r="AT253">
        <v>33.81</v>
      </c>
      <c r="AU253">
        <v>33.81</v>
      </c>
      <c r="AV253">
        <v>33.81</v>
      </c>
      <c r="AW253">
        <v>33.81</v>
      </c>
      <c r="AX253">
        <v>33.81</v>
      </c>
    </row>
    <row r="255" spans="1:50" x14ac:dyDescent="0.3">
      <c r="A255" t="s">
        <v>293</v>
      </c>
      <c r="C255">
        <v>3963.43</v>
      </c>
      <c r="D255">
        <v>3899.94</v>
      </c>
      <c r="E255">
        <v>3749.34</v>
      </c>
      <c r="F255">
        <v>3568.34</v>
      </c>
      <c r="G255">
        <v>3389.34</v>
      </c>
      <c r="H255">
        <v>3387.34</v>
      </c>
      <c r="I255">
        <v>3387.34</v>
      </c>
      <c r="J255">
        <v>3651.34</v>
      </c>
      <c r="K255">
        <v>4011.34</v>
      </c>
      <c r="L255">
        <v>4326.9399999999996</v>
      </c>
      <c r="M255">
        <v>4439.74</v>
      </c>
      <c r="N255">
        <v>4441.53</v>
      </c>
      <c r="O255">
        <v>4443.2700000000004</v>
      </c>
      <c r="P255">
        <v>4464.25</v>
      </c>
      <c r="Q255">
        <v>4620.0600000000004</v>
      </c>
      <c r="R255">
        <v>4714.3100000000004</v>
      </c>
      <c r="S255">
        <v>4751.1899999999996</v>
      </c>
      <c r="T255">
        <v>4916.91</v>
      </c>
      <c r="U255">
        <v>5066.2</v>
      </c>
      <c r="V255">
        <v>5103.3999999999996</v>
      </c>
      <c r="W255">
        <v>5114.55</v>
      </c>
      <c r="X255">
        <v>5114.32</v>
      </c>
      <c r="Y255">
        <v>5113.6499999999996</v>
      </c>
      <c r="Z255">
        <v>5114.3599999999997</v>
      </c>
      <c r="AA255">
        <v>5114.13</v>
      </c>
      <c r="AB255">
        <v>5243.43</v>
      </c>
      <c r="AC255">
        <v>5243.69</v>
      </c>
      <c r="AD255">
        <v>5243.72</v>
      </c>
      <c r="AE255">
        <v>5232.46</v>
      </c>
      <c r="AF255">
        <v>5232.42</v>
      </c>
      <c r="AG255">
        <v>5232.47</v>
      </c>
      <c r="AH255">
        <v>5232.4399999999996</v>
      </c>
      <c r="AI255">
        <v>5232.67</v>
      </c>
      <c r="AJ255">
        <v>5266.1</v>
      </c>
      <c r="AK255">
        <v>5346.83</v>
      </c>
      <c r="AL255">
        <v>5347.5</v>
      </c>
      <c r="AM255">
        <v>5346.83</v>
      </c>
      <c r="AN255">
        <v>5348.01</v>
      </c>
      <c r="AO255">
        <v>5321.38</v>
      </c>
      <c r="AP255">
        <v>5060.7299999999996</v>
      </c>
      <c r="AQ255">
        <v>5038.1400000000003</v>
      </c>
      <c r="AR255">
        <v>5009.38</v>
      </c>
      <c r="AS255">
        <v>4822.03</v>
      </c>
      <c r="AT255">
        <v>4652.8100000000004</v>
      </c>
      <c r="AU255">
        <v>4455.78</v>
      </c>
      <c r="AV255">
        <v>4454.78</v>
      </c>
      <c r="AW255">
        <v>4454.78</v>
      </c>
      <c r="AX255">
        <v>4455.78</v>
      </c>
    </row>
    <row r="256" spans="1:50" x14ac:dyDescent="0.3">
      <c r="A256" t="s">
        <v>294</v>
      </c>
      <c r="C256">
        <v>5340.88</v>
      </c>
      <c r="D256">
        <v>5555.71</v>
      </c>
      <c r="E256">
        <v>5577.65</v>
      </c>
      <c r="F256">
        <v>5516.82</v>
      </c>
      <c r="G256">
        <v>5487.42</v>
      </c>
      <c r="H256">
        <v>5488.77</v>
      </c>
      <c r="I256">
        <v>5511.37</v>
      </c>
      <c r="J256">
        <v>5544.63</v>
      </c>
      <c r="K256">
        <v>5709.35</v>
      </c>
      <c r="L256">
        <v>5842.58</v>
      </c>
      <c r="M256">
        <v>5908.82</v>
      </c>
      <c r="N256">
        <v>5810.29</v>
      </c>
      <c r="O256">
        <v>5746.24</v>
      </c>
      <c r="P256">
        <v>5760.32</v>
      </c>
      <c r="Q256">
        <v>6136.74</v>
      </c>
      <c r="R256">
        <v>6374.54</v>
      </c>
      <c r="S256">
        <v>6647.89</v>
      </c>
      <c r="T256">
        <v>6704.05</v>
      </c>
      <c r="U256">
        <v>6732.25</v>
      </c>
      <c r="V256">
        <v>6852.56</v>
      </c>
      <c r="W256">
        <v>6886.37</v>
      </c>
      <c r="X256">
        <v>6916.03</v>
      </c>
      <c r="Y256">
        <v>6860.6</v>
      </c>
      <c r="Z256">
        <v>6616.99</v>
      </c>
      <c r="AA256">
        <v>6613.13</v>
      </c>
      <c r="AB256">
        <v>6781.36</v>
      </c>
      <c r="AC256">
        <v>7041.07</v>
      </c>
      <c r="AD256">
        <v>7107.74</v>
      </c>
      <c r="AE256">
        <v>7125.14</v>
      </c>
      <c r="AF256">
        <v>7125.58</v>
      </c>
      <c r="AG256">
        <v>7039.51</v>
      </c>
      <c r="AH256">
        <v>6998.11</v>
      </c>
      <c r="AI256">
        <v>6954.79</v>
      </c>
      <c r="AJ256">
        <v>7060.77</v>
      </c>
      <c r="AK256">
        <v>7376.75</v>
      </c>
      <c r="AL256">
        <v>7478.42</v>
      </c>
      <c r="AM256">
        <v>7361.87</v>
      </c>
      <c r="AN256">
        <v>7272.02</v>
      </c>
      <c r="AO256">
        <v>7189.08</v>
      </c>
      <c r="AP256">
        <v>7061.78</v>
      </c>
      <c r="AQ256">
        <v>6967.39</v>
      </c>
      <c r="AR256">
        <v>6863.82</v>
      </c>
      <c r="AS256">
        <v>6683.95</v>
      </c>
      <c r="AT256">
        <v>6535.99</v>
      </c>
      <c r="AU256">
        <v>6456.54</v>
      </c>
      <c r="AV256">
        <v>6338.09</v>
      </c>
      <c r="AW256">
        <v>6244.96</v>
      </c>
      <c r="AX256">
        <v>6105.18</v>
      </c>
    </row>
    <row r="258" spans="1:50" x14ac:dyDescent="0.3">
      <c r="A258" t="s">
        <v>375</v>
      </c>
    </row>
    <row r="259" spans="1:50" x14ac:dyDescent="0.3">
      <c r="C259" t="s">
        <v>253</v>
      </c>
      <c r="D259" t="s">
        <v>253</v>
      </c>
      <c r="E259" t="s">
        <v>253</v>
      </c>
      <c r="F259" t="s">
        <v>253</v>
      </c>
      <c r="G259" t="s">
        <v>253</v>
      </c>
      <c r="H259" t="s">
        <v>253</v>
      </c>
      <c r="I259" t="s">
        <v>253</v>
      </c>
      <c r="J259" t="s">
        <v>253</v>
      </c>
      <c r="K259" t="s">
        <v>253</v>
      </c>
      <c r="L259" t="s">
        <v>253</v>
      </c>
      <c r="M259" t="s">
        <v>253</v>
      </c>
      <c r="N259" t="s">
        <v>253</v>
      </c>
      <c r="O259" t="s">
        <v>253</v>
      </c>
      <c r="P259" t="s">
        <v>253</v>
      </c>
      <c r="Q259" t="s">
        <v>253</v>
      </c>
      <c r="R259" t="s">
        <v>253</v>
      </c>
      <c r="S259" t="s">
        <v>253</v>
      </c>
      <c r="T259" t="s">
        <v>253</v>
      </c>
      <c r="U259" t="s">
        <v>253</v>
      </c>
      <c r="V259" t="s">
        <v>253</v>
      </c>
      <c r="W259" t="s">
        <v>253</v>
      </c>
      <c r="X259" t="s">
        <v>253</v>
      </c>
      <c r="Y259" t="s">
        <v>253</v>
      </c>
      <c r="Z259" t="s">
        <v>253</v>
      </c>
      <c r="AA259" t="s">
        <v>253</v>
      </c>
      <c r="AB259" t="s">
        <v>253</v>
      </c>
      <c r="AC259" t="s">
        <v>253</v>
      </c>
      <c r="AD259" t="s">
        <v>253</v>
      </c>
      <c r="AE259" t="s">
        <v>253</v>
      </c>
      <c r="AF259" t="s">
        <v>253</v>
      </c>
      <c r="AG259" t="s">
        <v>253</v>
      </c>
      <c r="AH259" t="s">
        <v>253</v>
      </c>
      <c r="AI259" t="s">
        <v>253</v>
      </c>
      <c r="AJ259" t="s">
        <v>253</v>
      </c>
      <c r="AK259" t="s">
        <v>253</v>
      </c>
      <c r="AL259" t="s">
        <v>253</v>
      </c>
      <c r="AM259" t="s">
        <v>253</v>
      </c>
      <c r="AN259" t="s">
        <v>253</v>
      </c>
      <c r="AO259" t="s">
        <v>253</v>
      </c>
      <c r="AP259" t="s">
        <v>253</v>
      </c>
      <c r="AQ259" t="s">
        <v>253</v>
      </c>
      <c r="AR259" t="s">
        <v>253</v>
      </c>
      <c r="AS259" t="s">
        <v>253</v>
      </c>
      <c r="AT259" t="s">
        <v>253</v>
      </c>
      <c r="AU259" t="s">
        <v>253</v>
      </c>
      <c r="AV259" t="s">
        <v>253</v>
      </c>
      <c r="AW259" t="s">
        <v>253</v>
      </c>
      <c r="AX259" t="s">
        <v>253</v>
      </c>
    </row>
    <row r="261" spans="1:50" x14ac:dyDescent="0.3">
      <c r="A261" t="s">
        <v>376</v>
      </c>
      <c r="C261">
        <v>107</v>
      </c>
      <c r="D261">
        <v>107</v>
      </c>
      <c r="E261">
        <v>107</v>
      </c>
      <c r="F261">
        <v>107</v>
      </c>
      <c r="G261">
        <v>107</v>
      </c>
      <c r="H261">
        <v>107</v>
      </c>
      <c r="I261">
        <v>107</v>
      </c>
      <c r="J261">
        <v>107</v>
      </c>
      <c r="K261">
        <v>107</v>
      </c>
      <c r="L261">
        <v>107</v>
      </c>
      <c r="M261">
        <v>107</v>
      </c>
      <c r="N261">
        <v>107</v>
      </c>
      <c r="O261">
        <v>107</v>
      </c>
      <c r="P261">
        <v>107</v>
      </c>
      <c r="Q261">
        <v>107</v>
      </c>
      <c r="R261">
        <v>107</v>
      </c>
      <c r="S261">
        <v>107</v>
      </c>
      <c r="T261">
        <v>107</v>
      </c>
      <c r="U261">
        <v>107</v>
      </c>
      <c r="V261">
        <v>107</v>
      </c>
      <c r="W261">
        <v>107</v>
      </c>
      <c r="X261">
        <v>107</v>
      </c>
      <c r="Y261">
        <v>107</v>
      </c>
      <c r="Z261">
        <v>107</v>
      </c>
      <c r="AA261">
        <v>107</v>
      </c>
      <c r="AB261">
        <v>107</v>
      </c>
      <c r="AC261">
        <v>107</v>
      </c>
      <c r="AD261">
        <v>107</v>
      </c>
      <c r="AE261">
        <v>107</v>
      </c>
      <c r="AF261">
        <v>107</v>
      </c>
      <c r="AG261">
        <v>107</v>
      </c>
      <c r="AH261">
        <v>107</v>
      </c>
      <c r="AI261">
        <v>107</v>
      </c>
      <c r="AJ261">
        <v>107</v>
      </c>
      <c r="AK261">
        <v>107</v>
      </c>
      <c r="AL261">
        <v>107</v>
      </c>
      <c r="AM261">
        <v>132</v>
      </c>
      <c r="AN261">
        <v>132</v>
      </c>
      <c r="AO261">
        <v>132</v>
      </c>
      <c r="AP261">
        <v>132</v>
      </c>
      <c r="AQ261">
        <v>132</v>
      </c>
      <c r="AR261">
        <v>132</v>
      </c>
      <c r="AS261">
        <v>132</v>
      </c>
      <c r="AT261">
        <v>132</v>
      </c>
      <c r="AU261">
        <v>132</v>
      </c>
      <c r="AV261">
        <v>132</v>
      </c>
      <c r="AW261">
        <v>107</v>
      </c>
      <c r="AX261">
        <v>107</v>
      </c>
    </row>
    <row r="263" spans="1:50" x14ac:dyDescent="0.3">
      <c r="A263" t="s">
        <v>377</v>
      </c>
      <c r="C263">
        <v>85</v>
      </c>
      <c r="D263">
        <v>85</v>
      </c>
      <c r="E263">
        <v>85</v>
      </c>
      <c r="F263">
        <v>112.6</v>
      </c>
      <c r="G263">
        <v>126.2</v>
      </c>
      <c r="H263">
        <v>115</v>
      </c>
      <c r="I263">
        <v>100.6</v>
      </c>
      <c r="J263">
        <v>85</v>
      </c>
      <c r="K263">
        <v>85</v>
      </c>
      <c r="L263">
        <v>85</v>
      </c>
      <c r="M263">
        <v>85</v>
      </c>
      <c r="N263">
        <v>85</v>
      </c>
      <c r="O263">
        <v>85</v>
      </c>
      <c r="P263">
        <v>85</v>
      </c>
      <c r="Q263">
        <v>85</v>
      </c>
      <c r="R263">
        <v>85</v>
      </c>
      <c r="S263">
        <v>85</v>
      </c>
      <c r="T263">
        <v>85</v>
      </c>
      <c r="U263">
        <v>85</v>
      </c>
      <c r="V263">
        <v>85</v>
      </c>
      <c r="W263">
        <v>88.4</v>
      </c>
      <c r="X263">
        <v>90.7</v>
      </c>
      <c r="Y263">
        <v>90.8</v>
      </c>
      <c r="Z263">
        <v>85</v>
      </c>
      <c r="AA263">
        <v>85</v>
      </c>
      <c r="AB263">
        <v>88.3</v>
      </c>
      <c r="AC263">
        <v>100</v>
      </c>
      <c r="AD263">
        <v>96</v>
      </c>
      <c r="AE263">
        <v>94.5</v>
      </c>
      <c r="AF263">
        <v>106.5</v>
      </c>
      <c r="AG263">
        <v>130</v>
      </c>
      <c r="AH263">
        <v>130</v>
      </c>
      <c r="AI263">
        <v>94.39</v>
      </c>
      <c r="AJ263">
        <v>95.47</v>
      </c>
      <c r="AK263">
        <v>110</v>
      </c>
      <c r="AL263">
        <v>110</v>
      </c>
      <c r="AM263">
        <v>105.4</v>
      </c>
      <c r="AN263">
        <v>113.6</v>
      </c>
      <c r="AO263">
        <v>105.4</v>
      </c>
      <c r="AP263">
        <v>105</v>
      </c>
      <c r="AQ263">
        <v>105</v>
      </c>
      <c r="AR263">
        <v>103.7</v>
      </c>
      <c r="AS263">
        <v>85</v>
      </c>
      <c r="AT263">
        <v>85</v>
      </c>
      <c r="AU263">
        <v>85</v>
      </c>
      <c r="AV263">
        <v>85</v>
      </c>
      <c r="AW263">
        <v>89.22</v>
      </c>
      <c r="AX263">
        <v>89.68</v>
      </c>
    </row>
    <row r="265" spans="1:50" x14ac:dyDescent="0.3">
      <c r="A265" t="s">
        <v>378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30</v>
      </c>
      <c r="AK265">
        <v>30</v>
      </c>
      <c r="AL265">
        <v>30</v>
      </c>
      <c r="AM265">
        <v>40</v>
      </c>
      <c r="AN265">
        <v>40</v>
      </c>
      <c r="AO265">
        <v>40</v>
      </c>
      <c r="AP265">
        <v>36</v>
      </c>
      <c r="AQ265">
        <v>40</v>
      </c>
      <c r="AR265">
        <v>30</v>
      </c>
      <c r="AS265">
        <v>30</v>
      </c>
      <c r="AT265">
        <v>30</v>
      </c>
      <c r="AU265">
        <v>0</v>
      </c>
      <c r="AV265">
        <v>0</v>
      </c>
      <c r="AW265">
        <v>0</v>
      </c>
      <c r="AX265">
        <v>0</v>
      </c>
    </row>
    <row r="266" spans="1:50" x14ac:dyDescent="0.3">
      <c r="A266" t="s">
        <v>379</v>
      </c>
      <c r="B266">
        <v>40</v>
      </c>
      <c r="C266">
        <v>30</v>
      </c>
      <c r="D266">
        <v>30</v>
      </c>
      <c r="E266">
        <v>30</v>
      </c>
      <c r="F266">
        <v>30</v>
      </c>
      <c r="G266">
        <v>30</v>
      </c>
      <c r="H266">
        <v>30</v>
      </c>
      <c r="I266">
        <v>30</v>
      </c>
      <c r="J266">
        <v>30</v>
      </c>
      <c r="K266">
        <v>30</v>
      </c>
      <c r="L266">
        <v>30</v>
      </c>
      <c r="M266">
        <v>30</v>
      </c>
      <c r="N266">
        <v>30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30</v>
      </c>
      <c r="U266">
        <v>30</v>
      </c>
      <c r="V266">
        <v>30</v>
      </c>
      <c r="W266">
        <v>30</v>
      </c>
      <c r="X266">
        <v>30</v>
      </c>
      <c r="Y266">
        <v>30</v>
      </c>
      <c r="Z266">
        <v>30</v>
      </c>
      <c r="AA266">
        <v>30</v>
      </c>
      <c r="AB266">
        <v>30</v>
      </c>
      <c r="AC266">
        <v>30</v>
      </c>
      <c r="AD266">
        <v>30</v>
      </c>
      <c r="AE266">
        <v>30</v>
      </c>
      <c r="AF266">
        <v>30</v>
      </c>
      <c r="AG266">
        <v>30</v>
      </c>
      <c r="AH266">
        <v>30</v>
      </c>
      <c r="AI266">
        <v>30</v>
      </c>
      <c r="AJ266">
        <v>30</v>
      </c>
      <c r="AK266">
        <v>30</v>
      </c>
      <c r="AL266">
        <v>30</v>
      </c>
      <c r="AM266">
        <v>40</v>
      </c>
      <c r="AN266">
        <v>40</v>
      </c>
      <c r="AO266">
        <v>40</v>
      </c>
      <c r="AP266">
        <v>36</v>
      </c>
      <c r="AQ266">
        <v>36.29</v>
      </c>
      <c r="AR266">
        <v>30</v>
      </c>
      <c r="AS266">
        <v>30</v>
      </c>
      <c r="AT266">
        <v>30</v>
      </c>
      <c r="AU266">
        <v>0</v>
      </c>
      <c r="AV266">
        <v>0</v>
      </c>
      <c r="AW266">
        <v>0</v>
      </c>
      <c r="AX266">
        <v>0</v>
      </c>
    </row>
    <row r="268" spans="1:50" x14ac:dyDescent="0.3">
      <c r="A268" t="s">
        <v>380</v>
      </c>
    </row>
    <row r="270" spans="1:50" x14ac:dyDescent="0.3">
      <c r="A270" t="s">
        <v>381</v>
      </c>
      <c r="B270">
        <v>16.670000000000002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8</v>
      </c>
      <c r="AJ270">
        <v>8</v>
      </c>
      <c r="AK270">
        <v>12</v>
      </c>
      <c r="AL270">
        <v>12</v>
      </c>
      <c r="AM270">
        <v>16.670000000000002</v>
      </c>
      <c r="AN270">
        <v>16.670000000000002</v>
      </c>
      <c r="AO270">
        <v>16.670000000000002</v>
      </c>
      <c r="AP270">
        <v>13.53</v>
      </c>
      <c r="AQ270">
        <v>16.16</v>
      </c>
      <c r="AR270">
        <v>12</v>
      </c>
      <c r="AS270">
        <v>8</v>
      </c>
      <c r="AT270">
        <v>8</v>
      </c>
      <c r="AU270">
        <v>0</v>
      </c>
      <c r="AV270">
        <v>0</v>
      </c>
      <c r="AW270">
        <v>0</v>
      </c>
      <c r="AX270">
        <v>0</v>
      </c>
    </row>
    <row r="271" spans="1:50" x14ac:dyDescent="0.3">
      <c r="A271" t="s">
        <v>382</v>
      </c>
      <c r="B271">
        <v>16.670000000000002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12</v>
      </c>
      <c r="AF271">
        <v>12</v>
      </c>
      <c r="AG271">
        <v>15.01</v>
      </c>
      <c r="AH271">
        <v>12.01</v>
      </c>
      <c r="AI271">
        <v>8</v>
      </c>
      <c r="AJ271">
        <v>8</v>
      </c>
      <c r="AK271">
        <v>12</v>
      </c>
      <c r="AL271">
        <v>8</v>
      </c>
      <c r="AM271">
        <v>16.670000000000002</v>
      </c>
      <c r="AN271">
        <v>16.670000000000002</v>
      </c>
      <c r="AO271">
        <v>16.670000000000002</v>
      </c>
      <c r="AP271">
        <v>13.71</v>
      </c>
      <c r="AQ271">
        <v>16.16</v>
      </c>
      <c r="AR271">
        <v>12</v>
      </c>
      <c r="AS271">
        <v>8</v>
      </c>
      <c r="AT271">
        <v>8</v>
      </c>
      <c r="AU271">
        <v>0</v>
      </c>
      <c r="AV271">
        <v>0</v>
      </c>
      <c r="AW271">
        <v>0</v>
      </c>
      <c r="AX271">
        <v>0</v>
      </c>
    </row>
    <row r="272" spans="1:50" x14ac:dyDescent="0.3">
      <c r="A272" t="s">
        <v>383</v>
      </c>
      <c r="B272">
        <v>16.670000000000002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8</v>
      </c>
      <c r="AJ272">
        <v>8</v>
      </c>
      <c r="AK272">
        <v>8</v>
      </c>
      <c r="AL272">
        <v>8</v>
      </c>
      <c r="AM272">
        <v>16.670000000000002</v>
      </c>
      <c r="AN272">
        <v>16.670000000000002</v>
      </c>
      <c r="AO272">
        <v>16.670000000000002</v>
      </c>
      <c r="AP272">
        <v>12</v>
      </c>
      <c r="AQ272">
        <v>16.16</v>
      </c>
      <c r="AR272">
        <v>12</v>
      </c>
      <c r="AS272">
        <v>8</v>
      </c>
      <c r="AT272">
        <v>8</v>
      </c>
      <c r="AU272">
        <v>0</v>
      </c>
      <c r="AV272">
        <v>0</v>
      </c>
      <c r="AW272">
        <v>0</v>
      </c>
      <c r="AX272">
        <v>0</v>
      </c>
    </row>
    <row r="274" spans="1:50" x14ac:dyDescent="0.3">
      <c r="A274" t="s">
        <v>384</v>
      </c>
      <c r="C274">
        <v>10</v>
      </c>
      <c r="D274">
        <v>10</v>
      </c>
      <c r="E274">
        <v>10</v>
      </c>
      <c r="F274">
        <v>40.4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18.7</v>
      </c>
      <c r="AD274">
        <v>40.4</v>
      </c>
      <c r="AE274">
        <v>40.4</v>
      </c>
      <c r="AF274">
        <v>40.4</v>
      </c>
      <c r="AG274">
        <v>10</v>
      </c>
      <c r="AH274">
        <v>10</v>
      </c>
      <c r="AI274">
        <v>10</v>
      </c>
      <c r="AJ274">
        <v>10</v>
      </c>
      <c r="AK274">
        <v>10</v>
      </c>
      <c r="AL274">
        <v>10</v>
      </c>
      <c r="AM274">
        <v>42.3</v>
      </c>
      <c r="AN274">
        <v>45.6</v>
      </c>
      <c r="AO274">
        <v>41.92</v>
      </c>
      <c r="AP274">
        <v>40.4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</row>
    <row r="276" spans="1:50" x14ac:dyDescent="0.3">
      <c r="A276" t="s">
        <v>385</v>
      </c>
      <c r="C276">
        <v>24</v>
      </c>
      <c r="D276">
        <v>10</v>
      </c>
      <c r="E276">
        <v>10</v>
      </c>
      <c r="F276">
        <v>45</v>
      </c>
      <c r="G276">
        <v>45.6</v>
      </c>
      <c r="H276">
        <v>45.6</v>
      </c>
      <c r="I276">
        <v>45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15.2</v>
      </c>
      <c r="S276">
        <v>45</v>
      </c>
      <c r="T276">
        <v>45</v>
      </c>
      <c r="U276">
        <v>45</v>
      </c>
      <c r="V276">
        <v>45</v>
      </c>
      <c r="W276">
        <v>45</v>
      </c>
      <c r="X276">
        <v>45</v>
      </c>
      <c r="Y276">
        <v>45</v>
      </c>
      <c r="Z276">
        <v>44</v>
      </c>
      <c r="AA276">
        <v>37.5</v>
      </c>
      <c r="AB276">
        <v>45</v>
      </c>
      <c r="AC276">
        <v>45.6</v>
      </c>
      <c r="AD276">
        <v>45</v>
      </c>
      <c r="AE276">
        <v>45</v>
      </c>
      <c r="AF276">
        <v>45</v>
      </c>
      <c r="AG276">
        <v>45.6</v>
      </c>
      <c r="AH276">
        <v>45.6</v>
      </c>
      <c r="AI276">
        <v>45</v>
      </c>
      <c r="AJ276">
        <v>10</v>
      </c>
      <c r="AK276">
        <v>10</v>
      </c>
      <c r="AL276">
        <v>10</v>
      </c>
      <c r="AM276">
        <v>45</v>
      </c>
      <c r="AN276">
        <v>45.6</v>
      </c>
      <c r="AO276">
        <v>45</v>
      </c>
      <c r="AP276">
        <v>45</v>
      </c>
      <c r="AQ276">
        <v>45.6</v>
      </c>
      <c r="AR276">
        <v>45</v>
      </c>
      <c r="AS276">
        <v>45</v>
      </c>
      <c r="AT276">
        <v>10</v>
      </c>
      <c r="AU276">
        <v>45</v>
      </c>
      <c r="AV276">
        <v>10</v>
      </c>
      <c r="AW276">
        <v>45</v>
      </c>
      <c r="AX276">
        <v>10</v>
      </c>
    </row>
    <row r="278" spans="1:50" x14ac:dyDescent="0.3">
      <c r="A278" t="s">
        <v>386</v>
      </c>
      <c r="C278">
        <v>45</v>
      </c>
      <c r="D278">
        <v>32</v>
      </c>
      <c r="E278">
        <v>9.5</v>
      </c>
      <c r="F278">
        <v>45</v>
      </c>
      <c r="G278">
        <v>45.6</v>
      </c>
      <c r="H278">
        <v>45.6</v>
      </c>
      <c r="I278">
        <v>45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>
        <v>10</v>
      </c>
      <c r="S278">
        <v>38.24</v>
      </c>
      <c r="T278">
        <v>45</v>
      </c>
      <c r="U278">
        <v>10</v>
      </c>
      <c r="V278">
        <v>45</v>
      </c>
      <c r="W278">
        <v>45</v>
      </c>
      <c r="X278">
        <v>45</v>
      </c>
      <c r="Y278">
        <v>45.6</v>
      </c>
      <c r="Z278">
        <v>45</v>
      </c>
      <c r="AA278">
        <v>45</v>
      </c>
      <c r="AB278">
        <v>45</v>
      </c>
      <c r="AC278">
        <v>45.6</v>
      </c>
      <c r="AD278">
        <v>45</v>
      </c>
      <c r="AE278">
        <v>45</v>
      </c>
      <c r="AF278">
        <v>45</v>
      </c>
      <c r="AG278">
        <v>45.6</v>
      </c>
      <c r="AH278">
        <v>45.6</v>
      </c>
      <c r="AI278">
        <v>45</v>
      </c>
      <c r="AJ278">
        <v>45</v>
      </c>
      <c r="AK278">
        <v>10</v>
      </c>
      <c r="AL278">
        <v>10</v>
      </c>
      <c r="AM278">
        <v>45</v>
      </c>
      <c r="AN278">
        <v>45.6</v>
      </c>
      <c r="AO278">
        <v>45</v>
      </c>
      <c r="AP278">
        <v>45</v>
      </c>
      <c r="AQ278">
        <v>45.6</v>
      </c>
      <c r="AR278">
        <v>45</v>
      </c>
      <c r="AS278">
        <v>39.700000000000003</v>
      </c>
      <c r="AT278">
        <v>34.200000000000003</v>
      </c>
      <c r="AU278">
        <v>32</v>
      </c>
      <c r="AV278">
        <v>25.7</v>
      </c>
      <c r="AW278">
        <v>10</v>
      </c>
      <c r="AX278">
        <v>10</v>
      </c>
    </row>
    <row r="280" spans="1:50" x14ac:dyDescent="0.3">
      <c r="A280" t="s">
        <v>387</v>
      </c>
      <c r="C280">
        <v>45</v>
      </c>
      <c r="D280">
        <v>45</v>
      </c>
      <c r="E280">
        <v>45</v>
      </c>
      <c r="F280">
        <v>45</v>
      </c>
      <c r="G280">
        <v>45.6</v>
      </c>
      <c r="H280">
        <v>45.6</v>
      </c>
      <c r="I280">
        <v>45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40.96</v>
      </c>
      <c r="U280">
        <v>45</v>
      </c>
      <c r="V280">
        <v>45</v>
      </c>
      <c r="W280">
        <v>45</v>
      </c>
      <c r="X280">
        <v>45</v>
      </c>
      <c r="Y280">
        <v>45.35</v>
      </c>
      <c r="Z280">
        <v>45</v>
      </c>
      <c r="AA280">
        <v>45</v>
      </c>
      <c r="AB280">
        <v>45</v>
      </c>
      <c r="AC280">
        <v>45.6</v>
      </c>
      <c r="AD280">
        <v>45</v>
      </c>
      <c r="AE280">
        <v>45</v>
      </c>
      <c r="AF280">
        <v>45</v>
      </c>
      <c r="AG280">
        <v>45.6</v>
      </c>
      <c r="AH280">
        <v>45.6</v>
      </c>
      <c r="AI280">
        <v>45</v>
      </c>
      <c r="AJ280">
        <v>45</v>
      </c>
      <c r="AK280">
        <v>45</v>
      </c>
      <c r="AL280">
        <v>45</v>
      </c>
      <c r="AM280">
        <v>45</v>
      </c>
      <c r="AN280">
        <v>45.6</v>
      </c>
      <c r="AO280">
        <v>45</v>
      </c>
      <c r="AP280">
        <v>45</v>
      </c>
      <c r="AQ280">
        <v>45.6</v>
      </c>
      <c r="AR280">
        <v>45</v>
      </c>
      <c r="AS280">
        <v>45</v>
      </c>
      <c r="AT280">
        <v>45</v>
      </c>
      <c r="AU280">
        <v>45</v>
      </c>
      <c r="AV280">
        <v>45</v>
      </c>
      <c r="AW280">
        <v>10</v>
      </c>
      <c r="AX280">
        <v>10</v>
      </c>
    </row>
    <row r="281" spans="1:50" x14ac:dyDescent="0.3">
      <c r="C281" t="s">
        <v>289</v>
      </c>
      <c r="D281" t="s">
        <v>289</v>
      </c>
      <c r="E281" t="s">
        <v>289</v>
      </c>
      <c r="F281" t="s">
        <v>289</v>
      </c>
      <c r="G281" t="s">
        <v>289</v>
      </c>
      <c r="H281" t="s">
        <v>289</v>
      </c>
      <c r="I281" t="s">
        <v>289</v>
      </c>
      <c r="J281" t="s">
        <v>289</v>
      </c>
      <c r="K281" t="s">
        <v>289</v>
      </c>
      <c r="L281" t="s">
        <v>289</v>
      </c>
      <c r="M281" t="s">
        <v>289</v>
      </c>
      <c r="N281" t="s">
        <v>289</v>
      </c>
      <c r="O281" t="s">
        <v>289</v>
      </c>
      <c r="P281" t="s">
        <v>289</v>
      </c>
      <c r="Q281" t="s">
        <v>289</v>
      </c>
      <c r="R281" t="s">
        <v>289</v>
      </c>
      <c r="S281" t="s">
        <v>289</v>
      </c>
      <c r="T281" t="s">
        <v>289</v>
      </c>
      <c r="U281" t="s">
        <v>289</v>
      </c>
      <c r="V281" t="s">
        <v>289</v>
      </c>
      <c r="W281" t="s">
        <v>289</v>
      </c>
      <c r="X281" t="s">
        <v>289</v>
      </c>
      <c r="Y281" t="s">
        <v>289</v>
      </c>
      <c r="Z281" t="s">
        <v>289</v>
      </c>
      <c r="AA281" t="s">
        <v>289</v>
      </c>
      <c r="AB281" t="s">
        <v>289</v>
      </c>
      <c r="AC281" t="s">
        <v>289</v>
      </c>
      <c r="AD281" t="s">
        <v>289</v>
      </c>
      <c r="AE281" t="s">
        <v>289</v>
      </c>
      <c r="AF281" t="s">
        <v>289</v>
      </c>
      <c r="AG281" t="s">
        <v>289</v>
      </c>
      <c r="AH281" t="s">
        <v>289</v>
      </c>
      <c r="AI281" t="s">
        <v>289</v>
      </c>
      <c r="AJ281" t="s">
        <v>289</v>
      </c>
      <c r="AK281" t="s">
        <v>289</v>
      </c>
      <c r="AL281" t="s">
        <v>289</v>
      </c>
      <c r="AM281" t="s">
        <v>289</v>
      </c>
      <c r="AN281" t="s">
        <v>289</v>
      </c>
      <c r="AO281" t="s">
        <v>289</v>
      </c>
      <c r="AP281" t="s">
        <v>289</v>
      </c>
      <c r="AQ281" t="s">
        <v>289</v>
      </c>
      <c r="AR281" t="s">
        <v>289</v>
      </c>
      <c r="AS281" t="s">
        <v>289</v>
      </c>
      <c r="AT281" t="s">
        <v>289</v>
      </c>
      <c r="AU281" t="s">
        <v>289</v>
      </c>
      <c r="AV281" t="s">
        <v>289</v>
      </c>
      <c r="AW281" t="s">
        <v>289</v>
      </c>
      <c r="AX281" t="s">
        <v>289</v>
      </c>
    </row>
    <row r="283" spans="1:50" x14ac:dyDescent="0.3">
      <c r="A283" t="s">
        <v>388</v>
      </c>
      <c r="B283">
        <v>125</v>
      </c>
      <c r="C283">
        <v>125</v>
      </c>
      <c r="D283">
        <v>125</v>
      </c>
      <c r="E283">
        <v>125</v>
      </c>
      <c r="F283">
        <v>125</v>
      </c>
      <c r="G283">
        <v>125</v>
      </c>
      <c r="H283">
        <v>125</v>
      </c>
      <c r="I283">
        <v>125</v>
      </c>
      <c r="J283">
        <v>83.75</v>
      </c>
      <c r="K283">
        <v>84.75</v>
      </c>
      <c r="L283">
        <v>84.75</v>
      </c>
      <c r="M283">
        <v>103.75</v>
      </c>
      <c r="N283">
        <v>89.98</v>
      </c>
      <c r="O283">
        <v>97.71</v>
      </c>
      <c r="P283">
        <v>95.95</v>
      </c>
      <c r="Q283">
        <v>125</v>
      </c>
      <c r="R283">
        <v>125</v>
      </c>
      <c r="S283">
        <v>125</v>
      </c>
      <c r="T283">
        <v>125</v>
      </c>
      <c r="U283">
        <v>125</v>
      </c>
      <c r="V283">
        <v>125</v>
      </c>
      <c r="W283">
        <v>125</v>
      </c>
      <c r="X283">
        <v>125</v>
      </c>
      <c r="Y283">
        <v>125</v>
      </c>
      <c r="Z283">
        <v>125</v>
      </c>
      <c r="AA283">
        <v>125</v>
      </c>
      <c r="AB283">
        <v>125</v>
      </c>
      <c r="AC283">
        <v>125</v>
      </c>
      <c r="AD283">
        <v>125</v>
      </c>
      <c r="AE283">
        <v>125</v>
      </c>
      <c r="AF283">
        <v>125</v>
      </c>
      <c r="AG283">
        <v>125</v>
      </c>
      <c r="AH283">
        <v>125</v>
      </c>
      <c r="AI283">
        <v>125</v>
      </c>
      <c r="AJ283">
        <v>125</v>
      </c>
      <c r="AK283">
        <v>125</v>
      </c>
      <c r="AL283">
        <v>125</v>
      </c>
      <c r="AM283">
        <v>125</v>
      </c>
      <c r="AN283">
        <v>125</v>
      </c>
      <c r="AO283">
        <v>125</v>
      </c>
      <c r="AP283">
        <v>125</v>
      </c>
      <c r="AQ283">
        <v>125</v>
      </c>
      <c r="AR283">
        <v>125</v>
      </c>
      <c r="AS283">
        <v>125</v>
      </c>
      <c r="AT283">
        <v>125</v>
      </c>
      <c r="AU283">
        <v>125</v>
      </c>
      <c r="AV283">
        <v>125</v>
      </c>
      <c r="AW283">
        <v>125</v>
      </c>
      <c r="AX283">
        <v>125</v>
      </c>
    </row>
    <row r="284" spans="1:50" x14ac:dyDescent="0.3">
      <c r="A284" t="s">
        <v>389</v>
      </c>
      <c r="B284">
        <v>125</v>
      </c>
      <c r="C284">
        <v>125</v>
      </c>
      <c r="D284">
        <v>125</v>
      </c>
      <c r="E284">
        <v>125</v>
      </c>
      <c r="F284">
        <v>125</v>
      </c>
      <c r="G284">
        <v>125</v>
      </c>
      <c r="H284">
        <v>125</v>
      </c>
      <c r="I284">
        <v>125</v>
      </c>
      <c r="J284">
        <v>62</v>
      </c>
      <c r="K284">
        <v>62</v>
      </c>
      <c r="L284">
        <v>62</v>
      </c>
      <c r="M284">
        <v>62</v>
      </c>
      <c r="N284">
        <v>62</v>
      </c>
      <c r="O284">
        <v>62</v>
      </c>
      <c r="P284">
        <v>62</v>
      </c>
      <c r="Q284">
        <v>62</v>
      </c>
      <c r="R284">
        <v>84</v>
      </c>
      <c r="S284">
        <v>95</v>
      </c>
      <c r="T284">
        <v>95</v>
      </c>
      <c r="U284">
        <v>102</v>
      </c>
      <c r="V284">
        <v>103</v>
      </c>
      <c r="W284">
        <v>125</v>
      </c>
      <c r="X284">
        <v>125</v>
      </c>
      <c r="Y284">
        <v>125</v>
      </c>
      <c r="Z284">
        <v>125</v>
      </c>
      <c r="AA284">
        <v>125</v>
      </c>
      <c r="AB284">
        <v>125</v>
      </c>
      <c r="AC284">
        <v>125</v>
      </c>
      <c r="AD284">
        <v>125</v>
      </c>
      <c r="AE284">
        <v>125</v>
      </c>
      <c r="AF284">
        <v>125</v>
      </c>
      <c r="AG284">
        <v>125</v>
      </c>
      <c r="AH284">
        <v>125</v>
      </c>
      <c r="AI284">
        <v>125</v>
      </c>
      <c r="AJ284">
        <v>125</v>
      </c>
      <c r="AK284">
        <v>125</v>
      </c>
      <c r="AL284">
        <v>125</v>
      </c>
      <c r="AM284">
        <v>125</v>
      </c>
      <c r="AN284">
        <v>125</v>
      </c>
      <c r="AO284">
        <v>125</v>
      </c>
      <c r="AP284">
        <v>125</v>
      </c>
      <c r="AQ284">
        <v>125</v>
      </c>
      <c r="AR284">
        <v>125</v>
      </c>
      <c r="AS284">
        <v>125</v>
      </c>
      <c r="AT284">
        <v>125</v>
      </c>
      <c r="AU284">
        <v>125</v>
      </c>
      <c r="AV284">
        <v>125</v>
      </c>
      <c r="AW284">
        <v>125</v>
      </c>
      <c r="AX284">
        <v>125</v>
      </c>
    </row>
    <row r="285" spans="1:50" x14ac:dyDescent="0.3">
      <c r="A285" t="s">
        <v>390</v>
      </c>
      <c r="B285">
        <v>130</v>
      </c>
      <c r="C285">
        <v>130</v>
      </c>
      <c r="D285">
        <v>130</v>
      </c>
      <c r="E285">
        <v>130</v>
      </c>
      <c r="F285">
        <v>130</v>
      </c>
      <c r="G285">
        <v>130</v>
      </c>
      <c r="H285">
        <v>130</v>
      </c>
      <c r="I285">
        <v>130</v>
      </c>
      <c r="J285">
        <v>78.3</v>
      </c>
      <c r="K285">
        <v>78.8</v>
      </c>
      <c r="L285">
        <v>90.8</v>
      </c>
      <c r="M285">
        <v>95.4</v>
      </c>
      <c r="N285">
        <v>78.8</v>
      </c>
      <c r="O285">
        <v>78.8</v>
      </c>
      <c r="P285">
        <v>78.8</v>
      </c>
      <c r="Q285">
        <v>113</v>
      </c>
      <c r="R285">
        <v>130</v>
      </c>
      <c r="S285">
        <v>130</v>
      </c>
      <c r="T285">
        <v>130</v>
      </c>
      <c r="U285">
        <v>130</v>
      </c>
      <c r="V285">
        <v>130</v>
      </c>
      <c r="W285">
        <v>130</v>
      </c>
      <c r="X285">
        <v>130</v>
      </c>
      <c r="Y285">
        <v>130</v>
      </c>
      <c r="Z285">
        <v>130</v>
      </c>
      <c r="AA285">
        <v>130</v>
      </c>
      <c r="AB285">
        <v>130</v>
      </c>
      <c r="AC285">
        <v>130</v>
      </c>
      <c r="AD285">
        <v>130</v>
      </c>
      <c r="AE285">
        <v>130</v>
      </c>
      <c r="AF285">
        <v>130</v>
      </c>
      <c r="AG285">
        <v>130</v>
      </c>
      <c r="AH285">
        <v>130</v>
      </c>
      <c r="AI285">
        <v>130</v>
      </c>
      <c r="AJ285">
        <v>130</v>
      </c>
      <c r="AK285">
        <v>130</v>
      </c>
      <c r="AL285">
        <v>130</v>
      </c>
      <c r="AM285">
        <v>130</v>
      </c>
      <c r="AN285">
        <v>130</v>
      </c>
      <c r="AO285">
        <v>130</v>
      </c>
      <c r="AP285">
        <v>130</v>
      </c>
      <c r="AQ285">
        <v>130</v>
      </c>
      <c r="AR285">
        <v>130</v>
      </c>
      <c r="AS285">
        <v>130</v>
      </c>
      <c r="AT285">
        <v>130</v>
      </c>
      <c r="AU285">
        <v>130</v>
      </c>
      <c r="AV285">
        <v>130</v>
      </c>
      <c r="AW285">
        <v>130</v>
      </c>
      <c r="AX285">
        <v>130</v>
      </c>
    </row>
    <row r="287" spans="1:50" x14ac:dyDescent="0.3">
      <c r="A287" t="s">
        <v>391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60</v>
      </c>
      <c r="V287">
        <v>60</v>
      </c>
      <c r="W287">
        <v>60</v>
      </c>
      <c r="X287">
        <v>60</v>
      </c>
      <c r="Y287">
        <v>60</v>
      </c>
      <c r="Z287">
        <v>60</v>
      </c>
      <c r="AA287">
        <v>60</v>
      </c>
      <c r="AB287">
        <v>60</v>
      </c>
      <c r="AC287">
        <v>60</v>
      </c>
      <c r="AD287">
        <v>60</v>
      </c>
      <c r="AE287">
        <v>60</v>
      </c>
      <c r="AF287">
        <v>60</v>
      </c>
      <c r="AG287">
        <v>60</v>
      </c>
      <c r="AH287">
        <v>60</v>
      </c>
      <c r="AI287">
        <v>60</v>
      </c>
      <c r="AJ287">
        <v>60</v>
      </c>
      <c r="AK287">
        <v>60</v>
      </c>
      <c r="AL287">
        <v>60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3">
      <c r="A288" t="s">
        <v>392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90" spans="1:50" x14ac:dyDescent="0.3">
      <c r="A290" t="s">
        <v>393</v>
      </c>
      <c r="B290">
        <v>22.2</v>
      </c>
    </row>
    <row r="292" spans="1:50" x14ac:dyDescent="0.3">
      <c r="A292" t="s">
        <v>394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50</v>
      </c>
      <c r="O292">
        <v>50</v>
      </c>
      <c r="P292">
        <v>50</v>
      </c>
      <c r="Q292">
        <v>50</v>
      </c>
      <c r="R292">
        <v>50</v>
      </c>
      <c r="S292">
        <v>50</v>
      </c>
      <c r="T292">
        <v>50</v>
      </c>
      <c r="U292">
        <v>50</v>
      </c>
      <c r="V292">
        <v>50</v>
      </c>
      <c r="W292">
        <v>50</v>
      </c>
      <c r="X292">
        <v>50</v>
      </c>
      <c r="Y292">
        <v>50</v>
      </c>
      <c r="Z292">
        <v>50</v>
      </c>
      <c r="AA292">
        <v>50</v>
      </c>
      <c r="AB292">
        <v>50</v>
      </c>
      <c r="AC292">
        <v>50</v>
      </c>
      <c r="AD292">
        <v>50</v>
      </c>
      <c r="AE292">
        <v>50</v>
      </c>
      <c r="AF292">
        <v>50</v>
      </c>
      <c r="AG292">
        <v>50</v>
      </c>
      <c r="AH292">
        <v>50</v>
      </c>
      <c r="AI292">
        <v>50</v>
      </c>
      <c r="AJ292">
        <v>50</v>
      </c>
      <c r="AK292">
        <v>50</v>
      </c>
      <c r="AL292">
        <v>50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3">
      <c r="A293" t="s">
        <v>395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5" spans="1:50" x14ac:dyDescent="0.3">
      <c r="A295" t="s">
        <v>293</v>
      </c>
      <c r="C295">
        <v>726</v>
      </c>
      <c r="D295">
        <v>699</v>
      </c>
      <c r="E295">
        <v>676.5</v>
      </c>
      <c r="F295">
        <v>805</v>
      </c>
      <c r="G295">
        <v>790</v>
      </c>
      <c r="H295">
        <v>778.8</v>
      </c>
      <c r="I295">
        <v>762.6</v>
      </c>
      <c r="J295">
        <v>486.05</v>
      </c>
      <c r="K295">
        <v>487.55</v>
      </c>
      <c r="L295">
        <v>499.55</v>
      </c>
      <c r="M295">
        <v>523.15</v>
      </c>
      <c r="N295">
        <v>542.78</v>
      </c>
      <c r="O295">
        <v>550.51</v>
      </c>
      <c r="P295">
        <v>548.75</v>
      </c>
      <c r="Q295">
        <v>612</v>
      </c>
      <c r="R295">
        <v>656.2</v>
      </c>
      <c r="S295">
        <v>725.24</v>
      </c>
      <c r="T295">
        <v>762.96</v>
      </c>
      <c r="U295">
        <v>799</v>
      </c>
      <c r="V295">
        <v>835</v>
      </c>
      <c r="W295">
        <v>860.4</v>
      </c>
      <c r="X295">
        <v>862.7</v>
      </c>
      <c r="Y295">
        <v>863.75</v>
      </c>
      <c r="Z295">
        <v>856</v>
      </c>
      <c r="AA295">
        <v>849.5</v>
      </c>
      <c r="AB295">
        <v>860.3</v>
      </c>
      <c r="AC295">
        <v>882.5</v>
      </c>
      <c r="AD295">
        <v>898.4</v>
      </c>
      <c r="AE295">
        <v>908.9</v>
      </c>
      <c r="AF295">
        <v>920.9</v>
      </c>
      <c r="AG295">
        <v>918.81</v>
      </c>
      <c r="AH295">
        <v>915.81</v>
      </c>
      <c r="AI295">
        <v>900.39</v>
      </c>
      <c r="AJ295">
        <v>886.47</v>
      </c>
      <c r="AK295">
        <v>874</v>
      </c>
      <c r="AL295">
        <v>870</v>
      </c>
      <c r="AM295">
        <v>924.71</v>
      </c>
      <c r="AN295">
        <v>938.01</v>
      </c>
      <c r="AO295">
        <v>924.33</v>
      </c>
      <c r="AP295">
        <v>903.64</v>
      </c>
      <c r="AQ295">
        <v>888.57</v>
      </c>
      <c r="AR295">
        <v>856.7</v>
      </c>
      <c r="AS295">
        <v>820.7</v>
      </c>
      <c r="AT295">
        <v>780.2</v>
      </c>
      <c r="AU295">
        <v>729</v>
      </c>
      <c r="AV295">
        <v>687.7</v>
      </c>
      <c r="AW295">
        <v>651.22</v>
      </c>
      <c r="AX295">
        <v>616.67999999999995</v>
      </c>
    </row>
    <row r="296" spans="1:50" x14ac:dyDescent="0.3">
      <c r="A296" t="s">
        <v>294</v>
      </c>
      <c r="C296">
        <v>875.94</v>
      </c>
      <c r="D296">
        <v>848.8</v>
      </c>
      <c r="E296">
        <v>826.12</v>
      </c>
      <c r="F296">
        <v>805.03</v>
      </c>
      <c r="G296">
        <v>790.04</v>
      </c>
      <c r="H296">
        <v>778.8</v>
      </c>
      <c r="I296">
        <v>762.61</v>
      </c>
      <c r="J296">
        <v>756.03</v>
      </c>
      <c r="K296">
        <v>757.5</v>
      </c>
      <c r="L296">
        <v>769.53</v>
      </c>
      <c r="M296">
        <v>793.13</v>
      </c>
      <c r="N296">
        <v>815.28</v>
      </c>
      <c r="O296">
        <v>826.61</v>
      </c>
      <c r="P296">
        <v>829.01</v>
      </c>
      <c r="Q296">
        <v>896.34</v>
      </c>
      <c r="R296">
        <v>943.45</v>
      </c>
      <c r="S296">
        <v>1014.72</v>
      </c>
      <c r="T296">
        <v>1053.3800000000001</v>
      </c>
      <c r="U296">
        <v>1089.6199999999999</v>
      </c>
      <c r="V296">
        <v>1125.8599999999999</v>
      </c>
      <c r="W296">
        <v>1151.22</v>
      </c>
      <c r="X296">
        <v>1153.6400000000001</v>
      </c>
      <c r="Y296">
        <v>1154.8499999999999</v>
      </c>
      <c r="Z296">
        <v>1147</v>
      </c>
      <c r="AA296">
        <v>1140</v>
      </c>
      <c r="AB296">
        <v>1151</v>
      </c>
      <c r="AC296">
        <v>1172.8900000000001</v>
      </c>
      <c r="AD296">
        <v>1188</v>
      </c>
      <c r="AE296">
        <v>1197</v>
      </c>
      <c r="AF296">
        <v>1206</v>
      </c>
      <c r="AG296">
        <v>1200</v>
      </c>
      <c r="AH296">
        <v>1193</v>
      </c>
      <c r="AI296">
        <v>1174</v>
      </c>
      <c r="AJ296">
        <v>1158</v>
      </c>
      <c r="AK296">
        <v>1144</v>
      </c>
      <c r="AL296">
        <v>1140</v>
      </c>
      <c r="AM296">
        <v>1194.75</v>
      </c>
      <c r="AN296">
        <v>1208</v>
      </c>
      <c r="AO296">
        <v>1194.3699999999999</v>
      </c>
      <c r="AP296">
        <v>1173.6400000000001</v>
      </c>
      <c r="AQ296">
        <v>1158.57</v>
      </c>
      <c r="AR296">
        <v>1126.69</v>
      </c>
      <c r="AS296">
        <v>1090.73</v>
      </c>
      <c r="AT296">
        <v>1050.21</v>
      </c>
      <c r="AU296">
        <v>999</v>
      </c>
      <c r="AV296">
        <v>957.7</v>
      </c>
      <c r="AW296">
        <v>921.22</v>
      </c>
      <c r="AX296">
        <v>886.68</v>
      </c>
    </row>
    <row r="298" spans="1:50" x14ac:dyDescent="0.3">
      <c r="A298" t="s">
        <v>396</v>
      </c>
    </row>
    <row r="300" spans="1:50" x14ac:dyDescent="0.3">
      <c r="A300" t="s">
        <v>397</v>
      </c>
      <c r="C300">
        <v>25751.21</v>
      </c>
      <c r="D300">
        <v>25740.9</v>
      </c>
      <c r="E300">
        <v>25523.759999999998</v>
      </c>
      <c r="F300">
        <v>25260.41</v>
      </c>
      <c r="G300">
        <v>25112.36</v>
      </c>
      <c r="H300">
        <v>24944.41</v>
      </c>
      <c r="I300">
        <v>24935.119999999999</v>
      </c>
      <c r="J300">
        <v>25039.47</v>
      </c>
      <c r="K300">
        <v>25644.52</v>
      </c>
      <c r="L300">
        <v>26435.27</v>
      </c>
      <c r="M300">
        <v>27162.66</v>
      </c>
      <c r="N300">
        <v>26957.29</v>
      </c>
      <c r="O300">
        <v>26755.52</v>
      </c>
      <c r="P300">
        <v>27038.720000000001</v>
      </c>
      <c r="Q300">
        <v>28421.97</v>
      </c>
      <c r="R300">
        <v>29569.56</v>
      </c>
      <c r="S300">
        <v>30354.14</v>
      </c>
      <c r="T300">
        <v>31442.17</v>
      </c>
      <c r="U300">
        <v>31974.34</v>
      </c>
      <c r="V300">
        <v>32308.68</v>
      </c>
      <c r="W300">
        <v>32699.1</v>
      </c>
      <c r="X300">
        <v>32778.5</v>
      </c>
      <c r="Y300">
        <v>32551.919999999998</v>
      </c>
      <c r="Z300">
        <v>31707.48</v>
      </c>
      <c r="AA300">
        <v>31682.37</v>
      </c>
      <c r="AB300">
        <v>32584.02</v>
      </c>
      <c r="AC300">
        <v>33811.370000000003</v>
      </c>
      <c r="AD300">
        <v>33908.97</v>
      </c>
      <c r="AE300">
        <v>33997.46</v>
      </c>
      <c r="AF300">
        <v>33993.18</v>
      </c>
      <c r="AG300">
        <v>33958.11</v>
      </c>
      <c r="AH300">
        <v>33609.879999999997</v>
      </c>
      <c r="AI300">
        <v>33364.239999999998</v>
      </c>
      <c r="AJ300">
        <v>33288.89</v>
      </c>
      <c r="AK300">
        <v>33702.89</v>
      </c>
      <c r="AL300">
        <v>34635.47</v>
      </c>
      <c r="AM300">
        <v>34426.949999999997</v>
      </c>
      <c r="AN300">
        <v>34088.720000000001</v>
      </c>
      <c r="AO300">
        <v>33907.03</v>
      </c>
      <c r="AP300">
        <v>33582.879999999997</v>
      </c>
      <c r="AQ300">
        <v>33315.94</v>
      </c>
      <c r="AR300">
        <v>32807.54</v>
      </c>
      <c r="AS300">
        <v>32208.79</v>
      </c>
      <c r="AT300">
        <v>31528.11</v>
      </c>
      <c r="AU300">
        <v>30814.74</v>
      </c>
      <c r="AV300">
        <v>29993.71</v>
      </c>
      <c r="AW300">
        <v>29530.09</v>
      </c>
      <c r="AX300">
        <v>28843.64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812"/>
  <sheetViews>
    <sheetView workbookViewId="0"/>
  </sheetViews>
  <sheetFormatPr defaultRowHeight="14.4" x14ac:dyDescent="0.3"/>
  <sheetData>
    <row r="1" spans="1:51" x14ac:dyDescent="0.3">
      <c r="A1" t="s">
        <v>203</v>
      </c>
      <c r="B1" t="s">
        <v>131</v>
      </c>
      <c r="C1" t="s">
        <v>398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</row>
    <row r="3" spans="1:51" x14ac:dyDescent="0.3">
      <c r="A3" t="s">
        <v>252</v>
      </c>
    </row>
    <row r="5" spans="1:51" x14ac:dyDescent="0.3">
      <c r="A5" t="s">
        <v>399</v>
      </c>
      <c r="C5" t="s">
        <v>400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3">
      <c r="C6" t="s">
        <v>401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8" spans="1:51" x14ac:dyDescent="0.3">
      <c r="A8" t="s">
        <v>402</v>
      </c>
      <c r="C8" t="s">
        <v>400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3">
      <c r="C9" t="s">
        <v>401</v>
      </c>
      <c r="D9">
        <v>-1</v>
      </c>
      <c r="E9">
        <v>-1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1" spans="1:51" x14ac:dyDescent="0.3">
      <c r="A11" t="s">
        <v>255</v>
      </c>
      <c r="B11">
        <v>371.5</v>
      </c>
      <c r="C11" t="s">
        <v>400</v>
      </c>
      <c r="D11">
        <v>248</v>
      </c>
      <c r="E11">
        <v>250</v>
      </c>
      <c r="F11">
        <v>245</v>
      </c>
      <c r="G11">
        <v>244</v>
      </c>
      <c r="H11">
        <v>245</v>
      </c>
      <c r="I11">
        <v>236</v>
      </c>
      <c r="J11">
        <v>244</v>
      </c>
      <c r="K11">
        <v>219</v>
      </c>
      <c r="L11">
        <v>228</v>
      </c>
      <c r="M11">
        <v>263</v>
      </c>
      <c r="N11">
        <v>254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C12" t="s">
        <v>401</v>
      </c>
      <c r="D12">
        <v>-15</v>
      </c>
      <c r="E12">
        <v>-15</v>
      </c>
      <c r="F12">
        <v>-16</v>
      </c>
      <c r="G12">
        <v>-17</v>
      </c>
      <c r="H12">
        <v>-23</v>
      </c>
      <c r="I12">
        <v>-27</v>
      </c>
      <c r="J12">
        <v>-27</v>
      </c>
      <c r="K12">
        <v>-25</v>
      </c>
      <c r="L12">
        <v>-24</v>
      </c>
      <c r="M12">
        <v>-24</v>
      </c>
      <c r="N12">
        <v>-19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4" spans="1:51" x14ac:dyDescent="0.3">
      <c r="A14" t="s">
        <v>256</v>
      </c>
      <c r="B14">
        <v>371.5</v>
      </c>
      <c r="C14" t="s">
        <v>400</v>
      </c>
      <c r="D14">
        <v>253</v>
      </c>
      <c r="E14">
        <v>260</v>
      </c>
      <c r="F14">
        <v>248</v>
      </c>
      <c r="G14">
        <v>255</v>
      </c>
      <c r="H14">
        <v>256</v>
      </c>
      <c r="I14">
        <v>250</v>
      </c>
      <c r="J14">
        <v>260</v>
      </c>
      <c r="K14">
        <v>260</v>
      </c>
      <c r="L14">
        <v>268</v>
      </c>
      <c r="M14">
        <v>253</v>
      </c>
      <c r="N14">
        <v>237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3">
      <c r="C15" t="s">
        <v>401</v>
      </c>
      <c r="D15">
        <v>25</v>
      </c>
      <c r="E15">
        <v>11</v>
      </c>
      <c r="F15">
        <v>17</v>
      </c>
      <c r="G15">
        <v>15</v>
      </c>
      <c r="H15">
        <v>8</v>
      </c>
      <c r="I15">
        <v>8</v>
      </c>
      <c r="J15">
        <v>0</v>
      </c>
      <c r="K15">
        <v>7</v>
      </c>
      <c r="L15">
        <v>14</v>
      </c>
      <c r="M15">
        <v>20</v>
      </c>
      <c r="N15">
        <v>22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7" spans="1:51" x14ac:dyDescent="0.3">
      <c r="A17" t="s">
        <v>257</v>
      </c>
      <c r="B17">
        <v>371.5</v>
      </c>
      <c r="C17" t="s">
        <v>400</v>
      </c>
      <c r="D17">
        <v>225</v>
      </c>
      <c r="E17">
        <v>253</v>
      </c>
      <c r="F17">
        <v>251</v>
      </c>
      <c r="G17">
        <v>239</v>
      </c>
      <c r="H17">
        <v>248</v>
      </c>
      <c r="I17">
        <v>248</v>
      </c>
      <c r="J17">
        <v>252</v>
      </c>
      <c r="K17">
        <v>262</v>
      </c>
      <c r="L17">
        <v>247</v>
      </c>
      <c r="M17">
        <v>256</v>
      </c>
      <c r="N17">
        <v>256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">
      <c r="C18" t="s">
        <v>401</v>
      </c>
      <c r="D18">
        <v>17</v>
      </c>
      <c r="E18">
        <v>9</v>
      </c>
      <c r="F18">
        <v>10</v>
      </c>
      <c r="G18">
        <v>3</v>
      </c>
      <c r="H18">
        <v>-1</v>
      </c>
      <c r="I18">
        <v>-7</v>
      </c>
      <c r="J18">
        <v>-5</v>
      </c>
      <c r="K18">
        <v>-9</v>
      </c>
      <c r="L18">
        <v>0</v>
      </c>
      <c r="M18">
        <v>3</v>
      </c>
      <c r="N18">
        <v>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20" spans="1:51" x14ac:dyDescent="0.3">
      <c r="A20" t="s">
        <v>258</v>
      </c>
      <c r="B20">
        <v>575.20000000000005</v>
      </c>
      <c r="C20" t="s">
        <v>400</v>
      </c>
      <c r="D20">
        <v>329</v>
      </c>
      <c r="E20">
        <v>334</v>
      </c>
      <c r="F20">
        <v>356</v>
      </c>
      <c r="G20">
        <v>388</v>
      </c>
      <c r="H20">
        <v>394</v>
      </c>
      <c r="I20">
        <v>380</v>
      </c>
      <c r="J20">
        <v>383</v>
      </c>
      <c r="K20">
        <v>391</v>
      </c>
      <c r="L20">
        <v>388</v>
      </c>
      <c r="M20">
        <v>388</v>
      </c>
      <c r="N20">
        <v>387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C21" t="s">
        <v>401</v>
      </c>
      <c r="D21">
        <v>-23</v>
      </c>
      <c r="E21">
        <v>-28</v>
      </c>
      <c r="F21">
        <v>-33</v>
      </c>
      <c r="G21">
        <v>-40</v>
      </c>
      <c r="H21">
        <v>-47</v>
      </c>
      <c r="I21">
        <v>-51</v>
      </c>
      <c r="J21">
        <v>-50</v>
      </c>
      <c r="K21">
        <v>-53</v>
      </c>
      <c r="L21">
        <v>-46</v>
      </c>
      <c r="M21">
        <v>-43</v>
      </c>
      <c r="N21">
        <v>-35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3" spans="1:51" x14ac:dyDescent="0.3">
      <c r="A23" t="s">
        <v>259</v>
      </c>
      <c r="B23">
        <v>575.20000000000005</v>
      </c>
      <c r="C23" t="s">
        <v>400</v>
      </c>
      <c r="D23">
        <v>376</v>
      </c>
      <c r="E23">
        <v>377</v>
      </c>
      <c r="F23">
        <v>383</v>
      </c>
      <c r="G23">
        <v>377</v>
      </c>
      <c r="H23">
        <v>375</v>
      </c>
      <c r="I23">
        <v>385</v>
      </c>
      <c r="J23">
        <v>383</v>
      </c>
      <c r="K23">
        <v>375</v>
      </c>
      <c r="L23">
        <v>369</v>
      </c>
      <c r="M23">
        <v>380</v>
      </c>
      <c r="N23">
        <v>384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">
      <c r="C24" t="s">
        <v>401</v>
      </c>
      <c r="D24">
        <v>-51</v>
      </c>
      <c r="E24">
        <v>-54</v>
      </c>
      <c r="F24">
        <v>-55</v>
      </c>
      <c r="G24">
        <v>-58</v>
      </c>
      <c r="H24">
        <v>-65</v>
      </c>
      <c r="I24">
        <v>-71</v>
      </c>
      <c r="J24">
        <v>-67</v>
      </c>
      <c r="K24">
        <v>-70</v>
      </c>
      <c r="L24">
        <v>-61</v>
      </c>
      <c r="M24">
        <v>-60</v>
      </c>
      <c r="N24">
        <v>-52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6" spans="1:51" x14ac:dyDescent="0.3">
      <c r="A26" t="s">
        <v>260</v>
      </c>
      <c r="B26">
        <v>575.20000000000005</v>
      </c>
      <c r="C26" t="s">
        <v>400</v>
      </c>
      <c r="D26">
        <v>380</v>
      </c>
      <c r="E26">
        <v>399</v>
      </c>
      <c r="F26">
        <v>392</v>
      </c>
      <c r="G26">
        <v>396</v>
      </c>
      <c r="H26">
        <v>395</v>
      </c>
      <c r="I26">
        <v>388</v>
      </c>
      <c r="J26">
        <v>390</v>
      </c>
      <c r="K26">
        <v>390</v>
      </c>
      <c r="L26">
        <v>395</v>
      </c>
      <c r="M26">
        <v>397</v>
      </c>
      <c r="N26">
        <v>388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3">
      <c r="C27" t="s">
        <v>401</v>
      </c>
      <c r="D27">
        <v>-62</v>
      </c>
      <c r="E27">
        <v>-64</v>
      </c>
      <c r="F27">
        <v>-66</v>
      </c>
      <c r="G27">
        <v>-70</v>
      </c>
      <c r="H27">
        <v>-78</v>
      </c>
      <c r="I27">
        <v>-83</v>
      </c>
      <c r="J27">
        <v>-83</v>
      </c>
      <c r="K27">
        <v>-82</v>
      </c>
      <c r="L27">
        <v>-76</v>
      </c>
      <c r="M27">
        <v>-74</v>
      </c>
      <c r="N27">
        <v>-65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9" spans="1:51" x14ac:dyDescent="0.3">
      <c r="A29" t="s">
        <v>403</v>
      </c>
      <c r="B29">
        <v>172.5</v>
      </c>
      <c r="C29" t="s">
        <v>400</v>
      </c>
      <c r="D29">
        <v>38</v>
      </c>
      <c r="E29">
        <v>38</v>
      </c>
      <c r="F29">
        <v>37</v>
      </c>
      <c r="G29">
        <v>38</v>
      </c>
      <c r="H29">
        <v>37</v>
      </c>
      <c r="I29">
        <v>37</v>
      </c>
      <c r="J29">
        <v>36</v>
      </c>
      <c r="K29">
        <v>37</v>
      </c>
      <c r="L29">
        <v>37</v>
      </c>
      <c r="M29">
        <v>37</v>
      </c>
      <c r="N29">
        <v>37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">
      <c r="C30" t="s">
        <v>401</v>
      </c>
      <c r="D30">
        <v>-7</v>
      </c>
      <c r="E30">
        <v>-8</v>
      </c>
      <c r="F30">
        <v>-9</v>
      </c>
      <c r="G30">
        <v>-10</v>
      </c>
      <c r="H30">
        <v>-12</v>
      </c>
      <c r="I30">
        <v>-14</v>
      </c>
      <c r="J30">
        <v>-15</v>
      </c>
      <c r="K30">
        <v>-14</v>
      </c>
      <c r="L30">
        <v>-12</v>
      </c>
      <c r="M30">
        <v>-12</v>
      </c>
      <c r="N30">
        <v>-8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2" spans="1:51" x14ac:dyDescent="0.3">
      <c r="A32" t="s">
        <v>404</v>
      </c>
      <c r="B32">
        <v>125</v>
      </c>
      <c r="C32" t="s">
        <v>400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">
      <c r="C33" t="s">
        <v>401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5" spans="1:51" x14ac:dyDescent="0.3">
      <c r="A35" t="s">
        <v>405</v>
      </c>
      <c r="B35">
        <v>125</v>
      </c>
      <c r="C35" t="s">
        <v>400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3"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8" spans="1:51" x14ac:dyDescent="0.3">
      <c r="A38" t="s">
        <v>406</v>
      </c>
      <c r="B38">
        <v>125</v>
      </c>
      <c r="C38" t="s">
        <v>400</v>
      </c>
      <c r="D38">
        <v>81</v>
      </c>
      <c r="E38">
        <v>86</v>
      </c>
      <c r="F38">
        <v>86</v>
      </c>
      <c r="G38">
        <v>87</v>
      </c>
      <c r="H38">
        <v>81</v>
      </c>
      <c r="I38">
        <v>83</v>
      </c>
      <c r="J38">
        <v>81</v>
      </c>
      <c r="K38">
        <v>84</v>
      </c>
      <c r="L38">
        <v>82</v>
      </c>
      <c r="M38">
        <v>85</v>
      </c>
      <c r="N38">
        <v>84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">
      <c r="C39" t="s">
        <v>401</v>
      </c>
      <c r="D39">
        <v>-10</v>
      </c>
      <c r="E39">
        <v>-12</v>
      </c>
      <c r="F39">
        <v>-12</v>
      </c>
      <c r="G39">
        <v>-14</v>
      </c>
      <c r="H39">
        <v>-14</v>
      </c>
      <c r="I39">
        <v>-16</v>
      </c>
      <c r="J39">
        <v>-16</v>
      </c>
      <c r="K39">
        <v>-16</v>
      </c>
      <c r="L39">
        <v>-14</v>
      </c>
      <c r="M39">
        <v>-14</v>
      </c>
      <c r="N39">
        <v>-12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1" spans="1:51" x14ac:dyDescent="0.3">
      <c r="A41" t="s">
        <v>407</v>
      </c>
      <c r="B41">
        <v>172.5</v>
      </c>
      <c r="C41" t="s">
        <v>400</v>
      </c>
      <c r="D41">
        <v>40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>
        <v>39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3">
      <c r="C42" t="s">
        <v>401</v>
      </c>
      <c r="D42">
        <v>-18</v>
      </c>
      <c r="E42">
        <v>-20</v>
      </c>
      <c r="F42">
        <v>-21</v>
      </c>
      <c r="G42">
        <v>-23</v>
      </c>
      <c r="H42">
        <v>-25</v>
      </c>
      <c r="I42">
        <v>-28</v>
      </c>
      <c r="J42">
        <v>-29</v>
      </c>
      <c r="K42">
        <v>-28</v>
      </c>
      <c r="L42">
        <v>-25</v>
      </c>
      <c r="M42">
        <v>-25</v>
      </c>
      <c r="N42">
        <v>-20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4" spans="1:51" x14ac:dyDescent="0.3">
      <c r="A44" t="s">
        <v>408</v>
      </c>
      <c r="B44">
        <v>125</v>
      </c>
      <c r="C44" t="s">
        <v>400</v>
      </c>
      <c r="D44">
        <v>85</v>
      </c>
      <c r="E44">
        <v>85</v>
      </c>
      <c r="F44">
        <v>85</v>
      </c>
      <c r="G44">
        <v>85</v>
      </c>
      <c r="H44">
        <v>85</v>
      </c>
      <c r="I44">
        <v>84</v>
      </c>
      <c r="J44">
        <v>85</v>
      </c>
      <c r="K44">
        <v>85</v>
      </c>
      <c r="L44">
        <v>85</v>
      </c>
      <c r="M44">
        <v>85</v>
      </c>
      <c r="N44">
        <v>85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">
      <c r="C45" t="s">
        <v>401</v>
      </c>
      <c r="D45">
        <v>-15</v>
      </c>
      <c r="E45">
        <v>-15</v>
      </c>
      <c r="F45">
        <v>-15</v>
      </c>
      <c r="G45">
        <v>-17</v>
      </c>
      <c r="H45">
        <v>-18</v>
      </c>
      <c r="I45">
        <v>-21</v>
      </c>
      <c r="J45">
        <v>-22</v>
      </c>
      <c r="K45">
        <v>-20</v>
      </c>
      <c r="L45">
        <v>-19</v>
      </c>
      <c r="M45">
        <v>-19</v>
      </c>
      <c r="N45">
        <v>-16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7" spans="1:51" x14ac:dyDescent="0.3">
      <c r="A47" t="s">
        <v>409</v>
      </c>
      <c r="B47">
        <v>125</v>
      </c>
      <c r="C47" t="s">
        <v>400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3">
      <c r="C48" t="s">
        <v>401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50" spans="1:51" x14ac:dyDescent="0.3">
      <c r="A50" t="s">
        <v>410</v>
      </c>
      <c r="B50">
        <v>125</v>
      </c>
      <c r="C50" t="s">
        <v>400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 x14ac:dyDescent="0.3">
      <c r="C51" t="s">
        <v>401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3" spans="1:51" x14ac:dyDescent="0.3">
      <c r="A53" t="s">
        <v>411</v>
      </c>
      <c r="B53">
        <v>250</v>
      </c>
      <c r="C53" t="s">
        <v>400</v>
      </c>
      <c r="D53">
        <v>222</v>
      </c>
      <c r="E53">
        <v>221</v>
      </c>
      <c r="F53">
        <v>221</v>
      </c>
      <c r="G53">
        <v>221</v>
      </c>
      <c r="H53">
        <v>221</v>
      </c>
      <c r="I53">
        <v>220</v>
      </c>
      <c r="J53">
        <v>220</v>
      </c>
      <c r="K53">
        <v>220</v>
      </c>
      <c r="L53">
        <v>219</v>
      </c>
      <c r="M53">
        <v>219</v>
      </c>
      <c r="N53">
        <v>219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">
      <c r="C54" t="s">
        <v>401</v>
      </c>
      <c r="D54">
        <v>-17</v>
      </c>
      <c r="E54">
        <v>-20</v>
      </c>
      <c r="F54">
        <v>-20</v>
      </c>
      <c r="G54">
        <v>-24</v>
      </c>
      <c r="H54">
        <v>-25</v>
      </c>
      <c r="I54">
        <v>-28</v>
      </c>
      <c r="J54">
        <v>-30</v>
      </c>
      <c r="K54">
        <v>-29</v>
      </c>
      <c r="L54">
        <v>-26</v>
      </c>
      <c r="M54">
        <v>-25</v>
      </c>
      <c r="N54">
        <v>-21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6" spans="1:51" x14ac:dyDescent="0.3">
      <c r="A56" t="s">
        <v>412</v>
      </c>
      <c r="B56">
        <v>235</v>
      </c>
      <c r="C56" t="s">
        <v>400</v>
      </c>
      <c r="D56">
        <v>198</v>
      </c>
      <c r="E56">
        <v>199</v>
      </c>
      <c r="F56">
        <v>199</v>
      </c>
      <c r="G56">
        <v>199</v>
      </c>
      <c r="H56">
        <v>200</v>
      </c>
      <c r="I56">
        <v>199</v>
      </c>
      <c r="J56">
        <v>199</v>
      </c>
      <c r="K56">
        <v>201</v>
      </c>
      <c r="L56">
        <v>200</v>
      </c>
      <c r="M56">
        <v>199</v>
      </c>
      <c r="N56">
        <v>198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3">
      <c r="C57" t="s">
        <v>401</v>
      </c>
      <c r="D57">
        <v>-10</v>
      </c>
      <c r="E57">
        <v>-15</v>
      </c>
      <c r="F57">
        <v>-15</v>
      </c>
      <c r="G57">
        <v>-17</v>
      </c>
      <c r="H57">
        <v>-21</v>
      </c>
      <c r="I57">
        <v>-20</v>
      </c>
      <c r="J57">
        <v>-21</v>
      </c>
      <c r="K57">
        <v>-26</v>
      </c>
      <c r="L57">
        <v>-23</v>
      </c>
      <c r="M57">
        <v>-19</v>
      </c>
      <c r="N57">
        <v>-12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9" spans="1:51" x14ac:dyDescent="0.3">
      <c r="A59" t="s">
        <v>413</v>
      </c>
      <c r="B59">
        <v>235</v>
      </c>
      <c r="C59" t="s">
        <v>400</v>
      </c>
      <c r="D59">
        <v>200</v>
      </c>
      <c r="E59">
        <v>200</v>
      </c>
      <c r="F59">
        <v>200</v>
      </c>
      <c r="G59">
        <v>200</v>
      </c>
      <c r="H59">
        <v>200</v>
      </c>
      <c r="I59">
        <v>200</v>
      </c>
      <c r="J59">
        <v>200</v>
      </c>
      <c r="K59">
        <v>200</v>
      </c>
      <c r="L59">
        <v>200</v>
      </c>
      <c r="M59">
        <v>200</v>
      </c>
      <c r="N59">
        <v>199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">
      <c r="C60" t="s">
        <v>401</v>
      </c>
      <c r="D60">
        <v>-19</v>
      </c>
      <c r="E60">
        <v>-22</v>
      </c>
      <c r="F60">
        <v>-22</v>
      </c>
      <c r="G60">
        <v>-25</v>
      </c>
      <c r="H60">
        <v>-26</v>
      </c>
      <c r="I60">
        <v>-30</v>
      </c>
      <c r="J60">
        <v>-31</v>
      </c>
      <c r="K60">
        <v>-30</v>
      </c>
      <c r="L60">
        <v>-28</v>
      </c>
      <c r="M60">
        <v>-28</v>
      </c>
      <c r="N60">
        <v>-22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2" spans="1:51" x14ac:dyDescent="0.3">
      <c r="A62" t="s">
        <v>414</v>
      </c>
      <c r="B62">
        <v>293.8</v>
      </c>
      <c r="C62" t="s">
        <v>400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 x14ac:dyDescent="0.3">
      <c r="C63" t="s">
        <v>401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5" spans="1:51" x14ac:dyDescent="0.3">
      <c r="A65" t="s">
        <v>415</v>
      </c>
      <c r="B65">
        <v>283.25</v>
      </c>
      <c r="C65" t="s">
        <v>400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3">
      <c r="C66" t="s">
        <v>401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8" spans="1:51" x14ac:dyDescent="0.3">
      <c r="A68" t="s">
        <v>416</v>
      </c>
      <c r="B68">
        <v>283.25</v>
      </c>
      <c r="C68" t="s">
        <v>400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">
      <c r="C69" t="s">
        <v>401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1" spans="1:51" x14ac:dyDescent="0.3">
      <c r="A71" t="s">
        <v>265</v>
      </c>
      <c r="B71">
        <v>56.5</v>
      </c>
      <c r="C71" t="s">
        <v>400</v>
      </c>
      <c r="D71">
        <v>57</v>
      </c>
      <c r="E71">
        <v>57</v>
      </c>
      <c r="F71">
        <v>57</v>
      </c>
      <c r="G71">
        <v>57</v>
      </c>
      <c r="H71">
        <v>57</v>
      </c>
      <c r="I71">
        <v>57</v>
      </c>
      <c r="J71">
        <v>57</v>
      </c>
      <c r="K71">
        <v>57</v>
      </c>
      <c r="L71">
        <v>57</v>
      </c>
      <c r="M71">
        <v>57</v>
      </c>
      <c r="N71">
        <v>57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3">
      <c r="C72" t="s">
        <v>401</v>
      </c>
      <c r="D72">
        <v>-6</v>
      </c>
      <c r="E72">
        <v>-7</v>
      </c>
      <c r="F72">
        <v>-7</v>
      </c>
      <c r="G72">
        <v>-8</v>
      </c>
      <c r="H72">
        <v>-8</v>
      </c>
      <c r="I72">
        <v>-9</v>
      </c>
      <c r="J72">
        <v>-8</v>
      </c>
      <c r="K72">
        <v>-8</v>
      </c>
      <c r="L72">
        <v>-7</v>
      </c>
      <c r="M72">
        <v>-7</v>
      </c>
      <c r="N72">
        <v>-6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4" spans="1:51" x14ac:dyDescent="0.3">
      <c r="A74" t="s">
        <v>266</v>
      </c>
      <c r="B74">
        <v>56.5</v>
      </c>
      <c r="C74" t="s">
        <v>400</v>
      </c>
      <c r="D74">
        <v>57</v>
      </c>
      <c r="E74">
        <v>57</v>
      </c>
      <c r="F74">
        <v>57</v>
      </c>
      <c r="G74">
        <v>57</v>
      </c>
      <c r="H74">
        <v>57</v>
      </c>
      <c r="I74">
        <v>57</v>
      </c>
      <c r="J74">
        <v>57</v>
      </c>
      <c r="K74">
        <v>57</v>
      </c>
      <c r="L74">
        <v>57</v>
      </c>
      <c r="M74">
        <v>57</v>
      </c>
      <c r="N74">
        <v>57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">
      <c r="C75" t="s">
        <v>401</v>
      </c>
      <c r="D75">
        <v>-8</v>
      </c>
      <c r="E75">
        <v>-8</v>
      </c>
      <c r="F75">
        <v>-9</v>
      </c>
      <c r="G75">
        <v>-9</v>
      </c>
      <c r="H75">
        <v>-9</v>
      </c>
      <c r="I75">
        <v>-9</v>
      </c>
      <c r="J75">
        <v>-9</v>
      </c>
      <c r="K75">
        <v>-9</v>
      </c>
      <c r="L75">
        <v>-8</v>
      </c>
      <c r="M75">
        <v>-8</v>
      </c>
      <c r="N75">
        <v>-7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7" spans="1:51" x14ac:dyDescent="0.3">
      <c r="A77" t="s">
        <v>267</v>
      </c>
      <c r="B77">
        <v>57</v>
      </c>
      <c r="C77" t="s">
        <v>400</v>
      </c>
      <c r="D77">
        <v>56</v>
      </c>
      <c r="E77">
        <v>56</v>
      </c>
      <c r="F77">
        <v>57</v>
      </c>
      <c r="G77">
        <v>57</v>
      </c>
      <c r="H77">
        <v>56</v>
      </c>
      <c r="I77">
        <v>56</v>
      </c>
      <c r="J77">
        <v>56</v>
      </c>
      <c r="K77">
        <v>56</v>
      </c>
      <c r="L77">
        <v>57</v>
      </c>
      <c r="M77">
        <v>57</v>
      </c>
      <c r="N77">
        <v>57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C78" t="s">
        <v>401</v>
      </c>
      <c r="D78">
        <v>-6</v>
      </c>
      <c r="E78">
        <v>-7</v>
      </c>
      <c r="F78">
        <v>-6</v>
      </c>
      <c r="G78">
        <v>-7</v>
      </c>
      <c r="H78">
        <v>-7</v>
      </c>
      <c r="I78">
        <v>-7</v>
      </c>
      <c r="J78">
        <v>-8</v>
      </c>
      <c r="K78">
        <v>-8</v>
      </c>
      <c r="L78">
        <v>-8</v>
      </c>
      <c r="M78">
        <v>-7</v>
      </c>
      <c r="N78">
        <v>-7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80" spans="1:51" x14ac:dyDescent="0.3">
      <c r="A80" t="s">
        <v>268</v>
      </c>
      <c r="B80">
        <v>17.02</v>
      </c>
      <c r="C80" t="s">
        <v>400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3">
      <c r="C81" t="s">
        <v>401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3" spans="1:51" x14ac:dyDescent="0.3">
      <c r="A83" t="s">
        <v>269</v>
      </c>
      <c r="B83">
        <v>17.02</v>
      </c>
      <c r="C83" t="s">
        <v>400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 x14ac:dyDescent="0.3">
      <c r="C84" t="s">
        <v>401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6" spans="1:51" x14ac:dyDescent="0.3">
      <c r="A86" t="s">
        <v>270</v>
      </c>
      <c r="B86">
        <v>17.02</v>
      </c>
      <c r="C86" t="s">
        <v>400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3">
      <c r="C87" t="s">
        <v>401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9" spans="1:51" x14ac:dyDescent="0.3">
      <c r="A89" t="s">
        <v>271</v>
      </c>
      <c r="B89">
        <v>17.02</v>
      </c>
      <c r="C89" t="s">
        <v>400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 x14ac:dyDescent="0.3">
      <c r="C90" t="s">
        <v>401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2" spans="1:51" x14ac:dyDescent="0.3">
      <c r="A92" t="s">
        <v>272</v>
      </c>
      <c r="B92">
        <v>17.02</v>
      </c>
      <c r="C92" t="s">
        <v>400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3">
      <c r="C93" t="s">
        <v>401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5" spans="1:51" x14ac:dyDescent="0.3">
      <c r="A95" t="s">
        <v>273</v>
      </c>
      <c r="B95">
        <v>17.02</v>
      </c>
      <c r="C95" t="s">
        <v>400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3">
      <c r="C96" t="s">
        <v>401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8" spans="1:51" x14ac:dyDescent="0.3">
      <c r="A98" t="s">
        <v>417</v>
      </c>
      <c r="B98">
        <v>236</v>
      </c>
      <c r="C98" t="s">
        <v>400</v>
      </c>
      <c r="D98">
        <v>65</v>
      </c>
      <c r="E98">
        <v>64</v>
      </c>
      <c r="F98">
        <v>64</v>
      </c>
      <c r="G98">
        <v>64</v>
      </c>
      <c r="H98">
        <v>64</v>
      </c>
      <c r="I98">
        <v>64</v>
      </c>
      <c r="J98">
        <v>64</v>
      </c>
      <c r="K98">
        <v>64</v>
      </c>
      <c r="L98">
        <v>63</v>
      </c>
      <c r="M98">
        <v>64</v>
      </c>
      <c r="N98">
        <v>64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">
      <c r="C99" t="s">
        <v>401</v>
      </c>
      <c r="D99">
        <v>-5</v>
      </c>
      <c r="E99">
        <v>-7</v>
      </c>
      <c r="F99">
        <v>-6</v>
      </c>
      <c r="G99">
        <v>-8</v>
      </c>
      <c r="H99">
        <v>-9</v>
      </c>
      <c r="I99">
        <v>-12</v>
      </c>
      <c r="J99">
        <v>-12</v>
      </c>
      <c r="K99">
        <v>-11</v>
      </c>
      <c r="L99">
        <v>-11</v>
      </c>
      <c r="M99">
        <v>-12</v>
      </c>
      <c r="N99">
        <v>-7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1" spans="1:51" x14ac:dyDescent="0.3">
      <c r="A101" t="s">
        <v>418</v>
      </c>
      <c r="B101">
        <v>212</v>
      </c>
      <c r="C101" t="s">
        <v>400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">
      <c r="C102" t="s">
        <v>401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4" spans="1:51" x14ac:dyDescent="0.3">
      <c r="A104" t="s">
        <v>419</v>
      </c>
      <c r="B104">
        <v>212</v>
      </c>
      <c r="C104" t="s">
        <v>400</v>
      </c>
      <c r="D104">
        <v>105</v>
      </c>
      <c r="E104">
        <v>105</v>
      </c>
      <c r="F104">
        <v>106</v>
      </c>
      <c r="G104">
        <v>105</v>
      </c>
      <c r="H104">
        <v>106</v>
      </c>
      <c r="I104">
        <v>105</v>
      </c>
      <c r="J104">
        <v>106</v>
      </c>
      <c r="K104">
        <v>105</v>
      </c>
      <c r="L104">
        <v>106</v>
      </c>
      <c r="M104">
        <v>106</v>
      </c>
      <c r="N104">
        <v>106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">
      <c r="C105" t="s">
        <v>401</v>
      </c>
      <c r="D105">
        <v>15</v>
      </c>
      <c r="E105">
        <v>11</v>
      </c>
      <c r="F105">
        <v>14</v>
      </c>
      <c r="G105">
        <v>14</v>
      </c>
      <c r="H105">
        <v>10</v>
      </c>
      <c r="I105">
        <v>7</v>
      </c>
      <c r="J105">
        <v>8</v>
      </c>
      <c r="K105">
        <v>9</v>
      </c>
      <c r="L105">
        <v>8</v>
      </c>
      <c r="M105">
        <v>7</v>
      </c>
      <c r="N105">
        <v>12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7" spans="1:51" x14ac:dyDescent="0.3">
      <c r="A107" t="s">
        <v>275</v>
      </c>
      <c r="B107">
        <v>280</v>
      </c>
      <c r="C107" t="s">
        <v>400</v>
      </c>
      <c r="D107">
        <v>267</v>
      </c>
      <c r="E107">
        <v>267</v>
      </c>
      <c r="F107">
        <v>258</v>
      </c>
      <c r="G107">
        <v>229</v>
      </c>
      <c r="H107">
        <v>268</v>
      </c>
      <c r="I107">
        <v>261</v>
      </c>
      <c r="J107">
        <v>275</v>
      </c>
      <c r="K107">
        <v>263</v>
      </c>
      <c r="L107">
        <v>268</v>
      </c>
      <c r="M107">
        <v>254</v>
      </c>
      <c r="N107">
        <v>257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3">
      <c r="C108" t="s">
        <v>401</v>
      </c>
      <c r="D108">
        <v>-41</v>
      </c>
      <c r="E108">
        <v>-44</v>
      </c>
      <c r="F108">
        <v>-40</v>
      </c>
      <c r="G108">
        <v>-38</v>
      </c>
      <c r="H108">
        <v>-44</v>
      </c>
      <c r="I108">
        <v>-47</v>
      </c>
      <c r="J108">
        <v>-45</v>
      </c>
      <c r="K108">
        <v>-46</v>
      </c>
      <c r="L108">
        <v>-47</v>
      </c>
      <c r="M108">
        <v>-45</v>
      </c>
      <c r="N108">
        <v>-41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10" spans="1:51" x14ac:dyDescent="0.3">
      <c r="A110" t="s">
        <v>276</v>
      </c>
      <c r="B110">
        <v>280</v>
      </c>
      <c r="C110" t="s">
        <v>400</v>
      </c>
      <c r="D110">
        <v>276</v>
      </c>
      <c r="E110">
        <v>281</v>
      </c>
      <c r="F110">
        <v>274</v>
      </c>
      <c r="G110">
        <v>271</v>
      </c>
      <c r="H110">
        <v>268</v>
      </c>
      <c r="I110">
        <v>267</v>
      </c>
      <c r="J110">
        <v>277</v>
      </c>
      <c r="K110">
        <v>277</v>
      </c>
      <c r="L110">
        <v>268</v>
      </c>
      <c r="M110">
        <v>262</v>
      </c>
      <c r="N110">
        <v>257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3">
      <c r="C111" t="s">
        <v>401</v>
      </c>
      <c r="D111">
        <v>3</v>
      </c>
      <c r="E111">
        <v>0</v>
      </c>
      <c r="F111">
        <v>2</v>
      </c>
      <c r="G111">
        <v>0</v>
      </c>
      <c r="H111">
        <v>1</v>
      </c>
      <c r="I111">
        <v>-4</v>
      </c>
      <c r="J111">
        <v>-3</v>
      </c>
      <c r="K111">
        <v>-4</v>
      </c>
      <c r="L111">
        <v>-2</v>
      </c>
      <c r="M111">
        <v>-1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3" spans="1:51" x14ac:dyDescent="0.3">
      <c r="A113" t="s">
        <v>83</v>
      </c>
      <c r="B113">
        <v>540</v>
      </c>
      <c r="C113" t="s">
        <v>400</v>
      </c>
      <c r="D113">
        <v>400</v>
      </c>
      <c r="E113">
        <v>400</v>
      </c>
      <c r="F113">
        <v>398</v>
      </c>
      <c r="G113">
        <v>401</v>
      </c>
      <c r="H113">
        <v>407</v>
      </c>
      <c r="I113">
        <v>399</v>
      </c>
      <c r="J113">
        <v>396</v>
      </c>
      <c r="K113">
        <v>404</v>
      </c>
      <c r="L113">
        <v>397</v>
      </c>
      <c r="M113">
        <v>405</v>
      </c>
      <c r="N113">
        <v>406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3">
      <c r="C114" t="s">
        <v>401</v>
      </c>
      <c r="D114">
        <v>-29</v>
      </c>
      <c r="E114">
        <v>-29</v>
      </c>
      <c r="F114">
        <v>-31</v>
      </c>
      <c r="G114">
        <v>-34</v>
      </c>
      <c r="H114">
        <v>-40</v>
      </c>
      <c r="I114">
        <v>-45</v>
      </c>
      <c r="J114">
        <v>-42</v>
      </c>
      <c r="K114">
        <v>-44</v>
      </c>
      <c r="L114">
        <v>-38</v>
      </c>
      <c r="M114">
        <v>-39</v>
      </c>
      <c r="N114">
        <v>-31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6" spans="1:51" x14ac:dyDescent="0.3">
      <c r="A116" t="s">
        <v>80</v>
      </c>
      <c r="B116">
        <v>323</v>
      </c>
      <c r="C116" t="s">
        <v>400</v>
      </c>
      <c r="D116">
        <v>282</v>
      </c>
      <c r="E116">
        <v>282</v>
      </c>
      <c r="F116">
        <v>282</v>
      </c>
      <c r="G116">
        <v>282</v>
      </c>
      <c r="H116">
        <v>282</v>
      </c>
      <c r="I116">
        <v>282</v>
      </c>
      <c r="J116">
        <v>282</v>
      </c>
      <c r="K116">
        <v>282</v>
      </c>
      <c r="L116">
        <v>282</v>
      </c>
      <c r="M116">
        <v>282</v>
      </c>
      <c r="N116">
        <v>282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3">
      <c r="C117" t="s">
        <v>401</v>
      </c>
      <c r="D117">
        <v>62</v>
      </c>
      <c r="E117">
        <v>62</v>
      </c>
      <c r="F117">
        <v>62</v>
      </c>
      <c r="G117">
        <v>62</v>
      </c>
      <c r="H117">
        <v>62</v>
      </c>
      <c r="I117">
        <v>62</v>
      </c>
      <c r="J117">
        <v>62</v>
      </c>
      <c r="K117">
        <v>62</v>
      </c>
      <c r="L117">
        <v>62</v>
      </c>
      <c r="M117">
        <v>62</v>
      </c>
      <c r="N117">
        <v>62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9" spans="1:51" x14ac:dyDescent="0.3">
      <c r="A119" t="s">
        <v>81</v>
      </c>
      <c r="B119">
        <v>323</v>
      </c>
      <c r="C119" t="s">
        <v>400</v>
      </c>
      <c r="D119">
        <v>263</v>
      </c>
      <c r="E119">
        <v>259</v>
      </c>
      <c r="F119">
        <v>262</v>
      </c>
      <c r="G119">
        <v>260</v>
      </c>
      <c r="H119">
        <v>261</v>
      </c>
      <c r="I119">
        <v>261</v>
      </c>
      <c r="J119">
        <v>261</v>
      </c>
      <c r="K119">
        <v>260</v>
      </c>
      <c r="L119">
        <v>265</v>
      </c>
      <c r="M119">
        <v>264</v>
      </c>
      <c r="N119">
        <v>262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3">
      <c r="C120" t="s">
        <v>401</v>
      </c>
      <c r="D120">
        <v>26</v>
      </c>
      <c r="E120">
        <v>27</v>
      </c>
      <c r="F120">
        <v>26</v>
      </c>
      <c r="G120">
        <v>25</v>
      </c>
      <c r="H120">
        <v>23</v>
      </c>
      <c r="I120">
        <v>22</v>
      </c>
      <c r="J120">
        <v>21</v>
      </c>
      <c r="K120">
        <v>21</v>
      </c>
      <c r="L120">
        <v>23</v>
      </c>
      <c r="M120">
        <v>25</v>
      </c>
      <c r="N120">
        <v>29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2" spans="1:51" x14ac:dyDescent="0.3">
      <c r="A122" t="s">
        <v>82</v>
      </c>
      <c r="B122">
        <v>323</v>
      </c>
      <c r="C122" t="s">
        <v>400</v>
      </c>
      <c r="D122">
        <v>310</v>
      </c>
      <c r="E122">
        <v>310</v>
      </c>
      <c r="F122">
        <v>310</v>
      </c>
      <c r="G122">
        <v>310</v>
      </c>
      <c r="H122">
        <v>310</v>
      </c>
      <c r="I122">
        <v>310</v>
      </c>
      <c r="J122">
        <v>310</v>
      </c>
      <c r="K122">
        <v>310</v>
      </c>
      <c r="L122">
        <v>310</v>
      </c>
      <c r="M122">
        <v>310</v>
      </c>
      <c r="N122">
        <v>310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3">
      <c r="C123" t="s">
        <v>401</v>
      </c>
      <c r="D123">
        <v>63</v>
      </c>
      <c r="E123">
        <v>63</v>
      </c>
      <c r="F123">
        <v>63</v>
      </c>
      <c r="G123">
        <v>63</v>
      </c>
      <c r="H123">
        <v>63</v>
      </c>
      <c r="I123">
        <v>63</v>
      </c>
      <c r="J123">
        <v>63</v>
      </c>
      <c r="K123">
        <v>63</v>
      </c>
      <c r="L123">
        <v>63</v>
      </c>
      <c r="M123">
        <v>63</v>
      </c>
      <c r="N123">
        <v>63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5" spans="1:51" x14ac:dyDescent="0.3">
      <c r="A125" t="s">
        <v>277</v>
      </c>
      <c r="B125">
        <v>280</v>
      </c>
      <c r="C125" t="s">
        <v>400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 x14ac:dyDescent="0.3">
      <c r="C126" t="s">
        <v>401</v>
      </c>
      <c r="D126">
        <v>-7</v>
      </c>
      <c r="E126">
        <v>-7</v>
      </c>
      <c r="F126">
        <v>-7</v>
      </c>
      <c r="G126">
        <v>-7</v>
      </c>
      <c r="H126">
        <v>-7</v>
      </c>
      <c r="I126">
        <v>-7</v>
      </c>
      <c r="J126">
        <v>-7</v>
      </c>
      <c r="K126">
        <v>-7</v>
      </c>
      <c r="L126">
        <v>-7</v>
      </c>
      <c r="M126">
        <v>-7</v>
      </c>
      <c r="N126">
        <v>-7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8" spans="1:51" x14ac:dyDescent="0.3">
      <c r="A128" t="s">
        <v>278</v>
      </c>
      <c r="B128">
        <v>280</v>
      </c>
      <c r="C128" t="s">
        <v>400</v>
      </c>
      <c r="D128">
        <v>262</v>
      </c>
      <c r="E128">
        <v>262</v>
      </c>
      <c r="F128">
        <v>256</v>
      </c>
      <c r="G128">
        <v>259</v>
      </c>
      <c r="H128">
        <v>262</v>
      </c>
      <c r="I128">
        <v>262</v>
      </c>
      <c r="J128">
        <v>261</v>
      </c>
      <c r="K128">
        <v>262</v>
      </c>
      <c r="L128">
        <v>266</v>
      </c>
      <c r="M128">
        <v>268</v>
      </c>
      <c r="N128">
        <v>271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">
      <c r="C129" t="s">
        <v>401</v>
      </c>
      <c r="D129">
        <v>-37</v>
      </c>
      <c r="E129">
        <v>-38</v>
      </c>
      <c r="F129">
        <v>-37</v>
      </c>
      <c r="G129">
        <v>-38</v>
      </c>
      <c r="H129">
        <v>-46</v>
      </c>
      <c r="I129">
        <v>-50</v>
      </c>
      <c r="J129">
        <v>-50</v>
      </c>
      <c r="K129">
        <v>-52</v>
      </c>
      <c r="L129">
        <v>-49</v>
      </c>
      <c r="M129">
        <v>-46</v>
      </c>
      <c r="N129">
        <v>-43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1" spans="1:51" x14ac:dyDescent="0.3">
      <c r="A131" t="s">
        <v>279</v>
      </c>
      <c r="B131">
        <v>280</v>
      </c>
      <c r="C131" t="s">
        <v>400</v>
      </c>
      <c r="D131">
        <v>247</v>
      </c>
      <c r="E131">
        <v>266</v>
      </c>
      <c r="F131">
        <v>264</v>
      </c>
      <c r="G131">
        <v>266</v>
      </c>
      <c r="H131">
        <v>272</v>
      </c>
      <c r="I131">
        <v>274</v>
      </c>
      <c r="J131">
        <v>269</v>
      </c>
      <c r="K131">
        <v>272</v>
      </c>
      <c r="L131">
        <v>271</v>
      </c>
      <c r="M131">
        <v>267</v>
      </c>
      <c r="N131">
        <v>266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">
      <c r="C132" t="s">
        <v>401</v>
      </c>
      <c r="D132">
        <v>-24</v>
      </c>
      <c r="E132">
        <v>-29</v>
      </c>
      <c r="F132">
        <v>-29</v>
      </c>
      <c r="G132">
        <v>-30</v>
      </c>
      <c r="H132">
        <v>-38</v>
      </c>
      <c r="I132">
        <v>-34</v>
      </c>
      <c r="J132">
        <v>-40</v>
      </c>
      <c r="K132">
        <v>-42</v>
      </c>
      <c r="L132">
        <v>-41</v>
      </c>
      <c r="M132">
        <v>-35</v>
      </c>
      <c r="N132">
        <v>-31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4" spans="1:51" x14ac:dyDescent="0.3">
      <c r="A134" t="s">
        <v>280</v>
      </c>
      <c r="B134">
        <v>293</v>
      </c>
      <c r="C134" t="s">
        <v>400</v>
      </c>
      <c r="D134">
        <v>205</v>
      </c>
      <c r="E134">
        <v>205</v>
      </c>
      <c r="F134">
        <v>199</v>
      </c>
      <c r="G134">
        <v>200</v>
      </c>
      <c r="H134">
        <v>199</v>
      </c>
      <c r="I134">
        <v>200</v>
      </c>
      <c r="J134">
        <v>195</v>
      </c>
      <c r="K134">
        <v>192</v>
      </c>
      <c r="L134">
        <v>192</v>
      </c>
      <c r="M134">
        <v>192</v>
      </c>
      <c r="N134">
        <v>193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C135" t="s">
        <v>401</v>
      </c>
      <c r="D135">
        <v>-10</v>
      </c>
      <c r="E135">
        <v>-9</v>
      </c>
      <c r="F135">
        <v>-9</v>
      </c>
      <c r="G135">
        <v>-9</v>
      </c>
      <c r="H135">
        <v>-8</v>
      </c>
      <c r="I135">
        <v>-9</v>
      </c>
      <c r="J135">
        <v>-8</v>
      </c>
      <c r="K135">
        <v>-5</v>
      </c>
      <c r="L135">
        <v>-5</v>
      </c>
      <c r="M135">
        <v>-5</v>
      </c>
      <c r="N135">
        <v>-5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7" spans="1:51" x14ac:dyDescent="0.3">
      <c r="A137" t="s">
        <v>281</v>
      </c>
      <c r="B137">
        <v>371.5</v>
      </c>
      <c r="C137" t="s">
        <v>400</v>
      </c>
      <c r="D137">
        <v>173</v>
      </c>
      <c r="E137">
        <v>169</v>
      </c>
      <c r="F137">
        <v>178</v>
      </c>
      <c r="G137">
        <v>172</v>
      </c>
      <c r="H137">
        <v>173</v>
      </c>
      <c r="I137">
        <v>177</v>
      </c>
      <c r="J137">
        <v>182</v>
      </c>
      <c r="K137">
        <v>176</v>
      </c>
      <c r="L137">
        <v>185</v>
      </c>
      <c r="M137">
        <v>187</v>
      </c>
      <c r="N137">
        <v>191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">
      <c r="C138" t="s">
        <v>401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40" spans="1:51" x14ac:dyDescent="0.3">
      <c r="A140" t="s">
        <v>283</v>
      </c>
      <c r="B140">
        <v>162</v>
      </c>
      <c r="C140" t="s">
        <v>400</v>
      </c>
      <c r="D140">
        <v>94</v>
      </c>
      <c r="E140">
        <v>94</v>
      </c>
      <c r="F140">
        <v>94</v>
      </c>
      <c r="G140">
        <v>94</v>
      </c>
      <c r="H140">
        <v>94</v>
      </c>
      <c r="I140">
        <v>94</v>
      </c>
      <c r="J140">
        <v>94</v>
      </c>
      <c r="K140">
        <v>94</v>
      </c>
      <c r="L140">
        <v>94</v>
      </c>
      <c r="M140">
        <v>94</v>
      </c>
      <c r="N140">
        <v>94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 x14ac:dyDescent="0.3">
      <c r="C141" t="s">
        <v>401</v>
      </c>
      <c r="D141">
        <v>15</v>
      </c>
      <c r="E141">
        <v>13</v>
      </c>
      <c r="F141">
        <v>11</v>
      </c>
      <c r="G141">
        <v>10</v>
      </c>
      <c r="H141">
        <v>7</v>
      </c>
      <c r="I141">
        <v>4</v>
      </c>
      <c r="J141">
        <v>3</v>
      </c>
      <c r="K141">
        <v>4</v>
      </c>
      <c r="L141">
        <v>6</v>
      </c>
      <c r="M141">
        <v>8</v>
      </c>
      <c r="N141">
        <v>13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3" spans="1:51" x14ac:dyDescent="0.3">
      <c r="A143" t="s">
        <v>284</v>
      </c>
      <c r="B143">
        <v>162</v>
      </c>
      <c r="C143" t="s">
        <v>400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 x14ac:dyDescent="0.3">
      <c r="C144" t="s">
        <v>401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6" spans="1:51" x14ac:dyDescent="0.3">
      <c r="A146" t="s">
        <v>420</v>
      </c>
      <c r="B146">
        <v>124</v>
      </c>
      <c r="C146" t="s">
        <v>400</v>
      </c>
      <c r="D146">
        <v>22</v>
      </c>
      <c r="E146">
        <v>22</v>
      </c>
      <c r="F146">
        <v>21</v>
      </c>
      <c r="G146">
        <v>21</v>
      </c>
      <c r="H146">
        <v>21</v>
      </c>
      <c r="I146">
        <v>21</v>
      </c>
      <c r="J146">
        <v>21</v>
      </c>
      <c r="K146">
        <v>21</v>
      </c>
      <c r="L146">
        <v>21</v>
      </c>
      <c r="M146">
        <v>21</v>
      </c>
      <c r="N146">
        <v>21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3">
      <c r="C147" t="s">
        <v>401</v>
      </c>
      <c r="D147">
        <v>-8</v>
      </c>
      <c r="E147">
        <v>-7</v>
      </c>
      <c r="F147">
        <v>-7</v>
      </c>
      <c r="G147">
        <v>-5</v>
      </c>
      <c r="H147">
        <v>-9</v>
      </c>
      <c r="I147">
        <v>-8</v>
      </c>
      <c r="J147">
        <v>-8</v>
      </c>
      <c r="K147">
        <v>-7</v>
      </c>
      <c r="L147">
        <v>-3</v>
      </c>
      <c r="M147">
        <v>-2</v>
      </c>
      <c r="N147">
        <v>-1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9" spans="1:51" x14ac:dyDescent="0.3">
      <c r="A149" t="s">
        <v>421</v>
      </c>
      <c r="B149">
        <v>90</v>
      </c>
      <c r="C149" t="s">
        <v>400</v>
      </c>
      <c r="D149">
        <v>90</v>
      </c>
      <c r="E149">
        <v>90</v>
      </c>
      <c r="F149">
        <v>90</v>
      </c>
      <c r="G149">
        <v>90</v>
      </c>
      <c r="H149">
        <v>89</v>
      </c>
      <c r="I149">
        <v>89</v>
      </c>
      <c r="J149">
        <v>90</v>
      </c>
      <c r="K149">
        <v>89</v>
      </c>
      <c r="L149">
        <v>90</v>
      </c>
      <c r="M149">
        <v>90</v>
      </c>
      <c r="N149">
        <v>89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3">
      <c r="C150" t="s">
        <v>401</v>
      </c>
      <c r="D150">
        <v>-13</v>
      </c>
      <c r="E150">
        <v>-12</v>
      </c>
      <c r="F150">
        <v>-13</v>
      </c>
      <c r="G150">
        <v>-12</v>
      </c>
      <c r="H150">
        <v>-13</v>
      </c>
      <c r="I150">
        <v>-13</v>
      </c>
      <c r="J150">
        <v>-13</v>
      </c>
      <c r="K150">
        <v>-13</v>
      </c>
      <c r="L150">
        <v>-11</v>
      </c>
      <c r="M150">
        <v>-12</v>
      </c>
      <c r="N150">
        <v>-12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2" spans="1:51" x14ac:dyDescent="0.3">
      <c r="A152" t="s">
        <v>422</v>
      </c>
      <c r="B152">
        <v>90</v>
      </c>
      <c r="C152" t="s">
        <v>400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3">
      <c r="C153" t="s">
        <v>401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5" spans="1:51" x14ac:dyDescent="0.3">
      <c r="A155" t="s">
        <v>423</v>
      </c>
      <c r="B155">
        <v>100</v>
      </c>
      <c r="C155" t="s">
        <v>400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">
      <c r="C156" t="s">
        <v>401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8" spans="1:51" x14ac:dyDescent="0.3">
      <c r="A158" t="s">
        <v>424</v>
      </c>
      <c r="B158">
        <v>70</v>
      </c>
      <c r="C158" t="s">
        <v>400</v>
      </c>
      <c r="D158">
        <v>32</v>
      </c>
      <c r="E158">
        <v>32</v>
      </c>
      <c r="F158">
        <v>34</v>
      </c>
      <c r="G158">
        <v>30</v>
      </c>
      <c r="H158">
        <v>30</v>
      </c>
      <c r="I158">
        <v>31</v>
      </c>
      <c r="J158">
        <v>31</v>
      </c>
      <c r="K158">
        <v>31</v>
      </c>
      <c r="L158">
        <v>35</v>
      </c>
      <c r="M158">
        <v>30</v>
      </c>
      <c r="N158">
        <v>30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C159" t="s">
        <v>401</v>
      </c>
      <c r="D159">
        <v>4</v>
      </c>
      <c r="E159">
        <v>4</v>
      </c>
      <c r="F159">
        <v>3</v>
      </c>
      <c r="G159">
        <v>2</v>
      </c>
      <c r="H159">
        <v>1</v>
      </c>
      <c r="I159">
        <v>1</v>
      </c>
      <c r="J159">
        <v>0</v>
      </c>
      <c r="K159">
        <v>1</v>
      </c>
      <c r="L159">
        <v>1</v>
      </c>
      <c r="M159">
        <v>2</v>
      </c>
      <c r="N159">
        <v>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1" spans="1:51" x14ac:dyDescent="0.3">
      <c r="A161" t="s">
        <v>425</v>
      </c>
      <c r="B161">
        <v>235</v>
      </c>
      <c r="C161" t="s">
        <v>400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3">
      <c r="C162" t="s">
        <v>401</v>
      </c>
      <c r="D162">
        <v>-2</v>
      </c>
      <c r="E162">
        <v>-2</v>
      </c>
      <c r="F162">
        <v>-2</v>
      </c>
      <c r="G162">
        <v>-2</v>
      </c>
      <c r="H162">
        <v>-2</v>
      </c>
      <c r="I162">
        <v>-2</v>
      </c>
      <c r="J162">
        <v>-2</v>
      </c>
      <c r="K162">
        <v>-2</v>
      </c>
      <c r="L162">
        <v>-2</v>
      </c>
      <c r="M162">
        <v>-2</v>
      </c>
      <c r="N162">
        <v>-2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4" spans="1:51" x14ac:dyDescent="0.3">
      <c r="A164" t="s">
        <v>426</v>
      </c>
      <c r="B164">
        <v>235</v>
      </c>
      <c r="C164" t="s">
        <v>400</v>
      </c>
      <c r="D164">
        <v>146</v>
      </c>
      <c r="E164">
        <v>144</v>
      </c>
      <c r="F164">
        <v>162</v>
      </c>
      <c r="G164">
        <v>136</v>
      </c>
      <c r="H164">
        <v>130</v>
      </c>
      <c r="I164">
        <v>133</v>
      </c>
      <c r="J164">
        <v>128</v>
      </c>
      <c r="K164">
        <v>130</v>
      </c>
      <c r="L164">
        <v>160</v>
      </c>
      <c r="M164">
        <v>132</v>
      </c>
      <c r="N164">
        <v>129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3">
      <c r="C165" t="s">
        <v>401</v>
      </c>
      <c r="D165">
        <v>6</v>
      </c>
      <c r="E165">
        <v>5</v>
      </c>
      <c r="F165">
        <v>1</v>
      </c>
      <c r="G165">
        <v>0</v>
      </c>
      <c r="H165">
        <v>0</v>
      </c>
      <c r="I165">
        <v>-2</v>
      </c>
      <c r="J165">
        <v>-3</v>
      </c>
      <c r="K165">
        <v>-3</v>
      </c>
      <c r="L165">
        <v>-3</v>
      </c>
      <c r="M165">
        <v>0</v>
      </c>
      <c r="N165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7" spans="1:51" x14ac:dyDescent="0.3">
      <c r="A167" t="s">
        <v>427</v>
      </c>
      <c r="B167">
        <v>70</v>
      </c>
      <c r="C167" t="s">
        <v>400</v>
      </c>
      <c r="D167">
        <v>38</v>
      </c>
      <c r="E167">
        <v>37</v>
      </c>
      <c r="F167">
        <v>40</v>
      </c>
      <c r="G167">
        <v>37</v>
      </c>
      <c r="H167">
        <v>36</v>
      </c>
      <c r="I167">
        <v>37</v>
      </c>
      <c r="J167">
        <v>37</v>
      </c>
      <c r="K167">
        <v>38</v>
      </c>
      <c r="L167">
        <v>40</v>
      </c>
      <c r="M167">
        <v>37</v>
      </c>
      <c r="N167">
        <v>35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">
      <c r="C168" t="s">
        <v>401</v>
      </c>
      <c r="D168">
        <v>3</v>
      </c>
      <c r="E168">
        <v>3</v>
      </c>
      <c r="F168">
        <v>2</v>
      </c>
      <c r="G168">
        <v>2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70" spans="1:51" x14ac:dyDescent="0.3">
      <c r="A170" t="s">
        <v>428</v>
      </c>
      <c r="B170">
        <v>70</v>
      </c>
      <c r="C170" t="s">
        <v>400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">
      <c r="C171" t="s">
        <v>401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3" spans="1:51" x14ac:dyDescent="0.3">
      <c r="A173" t="s">
        <v>287</v>
      </c>
      <c r="B173">
        <v>165</v>
      </c>
      <c r="C173" t="s">
        <v>400</v>
      </c>
      <c r="D173">
        <v>103</v>
      </c>
      <c r="E173">
        <v>103</v>
      </c>
      <c r="F173">
        <v>103</v>
      </c>
      <c r="G173">
        <v>103</v>
      </c>
      <c r="H173">
        <v>103</v>
      </c>
      <c r="I173">
        <v>103</v>
      </c>
      <c r="J173">
        <v>103</v>
      </c>
      <c r="K173">
        <v>103</v>
      </c>
      <c r="L173">
        <v>103</v>
      </c>
      <c r="M173">
        <v>103</v>
      </c>
      <c r="N173">
        <v>103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3">
      <c r="C174" t="s">
        <v>401</v>
      </c>
      <c r="D174">
        <v>-17</v>
      </c>
      <c r="E174">
        <v>-18</v>
      </c>
      <c r="F174">
        <v>-19</v>
      </c>
      <c r="G174">
        <v>-20</v>
      </c>
      <c r="H174">
        <v>-23</v>
      </c>
      <c r="I174">
        <v>-24</v>
      </c>
      <c r="J174">
        <v>-25</v>
      </c>
      <c r="K174">
        <v>-25</v>
      </c>
      <c r="L174">
        <v>-22</v>
      </c>
      <c r="M174">
        <v>-21</v>
      </c>
      <c r="N174">
        <v>-18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6" spans="1:51" x14ac:dyDescent="0.3">
      <c r="A176" t="s">
        <v>288</v>
      </c>
      <c r="B176">
        <v>330</v>
      </c>
      <c r="C176" t="s">
        <v>400</v>
      </c>
      <c r="D176">
        <v>152</v>
      </c>
      <c r="E176">
        <v>152</v>
      </c>
      <c r="F176">
        <v>153</v>
      </c>
      <c r="G176">
        <v>153</v>
      </c>
      <c r="H176">
        <v>152</v>
      </c>
      <c r="I176">
        <v>152</v>
      </c>
      <c r="J176">
        <v>152</v>
      </c>
      <c r="K176">
        <v>152</v>
      </c>
      <c r="L176">
        <v>152</v>
      </c>
      <c r="M176">
        <v>152</v>
      </c>
      <c r="N176">
        <v>152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3">
      <c r="C177" t="s">
        <v>401</v>
      </c>
      <c r="D177">
        <v>-34</v>
      </c>
      <c r="E177">
        <v>-37</v>
      </c>
      <c r="F177">
        <v>-39</v>
      </c>
      <c r="G177">
        <v>-42</v>
      </c>
      <c r="H177">
        <v>-44</v>
      </c>
      <c r="I177">
        <v>-49</v>
      </c>
      <c r="J177">
        <v>-49</v>
      </c>
      <c r="K177">
        <v>-49</v>
      </c>
      <c r="L177">
        <v>-45</v>
      </c>
      <c r="M177">
        <v>-42</v>
      </c>
      <c r="N177">
        <v>-35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9" spans="1:51" x14ac:dyDescent="0.3">
      <c r="A179" t="s">
        <v>429</v>
      </c>
      <c r="B179">
        <v>69.616299999999995</v>
      </c>
      <c r="C179" t="s">
        <v>400</v>
      </c>
      <c r="D179">
        <v>64</v>
      </c>
      <c r="E179">
        <v>64</v>
      </c>
      <c r="F179">
        <v>64</v>
      </c>
      <c r="G179">
        <v>64</v>
      </c>
      <c r="H179">
        <v>64</v>
      </c>
      <c r="I179">
        <v>64</v>
      </c>
      <c r="J179">
        <v>64</v>
      </c>
      <c r="K179">
        <v>64</v>
      </c>
      <c r="L179">
        <v>64</v>
      </c>
      <c r="M179">
        <v>64</v>
      </c>
      <c r="N179">
        <v>64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3">
      <c r="C180" t="s">
        <v>401</v>
      </c>
      <c r="D180">
        <v>-7</v>
      </c>
      <c r="E180">
        <v>-7</v>
      </c>
      <c r="F180">
        <v>-7</v>
      </c>
      <c r="G180">
        <v>-7</v>
      </c>
      <c r="H180">
        <v>-8</v>
      </c>
      <c r="I180">
        <v>-8</v>
      </c>
      <c r="J180">
        <v>-8</v>
      </c>
      <c r="K180">
        <v>-9</v>
      </c>
      <c r="L180">
        <v>-8</v>
      </c>
      <c r="M180">
        <v>-8</v>
      </c>
      <c r="N180">
        <v>-7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2" spans="1:51" x14ac:dyDescent="0.3">
      <c r="A182" t="s">
        <v>430</v>
      </c>
      <c r="B182">
        <v>69.588210000000004</v>
      </c>
      <c r="C182" t="s">
        <v>400</v>
      </c>
      <c r="D182">
        <v>64</v>
      </c>
      <c r="E182">
        <v>64</v>
      </c>
      <c r="F182">
        <v>64</v>
      </c>
      <c r="G182">
        <v>64</v>
      </c>
      <c r="H182">
        <v>64</v>
      </c>
      <c r="I182">
        <v>64</v>
      </c>
      <c r="J182">
        <v>64</v>
      </c>
      <c r="K182">
        <v>64</v>
      </c>
      <c r="L182">
        <v>64</v>
      </c>
      <c r="M182">
        <v>64</v>
      </c>
      <c r="N182">
        <v>64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">
      <c r="C183" t="s">
        <v>401</v>
      </c>
      <c r="D183">
        <v>-6</v>
      </c>
      <c r="E183">
        <v>-6</v>
      </c>
      <c r="F183">
        <v>-6</v>
      </c>
      <c r="G183">
        <v>-7</v>
      </c>
      <c r="H183">
        <v>-7</v>
      </c>
      <c r="I183">
        <v>-8</v>
      </c>
      <c r="J183">
        <v>-8</v>
      </c>
      <c r="K183">
        <v>-8</v>
      </c>
      <c r="L183">
        <v>-8</v>
      </c>
      <c r="M183">
        <v>-7</v>
      </c>
      <c r="N183">
        <v>-7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5" spans="1:51" x14ac:dyDescent="0.3">
      <c r="A185" t="s">
        <v>431</v>
      </c>
      <c r="B185">
        <v>69.563299999999998</v>
      </c>
      <c r="C185" t="s">
        <v>400</v>
      </c>
      <c r="D185">
        <v>62</v>
      </c>
      <c r="E185">
        <v>62</v>
      </c>
      <c r="F185">
        <v>62</v>
      </c>
      <c r="G185">
        <v>62</v>
      </c>
      <c r="H185">
        <v>62</v>
      </c>
      <c r="I185">
        <v>62</v>
      </c>
      <c r="J185">
        <v>62</v>
      </c>
      <c r="K185">
        <v>62</v>
      </c>
      <c r="L185">
        <v>62</v>
      </c>
      <c r="M185">
        <v>62</v>
      </c>
      <c r="N185">
        <v>62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3">
      <c r="C186" t="s">
        <v>401</v>
      </c>
      <c r="D186">
        <v>-7</v>
      </c>
      <c r="E186">
        <v>-8</v>
      </c>
      <c r="F186">
        <v>-8</v>
      </c>
      <c r="G186">
        <v>-8</v>
      </c>
      <c r="H186">
        <v>-9</v>
      </c>
      <c r="I186">
        <v>-9</v>
      </c>
      <c r="J186">
        <v>-10</v>
      </c>
      <c r="K186">
        <v>-10</v>
      </c>
      <c r="L186">
        <v>-9</v>
      </c>
      <c r="M186">
        <v>-9</v>
      </c>
      <c r="N186">
        <v>-8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8" spans="1:51" x14ac:dyDescent="0.3">
      <c r="A188" t="s">
        <v>291</v>
      </c>
      <c r="C188" t="s">
        <v>400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C189" t="s">
        <v>401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1" spans="1:51" x14ac:dyDescent="0.3">
      <c r="A191" t="s">
        <v>31</v>
      </c>
      <c r="B191">
        <v>625</v>
      </c>
      <c r="C191" t="s">
        <v>400</v>
      </c>
      <c r="D191">
        <v>551</v>
      </c>
      <c r="E191">
        <v>533</v>
      </c>
      <c r="F191">
        <v>503</v>
      </c>
      <c r="G191">
        <v>498</v>
      </c>
      <c r="H191">
        <v>500</v>
      </c>
      <c r="I191">
        <v>498</v>
      </c>
      <c r="J191">
        <v>497</v>
      </c>
      <c r="K191">
        <v>501</v>
      </c>
      <c r="L191">
        <v>500</v>
      </c>
      <c r="M191">
        <v>540</v>
      </c>
      <c r="N191">
        <v>582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">
      <c r="C192" t="s">
        <v>401</v>
      </c>
      <c r="D192">
        <v>-57</v>
      </c>
      <c r="E192">
        <v>-56</v>
      </c>
      <c r="F192">
        <v>-50</v>
      </c>
      <c r="G192">
        <v>-53</v>
      </c>
      <c r="H192">
        <v>-57</v>
      </c>
      <c r="I192">
        <v>-62</v>
      </c>
      <c r="J192">
        <v>-61</v>
      </c>
      <c r="K192">
        <v>-62</v>
      </c>
      <c r="L192">
        <v>-58</v>
      </c>
      <c r="M192">
        <v>-39</v>
      </c>
      <c r="N192">
        <v>-20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4" spans="1:51" x14ac:dyDescent="0.3">
      <c r="A194" t="s">
        <v>66</v>
      </c>
      <c r="B194">
        <v>991</v>
      </c>
      <c r="C194" t="s">
        <v>400</v>
      </c>
      <c r="D194">
        <v>661</v>
      </c>
      <c r="E194">
        <v>660</v>
      </c>
      <c r="F194">
        <v>660</v>
      </c>
      <c r="G194">
        <v>660</v>
      </c>
      <c r="H194">
        <v>661</v>
      </c>
      <c r="I194">
        <v>655</v>
      </c>
      <c r="J194">
        <v>662</v>
      </c>
      <c r="K194">
        <v>660</v>
      </c>
      <c r="L194">
        <v>707</v>
      </c>
      <c r="M194">
        <v>705</v>
      </c>
      <c r="N194">
        <v>752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3">
      <c r="C195" t="s">
        <v>401</v>
      </c>
      <c r="D195">
        <v>63</v>
      </c>
      <c r="E195">
        <v>56</v>
      </c>
      <c r="F195">
        <v>56</v>
      </c>
      <c r="G195">
        <v>46</v>
      </c>
      <c r="H195">
        <v>36</v>
      </c>
      <c r="I195">
        <v>33</v>
      </c>
      <c r="J195">
        <v>34</v>
      </c>
      <c r="K195">
        <v>29</v>
      </c>
      <c r="L195">
        <v>34</v>
      </c>
      <c r="M195">
        <v>41</v>
      </c>
      <c r="N195">
        <v>48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7" spans="1:51" x14ac:dyDescent="0.3">
      <c r="A197" t="s">
        <v>68</v>
      </c>
      <c r="B197">
        <v>991</v>
      </c>
      <c r="C197" t="s">
        <v>400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3">
      <c r="C198" t="s">
        <v>401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200" spans="1:51" x14ac:dyDescent="0.3">
      <c r="A200" t="s">
        <v>41</v>
      </c>
      <c r="B200">
        <v>1000</v>
      </c>
      <c r="C200" t="s">
        <v>400</v>
      </c>
      <c r="D200">
        <v>766</v>
      </c>
      <c r="E200">
        <v>765</v>
      </c>
      <c r="F200">
        <v>766</v>
      </c>
      <c r="G200">
        <v>770</v>
      </c>
      <c r="H200">
        <v>707</v>
      </c>
      <c r="I200">
        <v>700</v>
      </c>
      <c r="J200">
        <v>701</v>
      </c>
      <c r="K200">
        <v>700</v>
      </c>
      <c r="L200">
        <v>745</v>
      </c>
      <c r="M200">
        <v>783</v>
      </c>
      <c r="N200">
        <v>796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3">
      <c r="C201" t="s">
        <v>401</v>
      </c>
      <c r="D201">
        <v>-73</v>
      </c>
      <c r="E201">
        <v>-64</v>
      </c>
      <c r="F201">
        <v>-73</v>
      </c>
      <c r="G201">
        <v>-64</v>
      </c>
      <c r="H201">
        <v>-51</v>
      </c>
      <c r="I201">
        <v>-48</v>
      </c>
      <c r="J201">
        <v>-56</v>
      </c>
      <c r="K201">
        <v>-59</v>
      </c>
      <c r="L201">
        <v>-55</v>
      </c>
      <c r="M201">
        <v>-70</v>
      </c>
      <c r="N201">
        <v>-74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3" spans="1:51" x14ac:dyDescent="0.3">
      <c r="A203" t="s">
        <v>45</v>
      </c>
      <c r="B203">
        <v>1000</v>
      </c>
      <c r="C203" t="s">
        <v>400</v>
      </c>
      <c r="D203">
        <v>765</v>
      </c>
      <c r="E203">
        <v>764</v>
      </c>
      <c r="F203">
        <v>766</v>
      </c>
      <c r="G203">
        <v>765</v>
      </c>
      <c r="H203">
        <v>701</v>
      </c>
      <c r="I203">
        <v>699</v>
      </c>
      <c r="J203">
        <v>699</v>
      </c>
      <c r="K203">
        <v>700</v>
      </c>
      <c r="L203">
        <v>745</v>
      </c>
      <c r="M203">
        <v>797</v>
      </c>
      <c r="N203">
        <v>793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3">
      <c r="C204" t="s">
        <v>401</v>
      </c>
      <c r="D204">
        <v>-67</v>
      </c>
      <c r="E204">
        <v>-79</v>
      </c>
      <c r="F204">
        <v>-75</v>
      </c>
      <c r="G204">
        <v>-70</v>
      </c>
      <c r="H204">
        <v>-56</v>
      </c>
      <c r="I204">
        <v>-53</v>
      </c>
      <c r="J204">
        <v>-61</v>
      </c>
      <c r="K204">
        <v>-48</v>
      </c>
      <c r="L204">
        <v>-63</v>
      </c>
      <c r="M204">
        <v>-73</v>
      </c>
      <c r="N204">
        <v>-76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6" spans="1:51" x14ac:dyDescent="0.3">
      <c r="A206" t="s">
        <v>292</v>
      </c>
      <c r="B206">
        <v>14.48911</v>
      </c>
      <c r="C206" t="s">
        <v>400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3">
      <c r="C207" t="s">
        <v>401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9" spans="1:51" x14ac:dyDescent="0.3">
      <c r="A209" t="s">
        <v>295</v>
      </c>
    </row>
    <row r="211" spans="1:51" x14ac:dyDescent="0.3">
      <c r="A211" t="s">
        <v>432</v>
      </c>
      <c r="C211" t="s">
        <v>400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 x14ac:dyDescent="0.3">
      <c r="C212" t="s">
        <v>401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4" spans="1:51" x14ac:dyDescent="0.3">
      <c r="A214" t="s">
        <v>433</v>
      </c>
      <c r="C214" t="s">
        <v>400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">
      <c r="C215" t="s">
        <v>401</v>
      </c>
      <c r="D215">
        <v>-2</v>
      </c>
      <c r="E215">
        <v>-2</v>
      </c>
      <c r="F215">
        <v>-2</v>
      </c>
      <c r="G215">
        <v>-2</v>
      </c>
      <c r="H215">
        <v>-2</v>
      </c>
      <c r="I215">
        <v>-2</v>
      </c>
      <c r="J215">
        <v>-2</v>
      </c>
      <c r="K215">
        <v>-2</v>
      </c>
      <c r="L215">
        <v>-2</v>
      </c>
      <c r="M215">
        <v>-2</v>
      </c>
      <c r="N215">
        <v>-2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7" spans="1:51" x14ac:dyDescent="0.3">
      <c r="A217" t="s">
        <v>434</v>
      </c>
      <c r="C217" t="s">
        <v>400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 x14ac:dyDescent="0.3">
      <c r="C218" t="s">
        <v>401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20" spans="1:51" x14ac:dyDescent="0.3">
      <c r="A220" t="s">
        <v>435</v>
      </c>
      <c r="C220" t="s">
        <v>400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3">
      <c r="C221" t="s">
        <v>401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3" spans="1:51" x14ac:dyDescent="0.3">
      <c r="A223" t="s">
        <v>436</v>
      </c>
      <c r="C223" t="s">
        <v>400</v>
      </c>
      <c r="D223">
        <v>6</v>
      </c>
      <c r="E223">
        <v>6</v>
      </c>
      <c r="F223">
        <v>6</v>
      </c>
      <c r="G223">
        <v>6</v>
      </c>
      <c r="H223">
        <v>6</v>
      </c>
      <c r="I223">
        <v>6</v>
      </c>
      <c r="J223">
        <v>6</v>
      </c>
      <c r="K223">
        <v>6</v>
      </c>
      <c r="L223">
        <v>6</v>
      </c>
      <c r="M223">
        <v>6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3">
      <c r="C224" t="s">
        <v>401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6" spans="1:51" x14ac:dyDescent="0.3">
      <c r="A226" t="s">
        <v>297</v>
      </c>
      <c r="B226">
        <v>174.6</v>
      </c>
      <c r="C226" t="s">
        <v>400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3">
      <c r="C227" t="s">
        <v>401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9" spans="1:51" x14ac:dyDescent="0.3">
      <c r="A229" t="s">
        <v>298</v>
      </c>
      <c r="B229">
        <v>174.6</v>
      </c>
      <c r="C229" t="s">
        <v>400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">
      <c r="C230" t="s">
        <v>401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2" spans="1:51" x14ac:dyDescent="0.3">
      <c r="A232" t="s">
        <v>299</v>
      </c>
      <c r="B232">
        <v>174.6</v>
      </c>
      <c r="C232" t="s">
        <v>400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3">
      <c r="C233" t="s">
        <v>401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5" spans="1:51" x14ac:dyDescent="0.3">
      <c r="A235" t="s">
        <v>300</v>
      </c>
      <c r="B235">
        <v>174.6</v>
      </c>
      <c r="C235" t="s">
        <v>400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3">
      <c r="C236" t="s">
        <v>401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8" spans="1:51" x14ac:dyDescent="0.3">
      <c r="A238" t="s">
        <v>301</v>
      </c>
      <c r="B238">
        <v>30</v>
      </c>
      <c r="C238" t="s">
        <v>400</v>
      </c>
      <c r="D238">
        <v>30</v>
      </c>
      <c r="E238">
        <v>30</v>
      </c>
      <c r="F238">
        <v>30</v>
      </c>
      <c r="G238">
        <v>30</v>
      </c>
      <c r="H238">
        <v>30</v>
      </c>
      <c r="I238">
        <v>30</v>
      </c>
      <c r="J238">
        <v>30</v>
      </c>
      <c r="K238">
        <v>30</v>
      </c>
      <c r="L238">
        <v>30</v>
      </c>
      <c r="M238">
        <v>30</v>
      </c>
      <c r="N238">
        <v>30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">
      <c r="C239" t="s">
        <v>401</v>
      </c>
      <c r="D239">
        <v>4</v>
      </c>
      <c r="E239">
        <v>2</v>
      </c>
      <c r="F239">
        <v>2</v>
      </c>
      <c r="G239">
        <v>1</v>
      </c>
      <c r="H239">
        <v>-1</v>
      </c>
      <c r="I239">
        <v>-1</v>
      </c>
      <c r="J239">
        <v>-2</v>
      </c>
      <c r="K239">
        <v>-2</v>
      </c>
      <c r="L239">
        <v>1</v>
      </c>
      <c r="M239">
        <v>1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1" spans="1:51" x14ac:dyDescent="0.3">
      <c r="A241" t="s">
        <v>302</v>
      </c>
      <c r="B241">
        <v>52.3</v>
      </c>
      <c r="C241" t="s">
        <v>400</v>
      </c>
      <c r="D241">
        <v>52</v>
      </c>
      <c r="E241">
        <v>52</v>
      </c>
      <c r="F241">
        <v>52</v>
      </c>
      <c r="G241">
        <v>52</v>
      </c>
      <c r="H241">
        <v>52</v>
      </c>
      <c r="I241">
        <v>52</v>
      </c>
      <c r="J241">
        <v>53</v>
      </c>
      <c r="K241">
        <v>52</v>
      </c>
      <c r="L241">
        <v>52</v>
      </c>
      <c r="M241">
        <v>52</v>
      </c>
      <c r="N241">
        <v>52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">
      <c r="C242" t="s">
        <v>401</v>
      </c>
      <c r="D242">
        <v>-1</v>
      </c>
      <c r="E242">
        <v>-3</v>
      </c>
      <c r="F242">
        <v>-2</v>
      </c>
      <c r="G242">
        <v>-3</v>
      </c>
      <c r="H242">
        <v>-4</v>
      </c>
      <c r="I242">
        <v>-5</v>
      </c>
      <c r="J242">
        <v>-5</v>
      </c>
      <c r="K242">
        <v>-5</v>
      </c>
      <c r="L242">
        <v>-3</v>
      </c>
      <c r="M242">
        <v>-3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4" spans="1:51" x14ac:dyDescent="0.3">
      <c r="A244" t="s">
        <v>303</v>
      </c>
      <c r="B244">
        <v>52.3</v>
      </c>
      <c r="C244" t="s">
        <v>400</v>
      </c>
      <c r="D244">
        <v>53</v>
      </c>
      <c r="E244">
        <v>53</v>
      </c>
      <c r="F244">
        <v>53</v>
      </c>
      <c r="G244">
        <v>53</v>
      </c>
      <c r="H244">
        <v>53</v>
      </c>
      <c r="I244">
        <v>53</v>
      </c>
      <c r="J244">
        <v>53</v>
      </c>
      <c r="K244">
        <v>53</v>
      </c>
      <c r="L244">
        <v>53</v>
      </c>
      <c r="M244">
        <v>53</v>
      </c>
      <c r="N244">
        <v>53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3">
      <c r="C245" t="s">
        <v>401</v>
      </c>
      <c r="D245">
        <v>0</v>
      </c>
      <c r="E245">
        <v>-1</v>
      </c>
      <c r="F245">
        <v>-1</v>
      </c>
      <c r="G245">
        <v>-2</v>
      </c>
      <c r="H245">
        <v>-2</v>
      </c>
      <c r="I245">
        <v>-3</v>
      </c>
      <c r="J245">
        <v>-3</v>
      </c>
      <c r="K245">
        <v>-3</v>
      </c>
      <c r="L245">
        <v>-2</v>
      </c>
      <c r="M245">
        <v>-1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7" spans="1:51" x14ac:dyDescent="0.3">
      <c r="A247" t="s">
        <v>304</v>
      </c>
      <c r="B247">
        <v>52</v>
      </c>
      <c r="C247" t="s">
        <v>400</v>
      </c>
      <c r="D247">
        <v>47</v>
      </c>
      <c r="E247">
        <v>46</v>
      </c>
      <c r="F247">
        <v>46</v>
      </c>
      <c r="G247">
        <v>46</v>
      </c>
      <c r="H247">
        <v>46</v>
      </c>
      <c r="I247">
        <v>46</v>
      </c>
      <c r="J247">
        <v>46</v>
      </c>
      <c r="K247">
        <v>46</v>
      </c>
      <c r="L247">
        <v>46</v>
      </c>
      <c r="M247">
        <v>46</v>
      </c>
      <c r="N247">
        <v>45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">
      <c r="C248" t="s">
        <v>401</v>
      </c>
      <c r="D248">
        <v>1</v>
      </c>
      <c r="E248">
        <v>-2</v>
      </c>
      <c r="F248">
        <v>-2</v>
      </c>
      <c r="G248">
        <v>-2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-2</v>
      </c>
      <c r="N248">
        <v>-3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50" spans="1:51" x14ac:dyDescent="0.3">
      <c r="A250" t="s">
        <v>305</v>
      </c>
      <c r="B250">
        <v>55</v>
      </c>
      <c r="C250" t="s">
        <v>400</v>
      </c>
      <c r="D250">
        <v>42</v>
      </c>
      <c r="E250">
        <v>42</v>
      </c>
      <c r="F250">
        <v>42</v>
      </c>
      <c r="G250">
        <v>42</v>
      </c>
      <c r="H250">
        <v>42</v>
      </c>
      <c r="I250">
        <v>42</v>
      </c>
      <c r="J250">
        <v>42</v>
      </c>
      <c r="K250">
        <v>42</v>
      </c>
      <c r="L250">
        <v>42</v>
      </c>
      <c r="M250">
        <v>42</v>
      </c>
      <c r="N250">
        <v>42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3">
      <c r="C251" t="s">
        <v>401</v>
      </c>
      <c r="D251">
        <v>-1</v>
      </c>
      <c r="E251">
        <v>-1</v>
      </c>
      <c r="F251">
        <v>0</v>
      </c>
      <c r="G251">
        <v>-1</v>
      </c>
      <c r="H251">
        <v>-1</v>
      </c>
      <c r="I251">
        <v>0</v>
      </c>
      <c r="J251">
        <v>0</v>
      </c>
      <c r="K251">
        <v>-1</v>
      </c>
      <c r="L251">
        <v>-1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3" spans="1:51" x14ac:dyDescent="0.3">
      <c r="A253" t="s">
        <v>306</v>
      </c>
      <c r="B253">
        <v>55</v>
      </c>
      <c r="C253" t="s">
        <v>400</v>
      </c>
      <c r="D253">
        <v>42</v>
      </c>
      <c r="E253">
        <v>42</v>
      </c>
      <c r="F253">
        <v>42</v>
      </c>
      <c r="G253">
        <v>42</v>
      </c>
      <c r="H253">
        <v>42</v>
      </c>
      <c r="I253">
        <v>42</v>
      </c>
      <c r="J253">
        <v>42</v>
      </c>
      <c r="K253">
        <v>42</v>
      </c>
      <c r="L253">
        <v>42</v>
      </c>
      <c r="M253">
        <v>42</v>
      </c>
      <c r="N253">
        <v>42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3">
      <c r="C254" t="s">
        <v>401</v>
      </c>
      <c r="D254">
        <v>1</v>
      </c>
      <c r="E254">
        <v>1</v>
      </c>
      <c r="F254">
        <v>1</v>
      </c>
      <c r="G254">
        <v>1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6" spans="1:51" x14ac:dyDescent="0.3">
      <c r="A256" t="s">
        <v>437</v>
      </c>
      <c r="B256">
        <v>204</v>
      </c>
      <c r="C256" t="s">
        <v>400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3">
      <c r="C257" t="s">
        <v>401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9" spans="1:51" x14ac:dyDescent="0.3">
      <c r="A259" t="s">
        <v>438</v>
      </c>
      <c r="B259">
        <v>137</v>
      </c>
      <c r="C259" t="s">
        <v>400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3">
      <c r="C260" t="s">
        <v>401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2" spans="1:51" x14ac:dyDescent="0.3">
      <c r="A262" t="s">
        <v>439</v>
      </c>
      <c r="B262">
        <v>137</v>
      </c>
      <c r="C262" t="s">
        <v>400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">
      <c r="C263" t="s">
        <v>401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5" spans="1:51" x14ac:dyDescent="0.3">
      <c r="A265" t="s">
        <v>440</v>
      </c>
      <c r="B265">
        <v>137</v>
      </c>
      <c r="C265" t="s">
        <v>400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">
      <c r="C266" t="s">
        <v>401</v>
      </c>
      <c r="D266">
        <v>-1</v>
      </c>
      <c r="E266">
        <v>-1</v>
      </c>
      <c r="F266">
        <v>-1</v>
      </c>
      <c r="G266">
        <v>-1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8" spans="1:51" x14ac:dyDescent="0.3">
      <c r="A268" t="s">
        <v>308</v>
      </c>
      <c r="B268">
        <v>144</v>
      </c>
      <c r="C268" t="s">
        <v>400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3">
      <c r="C269" t="s">
        <v>401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1" spans="1:51" x14ac:dyDescent="0.3">
      <c r="A271" t="s">
        <v>309</v>
      </c>
      <c r="B271">
        <v>137</v>
      </c>
      <c r="C271" t="s">
        <v>400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">
      <c r="C272" t="s">
        <v>401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4" spans="1:51" x14ac:dyDescent="0.3">
      <c r="A274" t="s">
        <v>310</v>
      </c>
      <c r="B274">
        <v>137</v>
      </c>
      <c r="C274" t="s">
        <v>400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3">
      <c r="C275" t="s">
        <v>401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7" spans="1:51" x14ac:dyDescent="0.3">
      <c r="A277" t="s">
        <v>311</v>
      </c>
      <c r="B277">
        <v>123</v>
      </c>
      <c r="C277" t="s">
        <v>400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3">
      <c r="C278" t="s">
        <v>401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80" spans="1:51" x14ac:dyDescent="0.3">
      <c r="A280" t="s">
        <v>312</v>
      </c>
      <c r="B280">
        <v>123</v>
      </c>
      <c r="C280" t="s">
        <v>400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3">
      <c r="C281" t="s">
        <v>401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3" spans="1:51" x14ac:dyDescent="0.3">
      <c r="A283" t="s">
        <v>313</v>
      </c>
      <c r="B283">
        <v>123</v>
      </c>
      <c r="C283" t="s">
        <v>400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 x14ac:dyDescent="0.3">
      <c r="C284" t="s">
        <v>401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6" spans="1:51" x14ac:dyDescent="0.3">
      <c r="A286" t="s">
        <v>314</v>
      </c>
      <c r="B286">
        <v>123</v>
      </c>
      <c r="C286" t="s">
        <v>400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3">
      <c r="C287" t="s">
        <v>401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9" spans="1:51" x14ac:dyDescent="0.3">
      <c r="A289" t="s">
        <v>315</v>
      </c>
      <c r="B289">
        <v>123</v>
      </c>
      <c r="C289" t="s">
        <v>400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 x14ac:dyDescent="0.3">
      <c r="C290" t="s">
        <v>401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2" spans="1:51" x14ac:dyDescent="0.3">
      <c r="A292" t="s">
        <v>316</v>
      </c>
      <c r="B292">
        <v>123</v>
      </c>
      <c r="C292" t="s">
        <v>400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3">
      <c r="C293" t="s">
        <v>401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5" spans="1:51" x14ac:dyDescent="0.3">
      <c r="A295" t="s">
        <v>317</v>
      </c>
      <c r="B295">
        <v>123</v>
      </c>
      <c r="C295" t="s">
        <v>400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">
      <c r="C296" t="s">
        <v>401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</row>
    <row r="298" spans="1:51" x14ac:dyDescent="0.3">
      <c r="A298" t="s">
        <v>318</v>
      </c>
      <c r="B298">
        <v>123</v>
      </c>
      <c r="C298" t="s">
        <v>400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">
      <c r="C299" t="s">
        <v>401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1" spans="1:51" x14ac:dyDescent="0.3">
      <c r="A301" t="s">
        <v>319</v>
      </c>
      <c r="B301">
        <v>239.55</v>
      </c>
      <c r="C301" t="s">
        <v>400</v>
      </c>
      <c r="D301">
        <v>49</v>
      </c>
      <c r="E301">
        <v>49</v>
      </c>
      <c r="F301">
        <v>49</v>
      </c>
      <c r="G301">
        <v>49</v>
      </c>
      <c r="H301">
        <v>48</v>
      </c>
      <c r="I301">
        <v>49</v>
      </c>
      <c r="J301">
        <v>50</v>
      </c>
      <c r="K301">
        <v>49</v>
      </c>
      <c r="L301">
        <v>49</v>
      </c>
      <c r="M301">
        <v>49</v>
      </c>
      <c r="N301">
        <v>49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 x14ac:dyDescent="0.3">
      <c r="C302" t="s">
        <v>401</v>
      </c>
      <c r="D302">
        <v>2</v>
      </c>
      <c r="E302">
        <v>-1</v>
      </c>
      <c r="F302">
        <v>-3</v>
      </c>
      <c r="G302">
        <v>-7</v>
      </c>
      <c r="H302">
        <v>-9</v>
      </c>
      <c r="I302">
        <v>-13</v>
      </c>
      <c r="J302">
        <v>-12</v>
      </c>
      <c r="K302">
        <v>-13</v>
      </c>
      <c r="L302">
        <v>-7</v>
      </c>
      <c r="M302">
        <v>-6</v>
      </c>
      <c r="N302">
        <v>-1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4" spans="1:51" x14ac:dyDescent="0.3">
      <c r="A304" t="s">
        <v>320</v>
      </c>
      <c r="B304">
        <v>140</v>
      </c>
      <c r="C304" t="s">
        <v>400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">
      <c r="C305" t="s">
        <v>401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7" spans="1:51" x14ac:dyDescent="0.3">
      <c r="A307" t="s">
        <v>321</v>
      </c>
      <c r="B307">
        <v>140</v>
      </c>
      <c r="C307" t="s">
        <v>400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  <c r="J307">
        <v>100</v>
      </c>
      <c r="K307">
        <v>101</v>
      </c>
      <c r="L307">
        <v>100</v>
      </c>
      <c r="M307">
        <v>100</v>
      </c>
      <c r="N307">
        <v>100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3">
      <c r="C308" t="s">
        <v>401</v>
      </c>
      <c r="D308">
        <v>10</v>
      </c>
      <c r="E308">
        <v>8</v>
      </c>
      <c r="F308">
        <v>6</v>
      </c>
      <c r="G308">
        <v>4</v>
      </c>
      <c r="H308">
        <v>2</v>
      </c>
      <c r="I308">
        <v>0</v>
      </c>
      <c r="J308">
        <v>0</v>
      </c>
      <c r="K308">
        <v>0</v>
      </c>
      <c r="L308">
        <v>4</v>
      </c>
      <c r="M308">
        <v>4</v>
      </c>
      <c r="N308">
        <v>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10" spans="1:51" x14ac:dyDescent="0.3">
      <c r="A310" t="s">
        <v>322</v>
      </c>
      <c r="B310">
        <v>140</v>
      </c>
      <c r="C310" t="s">
        <v>400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">
      <c r="C311" t="s">
        <v>401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3" spans="1:51" x14ac:dyDescent="0.3">
      <c r="A313" t="s">
        <v>323</v>
      </c>
      <c r="B313">
        <v>232.79</v>
      </c>
      <c r="C313" t="s">
        <v>400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3">
      <c r="C314" t="s">
        <v>401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6" spans="1:51" x14ac:dyDescent="0.3">
      <c r="A316" t="s">
        <v>324</v>
      </c>
      <c r="B316">
        <v>140</v>
      </c>
      <c r="C316" t="s">
        <v>400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 x14ac:dyDescent="0.3">
      <c r="C317" t="s">
        <v>401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9" spans="1:51" x14ac:dyDescent="0.3">
      <c r="A319" t="s">
        <v>325</v>
      </c>
      <c r="B319">
        <v>140</v>
      </c>
      <c r="C319" t="s">
        <v>400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3">
      <c r="C320" t="s">
        <v>401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2" spans="1:51" x14ac:dyDescent="0.3">
      <c r="A322" t="s">
        <v>326</v>
      </c>
      <c r="B322">
        <v>140</v>
      </c>
      <c r="C322" t="s">
        <v>400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3">
      <c r="C323" t="s">
        <v>401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5" spans="1:51" x14ac:dyDescent="0.3">
      <c r="A325" t="s">
        <v>327</v>
      </c>
      <c r="B325">
        <v>71</v>
      </c>
      <c r="C325" t="s">
        <v>400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 x14ac:dyDescent="0.3">
      <c r="C326" t="s">
        <v>401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8" spans="1:51" x14ac:dyDescent="0.3">
      <c r="A328" t="s">
        <v>328</v>
      </c>
      <c r="B328">
        <v>143</v>
      </c>
      <c r="C328" t="s">
        <v>400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">
      <c r="C329" t="s">
        <v>401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1" spans="1:51" x14ac:dyDescent="0.3">
      <c r="A331" t="s">
        <v>89</v>
      </c>
      <c r="B331">
        <v>290</v>
      </c>
      <c r="C331" t="s">
        <v>400</v>
      </c>
      <c r="D331">
        <v>182</v>
      </c>
      <c r="E331">
        <v>183</v>
      </c>
      <c r="F331">
        <v>182</v>
      </c>
      <c r="G331">
        <v>184</v>
      </c>
      <c r="H331">
        <v>182</v>
      </c>
      <c r="I331">
        <v>182</v>
      </c>
      <c r="J331">
        <v>183</v>
      </c>
      <c r="K331">
        <v>184</v>
      </c>
      <c r="L331">
        <v>183</v>
      </c>
      <c r="M331">
        <v>194</v>
      </c>
      <c r="N331">
        <v>194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3">
      <c r="C332" t="s">
        <v>401</v>
      </c>
      <c r="D332">
        <v>27</v>
      </c>
      <c r="E332">
        <v>25</v>
      </c>
      <c r="F332">
        <v>26</v>
      </c>
      <c r="G332">
        <v>23</v>
      </c>
      <c r="H332">
        <v>22</v>
      </c>
      <c r="I332">
        <v>21</v>
      </c>
      <c r="J332">
        <v>21</v>
      </c>
      <c r="K332">
        <v>20</v>
      </c>
      <c r="L332">
        <v>24</v>
      </c>
      <c r="M332">
        <v>24</v>
      </c>
      <c r="N332">
        <v>27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4" spans="1:51" x14ac:dyDescent="0.3">
      <c r="A334" t="s">
        <v>90</v>
      </c>
      <c r="B334">
        <v>290</v>
      </c>
      <c r="C334" t="s">
        <v>400</v>
      </c>
      <c r="D334">
        <v>181</v>
      </c>
      <c r="E334">
        <v>179</v>
      </c>
      <c r="F334">
        <v>179</v>
      </c>
      <c r="G334">
        <v>177</v>
      </c>
      <c r="H334">
        <v>181</v>
      </c>
      <c r="I334">
        <v>180</v>
      </c>
      <c r="J334">
        <v>178</v>
      </c>
      <c r="K334">
        <v>179</v>
      </c>
      <c r="L334">
        <v>179</v>
      </c>
      <c r="M334">
        <v>192</v>
      </c>
      <c r="N334">
        <v>183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 x14ac:dyDescent="0.3">
      <c r="C335" t="s">
        <v>401</v>
      </c>
      <c r="D335">
        <v>24</v>
      </c>
      <c r="E335">
        <v>22</v>
      </c>
      <c r="F335">
        <v>22</v>
      </c>
      <c r="G335">
        <v>20</v>
      </c>
      <c r="H335">
        <v>16</v>
      </c>
      <c r="I335">
        <v>15</v>
      </c>
      <c r="J335">
        <v>17</v>
      </c>
      <c r="K335">
        <v>15</v>
      </c>
      <c r="L335">
        <v>19</v>
      </c>
      <c r="M335">
        <v>20</v>
      </c>
      <c r="N335">
        <v>24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7" spans="1:51" x14ac:dyDescent="0.3">
      <c r="A337" t="s">
        <v>91</v>
      </c>
      <c r="B337">
        <v>290</v>
      </c>
      <c r="C337" t="s">
        <v>400</v>
      </c>
      <c r="D337">
        <v>187</v>
      </c>
      <c r="E337">
        <v>196</v>
      </c>
      <c r="F337">
        <v>197</v>
      </c>
      <c r="G337">
        <v>199</v>
      </c>
      <c r="H337">
        <v>197</v>
      </c>
      <c r="I337">
        <v>193</v>
      </c>
      <c r="J337">
        <v>195</v>
      </c>
      <c r="K337">
        <v>197</v>
      </c>
      <c r="L337">
        <v>197</v>
      </c>
      <c r="M337">
        <v>197</v>
      </c>
      <c r="N337">
        <v>199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 x14ac:dyDescent="0.3">
      <c r="C338" t="s">
        <v>401</v>
      </c>
      <c r="D338">
        <v>27</v>
      </c>
      <c r="E338">
        <v>25</v>
      </c>
      <c r="F338">
        <v>25</v>
      </c>
      <c r="G338">
        <v>22</v>
      </c>
      <c r="H338">
        <v>20</v>
      </c>
      <c r="I338">
        <v>19</v>
      </c>
      <c r="J338">
        <v>19</v>
      </c>
      <c r="K338">
        <v>18</v>
      </c>
      <c r="L338">
        <v>22</v>
      </c>
      <c r="M338">
        <v>24</v>
      </c>
      <c r="N338">
        <v>27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40" spans="1:51" x14ac:dyDescent="0.3">
      <c r="A340" t="s">
        <v>441</v>
      </c>
      <c r="B340">
        <v>30</v>
      </c>
      <c r="C340" t="s">
        <v>400</v>
      </c>
      <c r="D340">
        <v>23</v>
      </c>
      <c r="E340">
        <v>23</v>
      </c>
      <c r="F340">
        <v>23</v>
      </c>
      <c r="G340">
        <v>23</v>
      </c>
      <c r="H340">
        <v>23</v>
      </c>
      <c r="I340">
        <v>23</v>
      </c>
      <c r="J340">
        <v>23</v>
      </c>
      <c r="K340">
        <v>23</v>
      </c>
      <c r="L340">
        <v>23</v>
      </c>
      <c r="M340">
        <v>23</v>
      </c>
      <c r="N340">
        <v>23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3">
      <c r="C341" t="s">
        <v>401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3" spans="1:51" x14ac:dyDescent="0.3">
      <c r="A343" t="s">
        <v>442</v>
      </c>
      <c r="B343">
        <v>30</v>
      </c>
      <c r="C343" t="s">
        <v>400</v>
      </c>
      <c r="D343">
        <v>23</v>
      </c>
      <c r="E343">
        <v>23</v>
      </c>
      <c r="F343">
        <v>23</v>
      </c>
      <c r="G343">
        <v>23</v>
      </c>
      <c r="H343">
        <v>23</v>
      </c>
      <c r="I343">
        <v>23</v>
      </c>
      <c r="J343">
        <v>23</v>
      </c>
      <c r="K343">
        <v>23</v>
      </c>
      <c r="L343">
        <v>23</v>
      </c>
      <c r="M343">
        <v>23</v>
      </c>
      <c r="N343">
        <v>23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 x14ac:dyDescent="0.3">
      <c r="C344" t="s">
        <v>401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6" spans="1:51" x14ac:dyDescent="0.3">
      <c r="A346" t="s">
        <v>443</v>
      </c>
      <c r="B346">
        <v>30</v>
      </c>
      <c r="C346" t="s">
        <v>400</v>
      </c>
      <c r="D346">
        <v>23</v>
      </c>
      <c r="E346">
        <v>23</v>
      </c>
      <c r="F346">
        <v>23</v>
      </c>
      <c r="G346">
        <v>23</v>
      </c>
      <c r="H346">
        <v>23</v>
      </c>
      <c r="I346">
        <v>23</v>
      </c>
      <c r="J346">
        <v>23</v>
      </c>
      <c r="K346">
        <v>23</v>
      </c>
      <c r="L346">
        <v>23</v>
      </c>
      <c r="M346">
        <v>23</v>
      </c>
      <c r="N346">
        <v>23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3">
      <c r="C347" t="s">
        <v>401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9" spans="1:51" x14ac:dyDescent="0.3">
      <c r="A349" t="s">
        <v>444</v>
      </c>
      <c r="B349">
        <v>30</v>
      </c>
      <c r="C349" t="s">
        <v>400</v>
      </c>
      <c r="D349">
        <v>27</v>
      </c>
      <c r="E349">
        <v>27</v>
      </c>
      <c r="F349">
        <v>27</v>
      </c>
      <c r="G349">
        <v>27</v>
      </c>
      <c r="H349">
        <v>27</v>
      </c>
      <c r="I349">
        <v>27</v>
      </c>
      <c r="J349">
        <v>27</v>
      </c>
      <c r="K349">
        <v>27</v>
      </c>
      <c r="L349">
        <v>27</v>
      </c>
      <c r="M349">
        <v>27</v>
      </c>
      <c r="N349">
        <v>27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">
      <c r="C350" t="s">
        <v>401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2" spans="1:51" x14ac:dyDescent="0.3">
      <c r="A352" t="s">
        <v>445</v>
      </c>
      <c r="B352">
        <v>30</v>
      </c>
      <c r="C352" t="s">
        <v>400</v>
      </c>
      <c r="D352">
        <v>27</v>
      </c>
      <c r="E352">
        <v>27</v>
      </c>
      <c r="F352">
        <v>27</v>
      </c>
      <c r="G352">
        <v>27</v>
      </c>
      <c r="H352">
        <v>27</v>
      </c>
      <c r="I352">
        <v>27</v>
      </c>
      <c r="J352">
        <v>27</v>
      </c>
      <c r="K352">
        <v>27</v>
      </c>
      <c r="L352">
        <v>27</v>
      </c>
      <c r="M352">
        <v>27</v>
      </c>
      <c r="N352">
        <v>27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3">
      <c r="C353" t="s">
        <v>401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5" spans="1:51" x14ac:dyDescent="0.3">
      <c r="A355" t="s">
        <v>446</v>
      </c>
      <c r="B355">
        <v>30</v>
      </c>
      <c r="C355" t="s">
        <v>400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">
      <c r="C356" t="s">
        <v>401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8" spans="1:51" x14ac:dyDescent="0.3">
      <c r="A358" t="s">
        <v>330</v>
      </c>
      <c r="B358">
        <v>91.728700000000003</v>
      </c>
      <c r="C358" t="s">
        <v>400</v>
      </c>
      <c r="D358">
        <v>88</v>
      </c>
      <c r="E358">
        <v>88</v>
      </c>
      <c r="F358">
        <v>88</v>
      </c>
      <c r="G358">
        <v>88</v>
      </c>
      <c r="H358">
        <v>88</v>
      </c>
      <c r="I358">
        <v>88</v>
      </c>
      <c r="J358">
        <v>88</v>
      </c>
      <c r="K358">
        <v>88</v>
      </c>
      <c r="L358">
        <v>88</v>
      </c>
      <c r="M358">
        <v>88</v>
      </c>
      <c r="N358">
        <v>88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3">
      <c r="C359" t="s">
        <v>401</v>
      </c>
      <c r="D359">
        <v>-16</v>
      </c>
      <c r="E359">
        <v>-18</v>
      </c>
      <c r="F359">
        <v>-18</v>
      </c>
      <c r="G359">
        <v>-19</v>
      </c>
      <c r="H359">
        <v>-12</v>
      </c>
      <c r="I359">
        <v>-12</v>
      </c>
      <c r="J359">
        <v>-13</v>
      </c>
      <c r="K359">
        <v>-13</v>
      </c>
      <c r="L359">
        <v>-11</v>
      </c>
      <c r="M359">
        <v>-11</v>
      </c>
      <c r="N359">
        <v>-8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1" spans="1:51" x14ac:dyDescent="0.3">
      <c r="A361" t="s">
        <v>331</v>
      </c>
      <c r="B361">
        <v>126.78023</v>
      </c>
      <c r="C361" t="s">
        <v>400</v>
      </c>
      <c r="D361">
        <v>121</v>
      </c>
      <c r="E361">
        <v>121</v>
      </c>
      <c r="F361">
        <v>122</v>
      </c>
      <c r="G361">
        <v>121</v>
      </c>
      <c r="H361">
        <v>122</v>
      </c>
      <c r="I361">
        <v>122</v>
      </c>
      <c r="J361">
        <v>122</v>
      </c>
      <c r="K361">
        <v>121</v>
      </c>
      <c r="L361">
        <v>121</v>
      </c>
      <c r="M361">
        <v>122</v>
      </c>
      <c r="N361">
        <v>122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">
      <c r="C362" t="s">
        <v>401</v>
      </c>
      <c r="D362">
        <v>-21</v>
      </c>
      <c r="E362">
        <v>-22</v>
      </c>
      <c r="F362">
        <v>-23</v>
      </c>
      <c r="G362">
        <v>-24</v>
      </c>
      <c r="H362">
        <v>-17</v>
      </c>
      <c r="I362">
        <v>-18</v>
      </c>
      <c r="J362">
        <v>-18</v>
      </c>
      <c r="K362">
        <v>-17</v>
      </c>
      <c r="L362">
        <v>-13</v>
      </c>
      <c r="M362">
        <v>-9</v>
      </c>
      <c r="N362">
        <v>-3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4" spans="1:51" x14ac:dyDescent="0.3">
      <c r="A364" t="s">
        <v>332</v>
      </c>
      <c r="B364">
        <v>123.36635</v>
      </c>
      <c r="C364" t="s">
        <v>400</v>
      </c>
      <c r="D364">
        <v>115</v>
      </c>
      <c r="E364">
        <v>115</v>
      </c>
      <c r="F364">
        <v>116</v>
      </c>
      <c r="G364">
        <v>115</v>
      </c>
      <c r="H364">
        <v>115</v>
      </c>
      <c r="I364">
        <v>115</v>
      </c>
      <c r="J364">
        <v>115</v>
      </c>
      <c r="K364">
        <v>115</v>
      </c>
      <c r="L364">
        <v>115</v>
      </c>
      <c r="M364">
        <v>115</v>
      </c>
      <c r="N364">
        <v>115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">
      <c r="C365" t="s">
        <v>401</v>
      </c>
      <c r="D365">
        <v>-12</v>
      </c>
      <c r="E365">
        <v>-14</v>
      </c>
      <c r="F365">
        <v>-15</v>
      </c>
      <c r="G365">
        <v>-15</v>
      </c>
      <c r="H365">
        <v>-17</v>
      </c>
      <c r="I365">
        <v>-18</v>
      </c>
      <c r="J365">
        <v>-18</v>
      </c>
      <c r="K365">
        <v>-18</v>
      </c>
      <c r="L365">
        <v>-15</v>
      </c>
      <c r="M365">
        <v>-14</v>
      </c>
      <c r="N365">
        <v>-10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7" spans="1:51" x14ac:dyDescent="0.3">
      <c r="A367" t="s">
        <v>333</v>
      </c>
      <c r="B367">
        <v>122.32919</v>
      </c>
      <c r="C367" t="s">
        <v>400</v>
      </c>
      <c r="D367">
        <v>117</v>
      </c>
      <c r="E367">
        <v>117</v>
      </c>
      <c r="F367">
        <v>116</v>
      </c>
      <c r="G367">
        <v>116</v>
      </c>
      <c r="H367">
        <v>116</v>
      </c>
      <c r="I367">
        <v>116</v>
      </c>
      <c r="J367">
        <v>117</v>
      </c>
      <c r="K367">
        <v>117</v>
      </c>
      <c r="L367">
        <v>116</v>
      </c>
      <c r="M367">
        <v>116</v>
      </c>
      <c r="N367">
        <v>117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">
      <c r="C368" t="s">
        <v>401</v>
      </c>
      <c r="D368">
        <v>-7</v>
      </c>
      <c r="E368">
        <v>-8</v>
      </c>
      <c r="F368">
        <v>-9</v>
      </c>
      <c r="G368">
        <v>-10</v>
      </c>
      <c r="H368">
        <v>-11</v>
      </c>
      <c r="I368">
        <v>-12</v>
      </c>
      <c r="J368">
        <v>-13</v>
      </c>
      <c r="K368">
        <v>-12</v>
      </c>
      <c r="L368">
        <v>-13</v>
      </c>
      <c r="M368">
        <v>-9</v>
      </c>
      <c r="N368">
        <v>-5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70" spans="1:51" x14ac:dyDescent="0.3">
      <c r="A370" t="s">
        <v>334</v>
      </c>
      <c r="B370">
        <v>150</v>
      </c>
      <c r="C370" t="s">
        <v>400</v>
      </c>
      <c r="D370">
        <v>28</v>
      </c>
      <c r="E370">
        <v>30</v>
      </c>
      <c r="F370">
        <v>31</v>
      </c>
      <c r="G370">
        <v>33</v>
      </c>
      <c r="H370">
        <v>35</v>
      </c>
      <c r="I370">
        <v>34</v>
      </c>
      <c r="J370">
        <v>33</v>
      </c>
      <c r="K370">
        <v>35</v>
      </c>
      <c r="L370">
        <v>45</v>
      </c>
      <c r="M370">
        <v>65</v>
      </c>
      <c r="N370">
        <v>40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3">
      <c r="C371" t="s">
        <v>401</v>
      </c>
      <c r="D371">
        <v>26</v>
      </c>
      <c r="E371">
        <v>23</v>
      </c>
      <c r="F371">
        <v>21</v>
      </c>
      <c r="G371">
        <v>18</v>
      </c>
      <c r="H371">
        <v>16</v>
      </c>
      <c r="I371">
        <v>12</v>
      </c>
      <c r="J371">
        <v>9</v>
      </c>
      <c r="K371">
        <v>14</v>
      </c>
      <c r="L371">
        <v>17</v>
      </c>
      <c r="M371">
        <v>26</v>
      </c>
      <c r="N371">
        <v>33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3" spans="1:51" x14ac:dyDescent="0.3">
      <c r="A373" t="s">
        <v>335</v>
      </c>
      <c r="B373">
        <v>61.273200000000003</v>
      </c>
      <c r="C373" t="s">
        <v>400</v>
      </c>
      <c r="D373">
        <v>57</v>
      </c>
      <c r="E373">
        <v>57</v>
      </c>
      <c r="F373">
        <v>57</v>
      </c>
      <c r="G373">
        <v>57</v>
      </c>
      <c r="H373">
        <v>57</v>
      </c>
      <c r="I373">
        <v>57</v>
      </c>
      <c r="J373">
        <v>57</v>
      </c>
      <c r="K373">
        <v>57</v>
      </c>
      <c r="L373">
        <v>57</v>
      </c>
      <c r="M373">
        <v>57</v>
      </c>
      <c r="N373">
        <v>57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">
      <c r="C374" t="s">
        <v>401</v>
      </c>
      <c r="D374">
        <v>-2</v>
      </c>
      <c r="E374">
        <v>4</v>
      </c>
      <c r="F374">
        <v>4</v>
      </c>
      <c r="G374">
        <v>3</v>
      </c>
      <c r="H374">
        <v>2</v>
      </c>
      <c r="I374">
        <v>1</v>
      </c>
      <c r="J374">
        <v>1</v>
      </c>
      <c r="K374">
        <v>1</v>
      </c>
      <c r="L374">
        <v>2</v>
      </c>
      <c r="M374">
        <v>3</v>
      </c>
      <c r="N374">
        <v>-2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6" spans="1:51" x14ac:dyDescent="0.3">
      <c r="A376" t="s">
        <v>336</v>
      </c>
      <c r="B376">
        <v>33</v>
      </c>
      <c r="C376" t="s">
        <v>400</v>
      </c>
      <c r="D376">
        <v>31</v>
      </c>
      <c r="E376">
        <v>31</v>
      </c>
      <c r="F376">
        <v>31</v>
      </c>
      <c r="G376">
        <v>31</v>
      </c>
      <c r="H376">
        <v>31</v>
      </c>
      <c r="I376">
        <v>31</v>
      </c>
      <c r="J376">
        <v>31</v>
      </c>
      <c r="K376">
        <v>31</v>
      </c>
      <c r="L376">
        <v>31</v>
      </c>
      <c r="M376">
        <v>31</v>
      </c>
      <c r="N376">
        <v>31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">
      <c r="C377" t="s">
        <v>401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9" spans="1:51" x14ac:dyDescent="0.3">
      <c r="A379" t="s">
        <v>75</v>
      </c>
      <c r="B379">
        <v>660</v>
      </c>
      <c r="C379" t="s">
        <v>400</v>
      </c>
      <c r="D379">
        <v>450</v>
      </c>
      <c r="E379">
        <v>450</v>
      </c>
      <c r="F379">
        <v>451</v>
      </c>
      <c r="G379">
        <v>451</v>
      </c>
      <c r="H379">
        <v>451</v>
      </c>
      <c r="I379">
        <v>451</v>
      </c>
      <c r="J379">
        <v>449</v>
      </c>
      <c r="K379">
        <v>451</v>
      </c>
      <c r="L379">
        <v>451</v>
      </c>
      <c r="M379">
        <v>500</v>
      </c>
      <c r="N379">
        <v>496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">
      <c r="C380" t="s">
        <v>401</v>
      </c>
      <c r="D380">
        <v>7</v>
      </c>
      <c r="E380">
        <v>0</v>
      </c>
      <c r="F380">
        <v>-2</v>
      </c>
      <c r="G380">
        <v>-10</v>
      </c>
      <c r="H380">
        <v>-11</v>
      </c>
      <c r="I380">
        <v>-15</v>
      </c>
      <c r="J380">
        <v>-13</v>
      </c>
      <c r="K380">
        <v>-12</v>
      </c>
      <c r="L380">
        <v>7</v>
      </c>
      <c r="M380">
        <v>9</v>
      </c>
      <c r="N380">
        <v>26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2" spans="1:51" x14ac:dyDescent="0.3">
      <c r="A382" t="s">
        <v>447</v>
      </c>
      <c r="B382">
        <v>47</v>
      </c>
      <c r="C382" t="s">
        <v>400</v>
      </c>
      <c r="D382">
        <v>21</v>
      </c>
      <c r="E382">
        <v>19</v>
      </c>
      <c r="F382">
        <v>19</v>
      </c>
      <c r="G382">
        <v>19</v>
      </c>
      <c r="H382">
        <v>19</v>
      </c>
      <c r="I382">
        <v>19</v>
      </c>
      <c r="J382">
        <v>19</v>
      </c>
      <c r="K382">
        <v>19</v>
      </c>
      <c r="L382">
        <v>19</v>
      </c>
      <c r="M382">
        <v>19</v>
      </c>
      <c r="N382">
        <v>19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">
      <c r="C383" t="s">
        <v>401</v>
      </c>
      <c r="D383">
        <v>9</v>
      </c>
      <c r="E383">
        <v>7</v>
      </c>
      <c r="F383">
        <v>7</v>
      </c>
      <c r="G383">
        <v>7</v>
      </c>
      <c r="H383">
        <v>7</v>
      </c>
      <c r="I383">
        <v>7</v>
      </c>
      <c r="J383">
        <v>7</v>
      </c>
      <c r="K383">
        <v>7</v>
      </c>
      <c r="L383">
        <v>7</v>
      </c>
      <c r="M383">
        <v>7</v>
      </c>
      <c r="N383">
        <v>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5" spans="1:51" x14ac:dyDescent="0.3">
      <c r="A385" t="s">
        <v>448</v>
      </c>
      <c r="B385">
        <v>35.5</v>
      </c>
      <c r="C385" t="s">
        <v>400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3">
      <c r="C386" t="s">
        <v>401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8" spans="1:51" x14ac:dyDescent="0.3">
      <c r="A388" t="s">
        <v>449</v>
      </c>
      <c r="B388">
        <v>36.299999999999997</v>
      </c>
      <c r="C388" t="s">
        <v>400</v>
      </c>
      <c r="D388">
        <v>26</v>
      </c>
      <c r="E388">
        <v>25</v>
      </c>
      <c r="F388">
        <v>25</v>
      </c>
      <c r="G388">
        <v>26</v>
      </c>
      <c r="H388">
        <v>25</v>
      </c>
      <c r="I388">
        <v>25</v>
      </c>
      <c r="J388">
        <v>26</v>
      </c>
      <c r="K388">
        <v>26</v>
      </c>
      <c r="L388">
        <v>26</v>
      </c>
      <c r="M388">
        <v>26</v>
      </c>
      <c r="N388">
        <v>25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">
      <c r="C389" t="s">
        <v>401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4</v>
      </c>
      <c r="K389">
        <v>4</v>
      </c>
      <c r="L389">
        <v>5</v>
      </c>
      <c r="M389">
        <v>4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1" spans="1:51" x14ac:dyDescent="0.3">
      <c r="A391" t="s">
        <v>338</v>
      </c>
      <c r="B391">
        <v>59.57282</v>
      </c>
      <c r="C391" t="s">
        <v>400</v>
      </c>
      <c r="D391">
        <v>57</v>
      </c>
      <c r="E391">
        <v>58</v>
      </c>
      <c r="F391">
        <v>58</v>
      </c>
      <c r="G391">
        <v>58</v>
      </c>
      <c r="H391">
        <v>58</v>
      </c>
      <c r="I391">
        <v>58</v>
      </c>
      <c r="J391">
        <v>58</v>
      </c>
      <c r="K391">
        <v>58</v>
      </c>
      <c r="L391">
        <v>58</v>
      </c>
      <c r="M391">
        <v>58</v>
      </c>
      <c r="N391">
        <v>58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">
      <c r="C392" t="s">
        <v>401</v>
      </c>
      <c r="D392">
        <v>-6</v>
      </c>
      <c r="E392">
        <v>-7</v>
      </c>
      <c r="F392">
        <v>-7</v>
      </c>
      <c r="G392">
        <v>-9</v>
      </c>
      <c r="H392">
        <v>-9</v>
      </c>
      <c r="I392">
        <v>-10</v>
      </c>
      <c r="J392">
        <v>-10</v>
      </c>
      <c r="K392">
        <v>-9</v>
      </c>
      <c r="L392">
        <v>-7</v>
      </c>
      <c r="M392">
        <v>-5</v>
      </c>
      <c r="N392">
        <v>-2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4" spans="1:51" x14ac:dyDescent="0.3">
      <c r="A394" t="s">
        <v>339</v>
      </c>
      <c r="B394">
        <v>18.537800000000001</v>
      </c>
      <c r="C394" t="s">
        <v>400</v>
      </c>
      <c r="D394">
        <v>17</v>
      </c>
      <c r="E394">
        <v>17</v>
      </c>
      <c r="F394">
        <v>17</v>
      </c>
      <c r="G394">
        <v>17</v>
      </c>
      <c r="H394">
        <v>17</v>
      </c>
      <c r="I394">
        <v>17</v>
      </c>
      <c r="J394">
        <v>17</v>
      </c>
      <c r="K394">
        <v>17</v>
      </c>
      <c r="L394">
        <v>17</v>
      </c>
      <c r="M394">
        <v>17</v>
      </c>
      <c r="N394">
        <v>17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">
      <c r="C395" t="s">
        <v>401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7" spans="1:51" x14ac:dyDescent="0.3">
      <c r="A397" t="s">
        <v>340</v>
      </c>
      <c r="B397">
        <v>46.6</v>
      </c>
      <c r="C397" t="s">
        <v>400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">
      <c r="C398" t="s">
        <v>401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400" spans="1:51" x14ac:dyDescent="0.3">
      <c r="A400" t="s">
        <v>341</v>
      </c>
      <c r="B400">
        <v>880</v>
      </c>
      <c r="C400" t="s">
        <v>400</v>
      </c>
      <c r="D400">
        <v>576</v>
      </c>
      <c r="E400">
        <v>586</v>
      </c>
      <c r="F400">
        <v>589</v>
      </c>
      <c r="G400">
        <v>507</v>
      </c>
      <c r="H400">
        <v>487</v>
      </c>
      <c r="I400">
        <v>539</v>
      </c>
      <c r="J400">
        <v>551</v>
      </c>
      <c r="K400">
        <v>535</v>
      </c>
      <c r="L400">
        <v>599</v>
      </c>
      <c r="M400">
        <v>524</v>
      </c>
      <c r="N400">
        <v>547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3">
      <c r="C401" t="s">
        <v>401</v>
      </c>
      <c r="D401">
        <v>-112</v>
      </c>
      <c r="E401">
        <v>-117</v>
      </c>
      <c r="F401">
        <v>-123</v>
      </c>
      <c r="G401">
        <v>-124</v>
      </c>
      <c r="H401">
        <v>-127</v>
      </c>
      <c r="I401">
        <v>-132</v>
      </c>
      <c r="J401">
        <v>-136</v>
      </c>
      <c r="K401">
        <v>-127</v>
      </c>
      <c r="L401">
        <v>-130</v>
      </c>
      <c r="M401">
        <v>-126</v>
      </c>
      <c r="N401">
        <v>-111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3" spans="1:51" x14ac:dyDescent="0.3">
      <c r="A403" t="s">
        <v>342</v>
      </c>
      <c r="B403">
        <v>880</v>
      </c>
      <c r="C403" t="s">
        <v>400</v>
      </c>
      <c r="D403">
        <v>605</v>
      </c>
      <c r="E403">
        <v>577</v>
      </c>
      <c r="F403">
        <v>589</v>
      </c>
      <c r="G403">
        <v>525</v>
      </c>
      <c r="H403">
        <v>505</v>
      </c>
      <c r="I403">
        <v>506</v>
      </c>
      <c r="J403">
        <v>480</v>
      </c>
      <c r="K403">
        <v>564</v>
      </c>
      <c r="L403">
        <v>579</v>
      </c>
      <c r="M403">
        <v>538</v>
      </c>
      <c r="N403">
        <v>548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">
      <c r="C404" t="s">
        <v>401</v>
      </c>
      <c r="D404">
        <v>-125</v>
      </c>
      <c r="E404">
        <v>-130</v>
      </c>
      <c r="F404">
        <v>-135</v>
      </c>
      <c r="G404">
        <v>-140</v>
      </c>
      <c r="H404">
        <v>-141</v>
      </c>
      <c r="I404">
        <v>-150</v>
      </c>
      <c r="J404">
        <v>-151</v>
      </c>
      <c r="K404">
        <v>-152</v>
      </c>
      <c r="L404">
        <v>-147</v>
      </c>
      <c r="M404">
        <v>-140</v>
      </c>
      <c r="N404">
        <v>-124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6" spans="1:51" x14ac:dyDescent="0.3">
      <c r="A406" t="s">
        <v>74</v>
      </c>
      <c r="B406">
        <v>924</v>
      </c>
      <c r="C406" t="s">
        <v>400</v>
      </c>
      <c r="D406">
        <v>715</v>
      </c>
      <c r="E406">
        <v>713</v>
      </c>
      <c r="F406">
        <v>713</v>
      </c>
      <c r="G406">
        <v>705</v>
      </c>
      <c r="H406">
        <v>705</v>
      </c>
      <c r="I406">
        <v>676</v>
      </c>
      <c r="J406">
        <v>675</v>
      </c>
      <c r="K406">
        <v>673</v>
      </c>
      <c r="L406">
        <v>752</v>
      </c>
      <c r="M406">
        <v>809</v>
      </c>
      <c r="N406">
        <v>910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">
      <c r="C407" t="s">
        <v>401</v>
      </c>
      <c r="D407">
        <v>-138</v>
      </c>
      <c r="E407">
        <v>-138</v>
      </c>
      <c r="F407">
        <v>-139</v>
      </c>
      <c r="G407">
        <v>-137</v>
      </c>
      <c r="H407">
        <v>-137</v>
      </c>
      <c r="I407">
        <v>-129</v>
      </c>
      <c r="J407">
        <v>-128</v>
      </c>
      <c r="K407">
        <v>-129</v>
      </c>
      <c r="L407">
        <v>-149</v>
      </c>
      <c r="M407">
        <v>-139</v>
      </c>
      <c r="N407">
        <v>-132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9" spans="1:51" x14ac:dyDescent="0.3">
      <c r="A409" t="s">
        <v>343</v>
      </c>
      <c r="B409">
        <v>145</v>
      </c>
      <c r="C409" t="s">
        <v>400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">
      <c r="C410" t="s">
        <v>401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2" spans="1:51" x14ac:dyDescent="0.3">
      <c r="A412" t="s">
        <v>343</v>
      </c>
      <c r="B412">
        <v>1.0000000000000001E-5</v>
      </c>
      <c r="C412" t="s">
        <v>400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">
      <c r="C413" t="s">
        <v>401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5" spans="1:51" x14ac:dyDescent="0.3">
      <c r="A415" t="s">
        <v>344</v>
      </c>
      <c r="B415">
        <v>0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"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8" spans="1:51" x14ac:dyDescent="0.3">
      <c r="A418" t="s">
        <v>345</v>
      </c>
    </row>
    <row r="420" spans="1:51" x14ac:dyDescent="0.3">
      <c r="A420" t="s">
        <v>450</v>
      </c>
      <c r="C420" t="s">
        <v>400</v>
      </c>
      <c r="D420">
        <v>3.5001099999999998</v>
      </c>
      <c r="E420">
        <v>3.5004</v>
      </c>
      <c r="F420">
        <v>3.4966200000000001</v>
      </c>
      <c r="G420">
        <v>3.4934599999999998</v>
      </c>
      <c r="H420">
        <v>3.5056099999999999</v>
      </c>
      <c r="I420">
        <v>3.4996200000000002</v>
      </c>
      <c r="J420">
        <v>3.5017999999999998</v>
      </c>
      <c r="K420">
        <v>3.50346</v>
      </c>
      <c r="L420">
        <v>3.5046900000000001</v>
      </c>
      <c r="M420">
        <v>3.4993099999999999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">
      <c r="C421" t="s">
        <v>401</v>
      </c>
      <c r="D421">
        <v>0.26861000000000002</v>
      </c>
      <c r="E421">
        <v>0.25422</v>
      </c>
      <c r="F421">
        <v>0.25985999999999998</v>
      </c>
      <c r="G421">
        <v>0.28964000000000001</v>
      </c>
      <c r="H421">
        <v>0.26896999999999999</v>
      </c>
      <c r="I421">
        <v>0.27794000000000002</v>
      </c>
      <c r="J421">
        <v>0.28220000000000001</v>
      </c>
      <c r="K421">
        <v>0.25520999999999999</v>
      </c>
      <c r="L421">
        <v>0.28355000000000002</v>
      </c>
      <c r="M421">
        <v>0.30510999999999999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3" spans="1:51" x14ac:dyDescent="0.3">
      <c r="A423" t="s">
        <v>451</v>
      </c>
      <c r="C423" t="s">
        <v>400</v>
      </c>
      <c r="D423">
        <v>2.6749200000000002</v>
      </c>
      <c r="E423">
        <v>2.67502</v>
      </c>
      <c r="F423">
        <v>2.6720199999999998</v>
      </c>
      <c r="G423">
        <v>2.6747999999999998</v>
      </c>
      <c r="H423">
        <v>2.6728700000000001</v>
      </c>
      <c r="I423">
        <v>2.6703700000000001</v>
      </c>
      <c r="J423">
        <v>2.6718000000000002</v>
      </c>
      <c r="K423">
        <v>2.6721499999999998</v>
      </c>
      <c r="L423">
        <v>2.6731500000000001</v>
      </c>
      <c r="M423">
        <v>2.6741600000000001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3">
      <c r="C424" t="s">
        <v>401</v>
      </c>
      <c r="D424">
        <v>0.35243000000000002</v>
      </c>
      <c r="E424">
        <v>0.36065000000000003</v>
      </c>
      <c r="F424">
        <v>0.3538</v>
      </c>
      <c r="G424">
        <v>0.35042000000000001</v>
      </c>
      <c r="H424">
        <v>0.34116000000000002</v>
      </c>
      <c r="I424">
        <v>0.34810999999999998</v>
      </c>
      <c r="J424">
        <v>0.34687000000000001</v>
      </c>
      <c r="K424">
        <v>0.35249999999999998</v>
      </c>
      <c r="L424">
        <v>0.33929999999999999</v>
      </c>
      <c r="M424">
        <v>0.36814999999999998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6" spans="1:51" x14ac:dyDescent="0.3">
      <c r="A426" t="s">
        <v>452</v>
      </c>
      <c r="C426" t="s">
        <v>400</v>
      </c>
      <c r="D426">
        <v>0.13371</v>
      </c>
      <c r="E426">
        <v>0.16206999999999999</v>
      </c>
      <c r="F426">
        <v>0.18187999999999999</v>
      </c>
      <c r="G426">
        <v>0.18386</v>
      </c>
      <c r="H426">
        <v>0.24961</v>
      </c>
      <c r="I426">
        <v>0.27388000000000001</v>
      </c>
      <c r="J426">
        <v>0.28033000000000002</v>
      </c>
      <c r="K426">
        <v>0.29331000000000002</v>
      </c>
      <c r="L426">
        <v>0.28455000000000003</v>
      </c>
      <c r="M426">
        <v>0.28431000000000001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">
      <c r="C427" t="s">
        <v>401</v>
      </c>
      <c r="D427">
        <v>6.1420000000000002E-2</v>
      </c>
      <c r="E427">
        <v>6.3460000000000003E-2</v>
      </c>
      <c r="F427">
        <v>6.0170000000000001E-2</v>
      </c>
      <c r="G427">
        <v>5.5759999999999997E-2</v>
      </c>
      <c r="H427">
        <v>9.9279999999999993E-2</v>
      </c>
      <c r="I427">
        <v>9.4140000000000001E-2</v>
      </c>
      <c r="J427">
        <v>0.1048</v>
      </c>
      <c r="K427">
        <v>9.8460000000000006E-2</v>
      </c>
      <c r="L427">
        <v>0.10485999999999999</v>
      </c>
      <c r="M427">
        <v>0.11761000000000001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9" spans="1:51" x14ac:dyDescent="0.3">
      <c r="A429" t="s">
        <v>453</v>
      </c>
      <c r="C429" t="s">
        <v>400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3">
      <c r="C430" t="s">
        <v>401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2" spans="1:51" x14ac:dyDescent="0.3">
      <c r="A432" t="s">
        <v>454</v>
      </c>
      <c r="B432">
        <v>59.8</v>
      </c>
      <c r="C432" t="s">
        <v>400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3">
      <c r="C433" t="s">
        <v>401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5" spans="1:51" x14ac:dyDescent="0.3">
      <c r="A435" t="s">
        <v>455</v>
      </c>
      <c r="B435">
        <v>59.8</v>
      </c>
      <c r="C435" t="s">
        <v>400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3">
      <c r="C436" t="s">
        <v>401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8" spans="1:51" x14ac:dyDescent="0.3">
      <c r="A438" t="s">
        <v>456</v>
      </c>
      <c r="B438">
        <v>59.8</v>
      </c>
      <c r="C438" t="s">
        <v>400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">
      <c r="C439" t="s">
        <v>401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1" spans="1:51" x14ac:dyDescent="0.3">
      <c r="A441" t="s">
        <v>457</v>
      </c>
      <c r="C441" t="s">
        <v>400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">
      <c r="C442" t="s">
        <v>401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4" spans="1:51" x14ac:dyDescent="0.3">
      <c r="A444" t="s">
        <v>458</v>
      </c>
      <c r="C444" t="s">
        <v>400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">
      <c r="C445" t="s">
        <v>401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7" spans="1:51" x14ac:dyDescent="0.3">
      <c r="A447" t="s">
        <v>348</v>
      </c>
      <c r="B447">
        <v>110</v>
      </c>
      <c r="C447" t="s">
        <v>400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3">
      <c r="C448" t="s">
        <v>401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50" spans="1:51" x14ac:dyDescent="0.3">
      <c r="A450" t="s">
        <v>459</v>
      </c>
      <c r="B450">
        <v>126</v>
      </c>
      <c r="C450" t="s">
        <v>400</v>
      </c>
      <c r="D450">
        <v>30.00874</v>
      </c>
      <c r="E450">
        <v>29.424440000000001</v>
      </c>
      <c r="F450">
        <v>29.81681</v>
      </c>
      <c r="G450">
        <v>30.06437</v>
      </c>
      <c r="H450">
        <v>29.69829</v>
      </c>
      <c r="I450">
        <v>29.403210000000001</v>
      </c>
      <c r="J450">
        <v>30.036169999999998</v>
      </c>
      <c r="K450">
        <v>29.92709</v>
      </c>
      <c r="L450">
        <v>29.666270000000001</v>
      </c>
      <c r="M450">
        <v>29.688639999999999</v>
      </c>
      <c r="N450">
        <v>29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">
      <c r="C451" t="s">
        <v>401</v>
      </c>
      <c r="D451">
        <v>8.1303999999999998</v>
      </c>
      <c r="E451">
        <v>6.0098000000000003</v>
      </c>
      <c r="F451">
        <v>7.23848</v>
      </c>
      <c r="G451">
        <v>7.8910099999999996</v>
      </c>
      <c r="H451">
        <v>5.1938300000000002</v>
      </c>
      <c r="I451">
        <v>6.1007100000000003</v>
      </c>
      <c r="J451">
        <v>7.8427800000000003</v>
      </c>
      <c r="K451">
        <v>7.0460700000000003</v>
      </c>
      <c r="L451">
        <v>6.8205200000000001</v>
      </c>
      <c r="M451">
        <v>5.6056100000000004</v>
      </c>
      <c r="N451">
        <v>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3" spans="1:51" x14ac:dyDescent="0.3">
      <c r="A453" t="s">
        <v>460</v>
      </c>
      <c r="B453">
        <v>93</v>
      </c>
      <c r="C453" t="s">
        <v>400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3">
      <c r="C454" t="s">
        <v>401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6" spans="1:51" x14ac:dyDescent="0.3">
      <c r="A456" t="s">
        <v>461</v>
      </c>
      <c r="B456">
        <v>93</v>
      </c>
      <c r="C456" t="s">
        <v>400</v>
      </c>
      <c r="D456">
        <v>89.857219999999998</v>
      </c>
      <c r="E456">
        <v>89.858320000000006</v>
      </c>
      <c r="F456">
        <v>89.757869999999997</v>
      </c>
      <c r="G456">
        <v>89.562640000000002</v>
      </c>
      <c r="H456">
        <v>89.617649999999998</v>
      </c>
      <c r="I456">
        <v>89.766069999999999</v>
      </c>
      <c r="J456">
        <v>89.685749999999999</v>
      </c>
      <c r="K456">
        <v>89.666179999999997</v>
      </c>
      <c r="L456">
        <v>89.77458</v>
      </c>
      <c r="M456">
        <v>89.556020000000004</v>
      </c>
      <c r="N456">
        <v>89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3">
      <c r="C457" t="s">
        <v>401</v>
      </c>
      <c r="D457">
        <v>16.765329999999999</v>
      </c>
      <c r="E457">
        <v>17.394580000000001</v>
      </c>
      <c r="F457">
        <v>17.03424</v>
      </c>
      <c r="G457">
        <v>17.885300000000001</v>
      </c>
      <c r="H457">
        <v>17.73601</v>
      </c>
      <c r="I457">
        <v>16.755410000000001</v>
      </c>
      <c r="J457">
        <v>17.58005</v>
      </c>
      <c r="K457">
        <v>17.48574</v>
      </c>
      <c r="L457">
        <v>17.305479999999999</v>
      </c>
      <c r="M457">
        <v>18.164629999999999</v>
      </c>
      <c r="N457">
        <v>17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9" spans="1:51" x14ac:dyDescent="0.3">
      <c r="A459" t="s">
        <v>462</v>
      </c>
      <c r="B459">
        <v>93</v>
      </c>
      <c r="C459" t="s">
        <v>400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3">
      <c r="C460" t="s">
        <v>401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2" spans="1:51" x14ac:dyDescent="0.3">
      <c r="A462" t="s">
        <v>463</v>
      </c>
      <c r="B462">
        <v>126</v>
      </c>
      <c r="C462" t="s">
        <v>400</v>
      </c>
      <c r="D462">
        <v>29.518789999999999</v>
      </c>
      <c r="E462">
        <v>29.227260000000001</v>
      </c>
      <c r="F462">
        <v>29.503139999999998</v>
      </c>
      <c r="G462">
        <v>29.443110000000001</v>
      </c>
      <c r="H462">
        <v>29.355</v>
      </c>
      <c r="I462">
        <v>29.290050000000001</v>
      </c>
      <c r="J462">
        <v>29.236470000000001</v>
      </c>
      <c r="K462">
        <v>29.154679999999999</v>
      </c>
      <c r="L462">
        <v>29.25095</v>
      </c>
      <c r="M462">
        <v>29.399170000000002</v>
      </c>
      <c r="N462">
        <v>29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">
      <c r="C463" t="s">
        <v>401</v>
      </c>
      <c r="D463">
        <v>1.26837</v>
      </c>
      <c r="E463">
        <v>-0.15079000000000001</v>
      </c>
      <c r="F463">
        <v>1.6788799999999999</v>
      </c>
      <c r="G463">
        <v>0.39426</v>
      </c>
      <c r="H463">
        <v>2.5559999999999999E-2</v>
      </c>
      <c r="I463">
        <v>-4.2699699999999998</v>
      </c>
      <c r="J463">
        <v>-6.5962300000000003</v>
      </c>
      <c r="K463">
        <v>-1.81267</v>
      </c>
      <c r="L463">
        <v>5.2039</v>
      </c>
      <c r="M463">
        <v>-2.4663499999999998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5" spans="1:51" x14ac:dyDescent="0.3">
      <c r="A465" t="s">
        <v>464</v>
      </c>
      <c r="B465">
        <v>93</v>
      </c>
      <c r="C465" t="s">
        <v>400</v>
      </c>
      <c r="D465">
        <v>92.397350000000003</v>
      </c>
      <c r="E465">
        <v>92.408630000000002</v>
      </c>
      <c r="F465">
        <v>92.938000000000002</v>
      </c>
      <c r="G465">
        <v>92.386189999999999</v>
      </c>
      <c r="H465">
        <v>92.540670000000006</v>
      </c>
      <c r="I465">
        <v>92.721819999999994</v>
      </c>
      <c r="J465">
        <v>92.511430000000004</v>
      </c>
      <c r="K465">
        <v>92.678939999999997</v>
      </c>
      <c r="L465">
        <v>91.927570000000003</v>
      </c>
      <c r="M465">
        <v>92.213070000000002</v>
      </c>
      <c r="N465">
        <v>92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3">
      <c r="C466" t="s">
        <v>401</v>
      </c>
      <c r="D466">
        <v>8.2135899999999999</v>
      </c>
      <c r="E466">
        <v>8.0141200000000001</v>
      </c>
      <c r="F466">
        <v>8.7954899999999991</v>
      </c>
      <c r="G466">
        <v>8.2707499999999996</v>
      </c>
      <c r="H466">
        <v>8.1889299999999992</v>
      </c>
      <c r="I466">
        <v>7.73759</v>
      </c>
      <c r="J466">
        <v>8.8515800000000002</v>
      </c>
      <c r="K466">
        <v>7.9516099999999996</v>
      </c>
      <c r="L466">
        <v>7.5432499999999996</v>
      </c>
      <c r="M466">
        <v>8.7228499999999993</v>
      </c>
      <c r="N466">
        <v>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8" spans="1:51" x14ac:dyDescent="0.3">
      <c r="A468" t="s">
        <v>465</v>
      </c>
      <c r="B468">
        <v>93</v>
      </c>
      <c r="C468" t="s">
        <v>400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">
      <c r="C469" t="s">
        <v>401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1" spans="1:51" x14ac:dyDescent="0.3">
      <c r="A471" t="s">
        <v>466</v>
      </c>
      <c r="B471">
        <v>93</v>
      </c>
      <c r="C471" t="s">
        <v>400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">
      <c r="C472" t="s">
        <v>401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4" spans="1:51" x14ac:dyDescent="0.3">
      <c r="A474" t="s">
        <v>351</v>
      </c>
      <c r="B474">
        <v>773.39</v>
      </c>
      <c r="C474" t="s">
        <v>400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">
      <c r="C475" t="s">
        <v>401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7" spans="1:51" x14ac:dyDescent="0.3">
      <c r="A477" t="s">
        <v>352</v>
      </c>
      <c r="B477">
        <v>615</v>
      </c>
      <c r="C477" t="s">
        <v>400</v>
      </c>
      <c r="D477">
        <v>458.23043999999999</v>
      </c>
      <c r="E477">
        <v>458.28856999999999</v>
      </c>
      <c r="F477">
        <v>459.52872000000002</v>
      </c>
      <c r="G477">
        <v>459.21514999999999</v>
      </c>
      <c r="H477">
        <v>458.16153000000003</v>
      </c>
      <c r="I477">
        <v>457.63904000000002</v>
      </c>
      <c r="J477">
        <v>457.80612000000002</v>
      </c>
      <c r="K477">
        <v>458.13790999999998</v>
      </c>
      <c r="L477">
        <v>458.33676000000003</v>
      </c>
      <c r="M477">
        <v>458.34154999999998</v>
      </c>
      <c r="N477">
        <v>458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">
      <c r="C478" t="s">
        <v>401</v>
      </c>
      <c r="D478">
        <v>-53.310459999999999</v>
      </c>
      <c r="E478">
        <v>-56.2669</v>
      </c>
      <c r="F478">
        <v>-56.002969999999998</v>
      </c>
      <c r="G478">
        <v>-59.853679999999997</v>
      </c>
      <c r="H478">
        <v>-60.417270000000002</v>
      </c>
      <c r="I478">
        <v>-63.468710000000002</v>
      </c>
      <c r="J478">
        <v>-65.392560000000003</v>
      </c>
      <c r="K478">
        <v>-60.686079999999997</v>
      </c>
      <c r="L478">
        <v>-47.652659999999997</v>
      </c>
      <c r="M478">
        <v>-47.022449999999999</v>
      </c>
      <c r="N478">
        <v>-35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80" spans="1:51" x14ac:dyDescent="0.3">
      <c r="A480" t="s">
        <v>86</v>
      </c>
      <c r="B480">
        <v>280</v>
      </c>
      <c r="C480" t="s">
        <v>400</v>
      </c>
      <c r="D480">
        <v>240.34709000000001</v>
      </c>
      <c r="E480">
        <v>239.55202</v>
      </c>
      <c r="F480">
        <v>240.37737999999999</v>
      </c>
      <c r="G480">
        <v>240.23276000000001</v>
      </c>
      <c r="H480">
        <v>240.35274999999999</v>
      </c>
      <c r="I480">
        <v>240.55005</v>
      </c>
      <c r="J480">
        <v>240.7218</v>
      </c>
      <c r="K480">
        <v>240.77378999999999</v>
      </c>
      <c r="L480">
        <v>241.00205</v>
      </c>
      <c r="M480">
        <v>240.98840000000001</v>
      </c>
      <c r="N480">
        <v>241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3">
      <c r="C481" t="s">
        <v>401</v>
      </c>
      <c r="D481">
        <v>59.822809999999997</v>
      </c>
      <c r="E481">
        <v>59.14179</v>
      </c>
      <c r="F481">
        <v>59.224200000000003</v>
      </c>
      <c r="G481">
        <v>58.148269999999997</v>
      </c>
      <c r="H481">
        <v>58.157400000000003</v>
      </c>
      <c r="I481">
        <v>56.47878</v>
      </c>
      <c r="J481">
        <v>56.120699999999999</v>
      </c>
      <c r="K481">
        <v>57.904269999999997</v>
      </c>
      <c r="L481">
        <v>63.14246</v>
      </c>
      <c r="M481">
        <v>61.982799999999997</v>
      </c>
      <c r="N481">
        <v>65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3" spans="1:51" x14ac:dyDescent="0.3">
      <c r="A483" t="s">
        <v>85</v>
      </c>
      <c r="B483">
        <v>280</v>
      </c>
      <c r="C483" t="s">
        <v>400</v>
      </c>
      <c r="D483">
        <v>240.64127999999999</v>
      </c>
      <c r="E483">
        <v>240.48357999999999</v>
      </c>
      <c r="F483">
        <v>240.34469999999999</v>
      </c>
      <c r="G483">
        <v>240.24332999999999</v>
      </c>
      <c r="H483">
        <v>240.54661999999999</v>
      </c>
      <c r="I483">
        <v>239.69673</v>
      </c>
      <c r="J483">
        <v>239.69417000000001</v>
      </c>
      <c r="K483">
        <v>239.75532999999999</v>
      </c>
      <c r="L483">
        <v>240.08628999999999</v>
      </c>
      <c r="M483">
        <v>240.62452999999999</v>
      </c>
      <c r="N483">
        <v>240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">
      <c r="C484" t="s">
        <v>401</v>
      </c>
      <c r="D484">
        <v>38.696539999999999</v>
      </c>
      <c r="E484">
        <v>37.786430000000003</v>
      </c>
      <c r="F484">
        <v>37.92313</v>
      </c>
      <c r="G484">
        <v>37.472920000000002</v>
      </c>
      <c r="H484">
        <v>37.047460000000001</v>
      </c>
      <c r="I484">
        <v>35.11947</v>
      </c>
      <c r="J484">
        <v>34.94021</v>
      </c>
      <c r="K484">
        <v>36.92709</v>
      </c>
      <c r="L484">
        <v>42.48536</v>
      </c>
      <c r="M484">
        <v>40.717199999999998</v>
      </c>
      <c r="N484">
        <v>44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6" spans="1:51" x14ac:dyDescent="0.3">
      <c r="A486" t="s">
        <v>353</v>
      </c>
      <c r="B486">
        <v>54.560989999999997</v>
      </c>
      <c r="C486" t="s">
        <v>400</v>
      </c>
      <c r="D486">
        <v>32.085430000000002</v>
      </c>
      <c r="E486">
        <v>32.259189999999997</v>
      </c>
      <c r="F486">
        <v>31.757059999999999</v>
      </c>
      <c r="G486">
        <v>32.266269999999999</v>
      </c>
      <c r="H486">
        <v>32.137630000000001</v>
      </c>
      <c r="I486">
        <v>32.089919999999999</v>
      </c>
      <c r="J486">
        <v>32.264539999999997</v>
      </c>
      <c r="K486">
        <v>32.105649999999997</v>
      </c>
      <c r="L486">
        <v>32.228259999999999</v>
      </c>
      <c r="M486">
        <v>32.108739999999997</v>
      </c>
      <c r="N486">
        <v>32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3">
      <c r="C487" t="s">
        <v>401</v>
      </c>
      <c r="D487">
        <v>-5.3033900000000003</v>
      </c>
      <c r="E487">
        <v>-7.1189499999999999</v>
      </c>
      <c r="F487">
        <v>-4.8035199999999998</v>
      </c>
      <c r="G487">
        <v>-6.20411</v>
      </c>
      <c r="H487">
        <v>-6.9116099999999996</v>
      </c>
      <c r="I487">
        <v>-7.4361800000000002</v>
      </c>
      <c r="J487">
        <v>-7.9790700000000001</v>
      </c>
      <c r="K487">
        <v>-6.1756700000000002</v>
      </c>
      <c r="L487">
        <v>-3.0481799999999999</v>
      </c>
      <c r="M487">
        <v>1.2357</v>
      </c>
      <c r="N487">
        <v>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9" spans="1:51" x14ac:dyDescent="0.3">
      <c r="A489" t="s">
        <v>87</v>
      </c>
      <c r="B489">
        <v>281</v>
      </c>
      <c r="C489" t="s">
        <v>400</v>
      </c>
      <c r="D489">
        <v>182.89819</v>
      </c>
      <c r="E489">
        <v>182.43029999999999</v>
      </c>
      <c r="F489">
        <v>182.57245</v>
      </c>
      <c r="G489">
        <v>183.20544000000001</v>
      </c>
      <c r="H489">
        <v>182.92070000000001</v>
      </c>
      <c r="I489">
        <v>182.85114999999999</v>
      </c>
      <c r="J489">
        <v>181.85677999999999</v>
      </c>
      <c r="K489">
        <v>181.75916000000001</v>
      </c>
      <c r="L489">
        <v>189.12878000000001</v>
      </c>
      <c r="M489">
        <v>203.72614999999999</v>
      </c>
      <c r="N489">
        <v>233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">
      <c r="C490" t="s">
        <v>401</v>
      </c>
      <c r="D490">
        <v>-26.802579999999999</v>
      </c>
      <c r="E490">
        <v>-22.633849999999999</v>
      </c>
      <c r="F490">
        <v>-23.40737</v>
      </c>
      <c r="G490">
        <v>-26.369530000000001</v>
      </c>
      <c r="H490">
        <v>-26.580919999999999</v>
      </c>
      <c r="I490">
        <v>-28.307970000000001</v>
      </c>
      <c r="J490">
        <v>-31.55593</v>
      </c>
      <c r="K490">
        <v>-27.458200000000001</v>
      </c>
      <c r="L490">
        <v>-21.625319999999999</v>
      </c>
      <c r="M490">
        <v>-18.15766</v>
      </c>
      <c r="N490">
        <v>-8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2" spans="1:51" x14ac:dyDescent="0.3">
      <c r="A492" t="s">
        <v>88</v>
      </c>
      <c r="B492">
        <v>281</v>
      </c>
      <c r="C492" t="s">
        <v>400</v>
      </c>
      <c r="D492">
        <v>181.36304000000001</v>
      </c>
      <c r="E492">
        <v>181.89519000000001</v>
      </c>
      <c r="F492">
        <v>181.04173</v>
      </c>
      <c r="G492">
        <v>180.11713</v>
      </c>
      <c r="H492">
        <v>180.95711</v>
      </c>
      <c r="I492">
        <v>181.61160000000001</v>
      </c>
      <c r="J492">
        <v>182.38664</v>
      </c>
      <c r="K492">
        <v>182.33196000000001</v>
      </c>
      <c r="L492">
        <v>196.05524</v>
      </c>
      <c r="M492">
        <v>230.70473000000001</v>
      </c>
      <c r="N492">
        <v>265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">
      <c r="C493" t="s">
        <v>401</v>
      </c>
      <c r="D493">
        <v>-24.154229999999998</v>
      </c>
      <c r="E493">
        <v>-29.155750000000001</v>
      </c>
      <c r="F493">
        <v>-30.458870000000001</v>
      </c>
      <c r="G493">
        <v>-32.211109999999998</v>
      </c>
      <c r="H493">
        <v>-33.631239999999998</v>
      </c>
      <c r="I493">
        <v>-34.83117</v>
      </c>
      <c r="J493">
        <v>-29.15344</v>
      </c>
      <c r="K493">
        <v>-26.92933</v>
      </c>
      <c r="L493">
        <v>-20.387339999999998</v>
      </c>
      <c r="M493">
        <v>-18.120259999999998</v>
      </c>
      <c r="N493">
        <v>-9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5" spans="1:51" x14ac:dyDescent="0.3">
      <c r="A495" t="s">
        <v>65</v>
      </c>
      <c r="B495">
        <v>614</v>
      </c>
      <c r="C495" t="s">
        <v>400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">
      <c r="C496" t="s">
        <v>401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8" spans="1:51" x14ac:dyDescent="0.3">
      <c r="A498" t="s">
        <v>25</v>
      </c>
      <c r="B498">
        <v>945</v>
      </c>
      <c r="C498" t="s">
        <v>400</v>
      </c>
      <c r="D498">
        <v>499.45105000000001</v>
      </c>
      <c r="E498">
        <v>496.63940000000002</v>
      </c>
      <c r="F498">
        <v>501.87261999999998</v>
      </c>
      <c r="G498">
        <v>495.72928000000002</v>
      </c>
      <c r="H498">
        <v>495.46911999999998</v>
      </c>
      <c r="I498">
        <v>503.89456000000001</v>
      </c>
      <c r="J498">
        <v>501.17322000000001</v>
      </c>
      <c r="K498">
        <v>499.69558999999998</v>
      </c>
      <c r="L498">
        <v>500.54687999999999</v>
      </c>
      <c r="M498">
        <v>498.45361000000003</v>
      </c>
      <c r="N498">
        <v>501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3">
      <c r="C499" t="s">
        <v>401</v>
      </c>
      <c r="D499">
        <v>33.265610000000002</v>
      </c>
      <c r="E499">
        <v>27.88354</v>
      </c>
      <c r="F499">
        <v>25.921900000000001</v>
      </c>
      <c r="G499">
        <v>23.52234</v>
      </c>
      <c r="H499">
        <v>21.908049999999999</v>
      </c>
      <c r="I499">
        <v>11.74152</v>
      </c>
      <c r="J499">
        <v>12.149940000000001</v>
      </c>
      <c r="K499">
        <v>19.326419999999999</v>
      </c>
      <c r="L499">
        <v>39.665430000000001</v>
      </c>
      <c r="M499">
        <v>41.29401</v>
      </c>
      <c r="N499">
        <v>63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1" spans="1:51" x14ac:dyDescent="0.3">
      <c r="A501" t="s">
        <v>38</v>
      </c>
      <c r="B501">
        <v>950</v>
      </c>
      <c r="C501" t="s">
        <v>400</v>
      </c>
      <c r="D501">
        <v>874.86284999999998</v>
      </c>
      <c r="E501">
        <v>846.05822999999998</v>
      </c>
      <c r="F501">
        <v>843.07709</v>
      </c>
      <c r="G501">
        <v>844.84253000000001</v>
      </c>
      <c r="H501">
        <v>842.15192000000002</v>
      </c>
      <c r="I501">
        <v>843.26262999999994</v>
      </c>
      <c r="J501">
        <v>846.00842</v>
      </c>
      <c r="K501">
        <v>844.89135999999996</v>
      </c>
      <c r="L501">
        <v>890.77863000000002</v>
      </c>
      <c r="M501">
        <v>924.80768</v>
      </c>
      <c r="N501">
        <v>918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3">
      <c r="C502" t="s">
        <v>401</v>
      </c>
      <c r="D502">
        <v>-132.36754999999999</v>
      </c>
      <c r="E502">
        <v>-135.14126999999999</v>
      </c>
      <c r="F502">
        <v>-134.12437</v>
      </c>
      <c r="G502">
        <v>-135.47655</v>
      </c>
      <c r="H502">
        <v>-136.27394000000001</v>
      </c>
      <c r="I502">
        <v>-151.62285</v>
      </c>
      <c r="J502">
        <v>-153.91149999999999</v>
      </c>
      <c r="K502">
        <v>-144.22614999999999</v>
      </c>
      <c r="L502">
        <v>-118.71089000000001</v>
      </c>
      <c r="M502">
        <v>-145.87585000000001</v>
      </c>
      <c r="N502">
        <v>-130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4" spans="1:51" x14ac:dyDescent="0.3">
      <c r="A504" t="s">
        <v>39</v>
      </c>
      <c r="B504">
        <v>950</v>
      </c>
      <c r="C504" t="s">
        <v>400</v>
      </c>
      <c r="D504">
        <v>872.76787999999999</v>
      </c>
      <c r="E504">
        <v>839.30053999999996</v>
      </c>
      <c r="F504">
        <v>838.22260000000006</v>
      </c>
      <c r="G504">
        <v>829.21660999999995</v>
      </c>
      <c r="H504">
        <v>839.44128000000001</v>
      </c>
      <c r="I504">
        <v>838.33801000000005</v>
      </c>
      <c r="J504">
        <v>839.66918999999996</v>
      </c>
      <c r="K504">
        <v>839.28228999999999</v>
      </c>
      <c r="L504">
        <v>888.63513</v>
      </c>
      <c r="M504">
        <v>913.70227</v>
      </c>
      <c r="N504">
        <v>913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3">
      <c r="C505" t="s">
        <v>401</v>
      </c>
      <c r="D505">
        <v>-130.63088999999999</v>
      </c>
      <c r="E505">
        <v>-136.32454999999999</v>
      </c>
      <c r="F505">
        <v>-134.16747000000001</v>
      </c>
      <c r="G505">
        <v>-137.17796000000001</v>
      </c>
      <c r="H505">
        <v>-139.31593000000001</v>
      </c>
      <c r="I505">
        <v>-148.88022000000001</v>
      </c>
      <c r="J505">
        <v>-153.10362000000001</v>
      </c>
      <c r="K505">
        <v>-146.45045999999999</v>
      </c>
      <c r="L505">
        <v>-120.35677</v>
      </c>
      <c r="M505">
        <v>-146.57408000000001</v>
      </c>
      <c r="N505">
        <v>-130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7" spans="1:51" x14ac:dyDescent="0.3">
      <c r="A507" t="s">
        <v>32</v>
      </c>
      <c r="B507">
        <v>1000</v>
      </c>
      <c r="C507" t="s">
        <v>400</v>
      </c>
      <c r="D507">
        <v>935.23328000000004</v>
      </c>
      <c r="E507">
        <v>936.82135000000005</v>
      </c>
      <c r="F507">
        <v>977.51904000000002</v>
      </c>
      <c r="G507">
        <v>977.94281000000001</v>
      </c>
      <c r="H507">
        <v>973.89306999999997</v>
      </c>
      <c r="I507">
        <v>936.58654999999999</v>
      </c>
      <c r="J507">
        <v>925.22185999999999</v>
      </c>
      <c r="K507">
        <v>934.01226999999994</v>
      </c>
      <c r="L507">
        <v>933.53632000000005</v>
      </c>
      <c r="M507">
        <v>934.28161999999998</v>
      </c>
      <c r="N507">
        <v>976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3">
      <c r="C508" t="s">
        <v>401</v>
      </c>
      <c r="D508">
        <v>-56.784210000000002</v>
      </c>
      <c r="E508">
        <v>-59.134030000000003</v>
      </c>
      <c r="F508">
        <v>-56.168579999999999</v>
      </c>
      <c r="G508">
        <v>-58.145890000000001</v>
      </c>
      <c r="H508">
        <v>-55.921349999999997</v>
      </c>
      <c r="I508">
        <v>-68.557079999999999</v>
      </c>
      <c r="J508">
        <v>-67.95675</v>
      </c>
      <c r="K508">
        <v>-52.582529999999998</v>
      </c>
      <c r="L508">
        <v>-23.216159999999999</v>
      </c>
      <c r="M508">
        <v>-93.020579999999995</v>
      </c>
      <c r="N508">
        <v>-95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10" spans="1:51" x14ac:dyDescent="0.3">
      <c r="A510" t="s">
        <v>34</v>
      </c>
      <c r="B510">
        <v>1000</v>
      </c>
      <c r="C510" t="s">
        <v>400</v>
      </c>
      <c r="D510">
        <v>933.36608999999999</v>
      </c>
      <c r="E510">
        <v>936.84937000000002</v>
      </c>
      <c r="F510">
        <v>977.45789000000002</v>
      </c>
      <c r="G510">
        <v>977.55980999999997</v>
      </c>
      <c r="H510">
        <v>976.16052000000002</v>
      </c>
      <c r="I510">
        <v>933.64940999999999</v>
      </c>
      <c r="J510">
        <v>931.84569999999997</v>
      </c>
      <c r="K510">
        <v>931.86707000000001</v>
      </c>
      <c r="L510">
        <v>926.13140999999996</v>
      </c>
      <c r="M510">
        <v>934.78326000000004</v>
      </c>
      <c r="N510">
        <v>974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">
      <c r="C511" t="s">
        <v>401</v>
      </c>
      <c r="D511">
        <v>-55.347320000000003</v>
      </c>
      <c r="E511">
        <v>-57.557639999999999</v>
      </c>
      <c r="F511">
        <v>-55.285049999999998</v>
      </c>
      <c r="G511">
        <v>-56.340949999999999</v>
      </c>
      <c r="H511">
        <v>-54.409790000000001</v>
      </c>
      <c r="I511">
        <v>-65.211820000000003</v>
      </c>
      <c r="J511">
        <v>-66.271320000000003</v>
      </c>
      <c r="K511">
        <v>-51.151699999999998</v>
      </c>
      <c r="L511">
        <v>-19.23574</v>
      </c>
      <c r="M511">
        <v>-91.247900000000001</v>
      </c>
      <c r="N511">
        <v>-93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3" spans="1:51" x14ac:dyDescent="0.3">
      <c r="A513" t="s">
        <v>52</v>
      </c>
      <c r="B513">
        <v>660.8</v>
      </c>
      <c r="C513" t="s">
        <v>400</v>
      </c>
      <c r="D513">
        <v>504.59769</v>
      </c>
      <c r="E513">
        <v>504.83285999999998</v>
      </c>
      <c r="F513">
        <v>506.99599999999998</v>
      </c>
      <c r="G513">
        <v>503.60025000000002</v>
      </c>
      <c r="H513">
        <v>501.21987999999999</v>
      </c>
      <c r="I513">
        <v>506.56585999999999</v>
      </c>
      <c r="J513">
        <v>505.78622000000001</v>
      </c>
      <c r="K513">
        <v>526.02026000000001</v>
      </c>
      <c r="L513">
        <v>589.74005</v>
      </c>
      <c r="M513">
        <v>618.09722999999997</v>
      </c>
      <c r="N513">
        <v>606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3">
      <c r="C514" t="s">
        <v>401</v>
      </c>
      <c r="D514">
        <v>-38.257939999999998</v>
      </c>
      <c r="E514">
        <v>-38.148960000000002</v>
      </c>
      <c r="F514">
        <v>-38.443579999999997</v>
      </c>
      <c r="G514">
        <v>-37.96743</v>
      </c>
      <c r="H514">
        <v>-36.455460000000002</v>
      </c>
      <c r="I514">
        <v>-37.318809999999999</v>
      </c>
      <c r="J514">
        <v>-37.524320000000003</v>
      </c>
      <c r="K514">
        <v>-43.834229999999998</v>
      </c>
      <c r="L514">
        <v>-64.234719999999996</v>
      </c>
      <c r="M514">
        <v>50.956940000000003</v>
      </c>
      <c r="N514">
        <v>55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6" spans="1:51" x14ac:dyDescent="0.3">
      <c r="A516" t="s">
        <v>53</v>
      </c>
      <c r="B516">
        <v>660.8</v>
      </c>
      <c r="C516" t="s">
        <v>400</v>
      </c>
      <c r="D516">
        <v>505.07724000000002</v>
      </c>
      <c r="E516">
        <v>509.48266999999998</v>
      </c>
      <c r="F516">
        <v>506.75119000000001</v>
      </c>
      <c r="G516">
        <v>517.28881999999999</v>
      </c>
      <c r="H516">
        <v>519.29363999999998</v>
      </c>
      <c r="I516">
        <v>509.78332999999998</v>
      </c>
      <c r="J516">
        <v>509.25736000000001</v>
      </c>
      <c r="K516">
        <v>528.50915999999995</v>
      </c>
      <c r="L516">
        <v>577.92871000000002</v>
      </c>
      <c r="M516">
        <v>617.30895999999996</v>
      </c>
      <c r="N516">
        <v>613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3">
      <c r="C517" t="s">
        <v>401</v>
      </c>
      <c r="D517">
        <v>-27.221360000000001</v>
      </c>
      <c r="E517">
        <v>-28.617560000000001</v>
      </c>
      <c r="F517">
        <v>-28.307700000000001</v>
      </c>
      <c r="G517">
        <v>-30.275469999999999</v>
      </c>
      <c r="H517">
        <v>-29.640750000000001</v>
      </c>
      <c r="I517">
        <v>-28.044080000000001</v>
      </c>
      <c r="J517">
        <v>-27.225110000000001</v>
      </c>
      <c r="K517">
        <v>-33.265999999999998</v>
      </c>
      <c r="L517">
        <v>-48.977150000000002</v>
      </c>
      <c r="M517">
        <v>53.124459999999999</v>
      </c>
      <c r="N517">
        <v>53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9" spans="1:51" x14ac:dyDescent="0.3">
      <c r="A519" t="s">
        <v>28</v>
      </c>
      <c r="B519">
        <v>661.1</v>
      </c>
      <c r="C519" t="s">
        <v>400</v>
      </c>
      <c r="D519">
        <v>507.82065</v>
      </c>
      <c r="E519">
        <v>500.15188999999998</v>
      </c>
      <c r="F519">
        <v>496.67343</v>
      </c>
      <c r="G519">
        <v>496.56198000000001</v>
      </c>
      <c r="H519">
        <v>496.85059000000001</v>
      </c>
      <c r="I519">
        <v>493.62061</v>
      </c>
      <c r="J519">
        <v>496.25299000000001</v>
      </c>
      <c r="K519">
        <v>497.02487000000002</v>
      </c>
      <c r="L519">
        <v>522.70288000000005</v>
      </c>
      <c r="M519">
        <v>539.85077000000001</v>
      </c>
      <c r="N519">
        <v>586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">
      <c r="C520" t="s">
        <v>401</v>
      </c>
      <c r="D520">
        <v>11.82268</v>
      </c>
      <c r="E520">
        <v>12.20398</v>
      </c>
      <c r="F520">
        <v>12.309290000000001</v>
      </c>
      <c r="G520">
        <v>13.343400000000001</v>
      </c>
      <c r="H520">
        <v>13.575240000000001</v>
      </c>
      <c r="I520">
        <v>13.438560000000001</v>
      </c>
      <c r="J520">
        <v>13.33338</v>
      </c>
      <c r="K520">
        <v>13.06828</v>
      </c>
      <c r="L520">
        <v>10.08676</v>
      </c>
      <c r="M520">
        <v>62.328319999999998</v>
      </c>
      <c r="N520">
        <v>99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2" spans="1:51" x14ac:dyDescent="0.3">
      <c r="A522" t="s">
        <v>30</v>
      </c>
      <c r="B522">
        <v>661.1</v>
      </c>
      <c r="C522" t="s">
        <v>400</v>
      </c>
      <c r="D522">
        <v>499.70855999999998</v>
      </c>
      <c r="E522">
        <v>495.73563000000001</v>
      </c>
      <c r="F522">
        <v>492.00333000000001</v>
      </c>
      <c r="G522">
        <v>492.59444999999999</v>
      </c>
      <c r="H522">
        <v>489.62585000000001</v>
      </c>
      <c r="I522">
        <v>488.54793999999998</v>
      </c>
      <c r="J522">
        <v>480.28894000000003</v>
      </c>
      <c r="K522">
        <v>492.9563</v>
      </c>
      <c r="L522">
        <v>518.74670000000003</v>
      </c>
      <c r="M522">
        <v>539.87792999999999</v>
      </c>
      <c r="N522">
        <v>582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">
      <c r="C523" t="s">
        <v>401</v>
      </c>
      <c r="D523">
        <v>9.4347799999999999</v>
      </c>
      <c r="E523">
        <v>8.7982600000000009</v>
      </c>
      <c r="F523">
        <v>8.1042199999999998</v>
      </c>
      <c r="G523">
        <v>9.2510499999999993</v>
      </c>
      <c r="H523">
        <v>10.711360000000001</v>
      </c>
      <c r="I523">
        <v>9.9031500000000001</v>
      </c>
      <c r="J523">
        <v>11.09003</v>
      </c>
      <c r="K523">
        <v>9.0918899999999994</v>
      </c>
      <c r="L523">
        <v>7.66845</v>
      </c>
      <c r="M523">
        <v>37.606099999999998</v>
      </c>
      <c r="N523">
        <v>51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5" spans="1:51" x14ac:dyDescent="0.3">
      <c r="A525" t="s">
        <v>355</v>
      </c>
    </row>
    <row r="527" spans="1:51" x14ac:dyDescent="0.3">
      <c r="A527" t="s">
        <v>467</v>
      </c>
      <c r="B527">
        <v>40</v>
      </c>
      <c r="C527" t="s">
        <v>400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3">
      <c r="C528" t="s">
        <v>401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30" spans="1:51" x14ac:dyDescent="0.3">
      <c r="A530" t="s">
        <v>468</v>
      </c>
      <c r="B530">
        <v>0</v>
      </c>
      <c r="C530" t="s">
        <v>400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3">
      <c r="C531" t="s">
        <v>401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3" spans="1:51" x14ac:dyDescent="0.3">
      <c r="A533" t="s">
        <v>469</v>
      </c>
      <c r="B533">
        <v>100.25</v>
      </c>
      <c r="C533" t="s">
        <v>400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">
      <c r="C534" t="s">
        <v>401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6" spans="1:51" x14ac:dyDescent="0.3">
      <c r="A536" t="s">
        <v>470</v>
      </c>
      <c r="B536">
        <v>0</v>
      </c>
      <c r="C536" t="s">
        <v>400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">
      <c r="C537" t="s">
        <v>401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9" spans="1:51" x14ac:dyDescent="0.3">
      <c r="A539" t="s">
        <v>471</v>
      </c>
      <c r="B539">
        <v>164.86</v>
      </c>
      <c r="C539" t="s">
        <v>400</v>
      </c>
      <c r="D539">
        <v>53</v>
      </c>
      <c r="E539">
        <v>53</v>
      </c>
      <c r="F539">
        <v>53</v>
      </c>
      <c r="G539">
        <v>53</v>
      </c>
      <c r="H539">
        <v>52</v>
      </c>
      <c r="I539">
        <v>51</v>
      </c>
      <c r="J539">
        <v>53</v>
      </c>
      <c r="K539">
        <v>52</v>
      </c>
      <c r="L539">
        <v>52</v>
      </c>
      <c r="M539">
        <v>53</v>
      </c>
      <c r="N539">
        <v>53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">
      <c r="C540" t="s">
        <v>401</v>
      </c>
      <c r="D540">
        <v>-3</v>
      </c>
      <c r="E540">
        <v>-4</v>
      </c>
      <c r="F540">
        <v>-4</v>
      </c>
      <c r="G540">
        <v>-5</v>
      </c>
      <c r="H540">
        <v>2</v>
      </c>
      <c r="I540">
        <v>-2</v>
      </c>
      <c r="J540">
        <v>1</v>
      </c>
      <c r="K540">
        <v>10</v>
      </c>
      <c r="L540">
        <v>12</v>
      </c>
      <c r="M540">
        <v>3</v>
      </c>
      <c r="N540">
        <v>-3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2" spans="1:51" x14ac:dyDescent="0.3">
      <c r="A542" t="s">
        <v>472</v>
      </c>
      <c r="B542">
        <v>100</v>
      </c>
      <c r="C542" t="s">
        <v>400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">
      <c r="C543" t="s">
        <v>401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5" spans="1:51" x14ac:dyDescent="0.3">
      <c r="A545" t="s">
        <v>473</v>
      </c>
      <c r="B545">
        <v>100</v>
      </c>
      <c r="C545" t="s">
        <v>400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">
      <c r="C546" t="s">
        <v>401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8" spans="1:51" x14ac:dyDescent="0.3">
      <c r="A548" t="s">
        <v>474</v>
      </c>
      <c r="B548">
        <v>100</v>
      </c>
      <c r="C548" t="s">
        <v>400</v>
      </c>
      <c r="D548">
        <v>103</v>
      </c>
      <c r="E548">
        <v>103</v>
      </c>
      <c r="F548">
        <v>103</v>
      </c>
      <c r="G548">
        <v>103</v>
      </c>
      <c r="H548">
        <v>103</v>
      </c>
      <c r="I548">
        <v>96</v>
      </c>
      <c r="J548">
        <v>105</v>
      </c>
      <c r="K548">
        <v>103</v>
      </c>
      <c r="L548">
        <v>104</v>
      </c>
      <c r="M548">
        <v>103</v>
      </c>
      <c r="N548">
        <v>104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3">
      <c r="C549" t="s">
        <v>401</v>
      </c>
      <c r="D549">
        <v>-1</v>
      </c>
      <c r="E549">
        <v>-2</v>
      </c>
      <c r="F549">
        <v>-1</v>
      </c>
      <c r="G549">
        <v>-2</v>
      </c>
      <c r="H549">
        <v>-1</v>
      </c>
      <c r="I549">
        <v>-2</v>
      </c>
      <c r="J549">
        <v>-1</v>
      </c>
      <c r="K549">
        <v>0</v>
      </c>
      <c r="L549">
        <v>0</v>
      </c>
      <c r="M549">
        <v>-1</v>
      </c>
      <c r="N549">
        <v>-1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1" spans="1:51" x14ac:dyDescent="0.3">
      <c r="A551" t="s">
        <v>475</v>
      </c>
      <c r="B551">
        <v>165</v>
      </c>
      <c r="C551" t="s">
        <v>400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3">
      <c r="C552" t="s">
        <v>401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4" spans="1:51" x14ac:dyDescent="0.3">
      <c r="A554" t="s">
        <v>476</v>
      </c>
      <c r="B554">
        <v>145</v>
      </c>
      <c r="C554" t="s">
        <v>400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3">
      <c r="C555" t="s">
        <v>401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7" spans="1:51" x14ac:dyDescent="0.3">
      <c r="A557" t="s">
        <v>477</v>
      </c>
      <c r="B557">
        <v>145</v>
      </c>
      <c r="C557" t="s">
        <v>400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3">
      <c r="C558" t="s">
        <v>401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60" spans="1:51" x14ac:dyDescent="0.3">
      <c r="A560" t="s">
        <v>478</v>
      </c>
      <c r="B560">
        <v>34.33</v>
      </c>
      <c r="C560" t="s">
        <v>400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">
      <c r="C561" t="s">
        <v>401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3" spans="1:51" x14ac:dyDescent="0.3">
      <c r="A563" t="s">
        <v>479</v>
      </c>
      <c r="B563">
        <v>34.33</v>
      </c>
      <c r="C563" t="s">
        <v>400</v>
      </c>
      <c r="D563">
        <v>29</v>
      </c>
      <c r="E563">
        <v>29</v>
      </c>
      <c r="F563">
        <v>29</v>
      </c>
      <c r="G563">
        <v>29</v>
      </c>
      <c r="H563">
        <v>29</v>
      </c>
      <c r="I563">
        <v>28</v>
      </c>
      <c r="J563">
        <v>28</v>
      </c>
      <c r="K563">
        <v>29</v>
      </c>
      <c r="L563">
        <v>29</v>
      </c>
      <c r="M563">
        <v>29</v>
      </c>
      <c r="N563">
        <v>29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">
      <c r="C564" t="s">
        <v>401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5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6" spans="1:51" x14ac:dyDescent="0.3">
      <c r="A566" t="s">
        <v>480</v>
      </c>
      <c r="B566">
        <v>34.33</v>
      </c>
      <c r="C566" t="s">
        <v>400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">
      <c r="C567" t="s">
        <v>401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9" spans="1:51" x14ac:dyDescent="0.3">
      <c r="A569" t="s">
        <v>481</v>
      </c>
      <c r="B569">
        <v>26.81</v>
      </c>
      <c r="C569" t="s">
        <v>400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">
      <c r="C570" t="s">
        <v>401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2" spans="1:51" x14ac:dyDescent="0.3">
      <c r="A572" t="s">
        <v>482</v>
      </c>
      <c r="B572">
        <v>26.81</v>
      </c>
      <c r="C572" t="s">
        <v>400</v>
      </c>
      <c r="D572">
        <v>10</v>
      </c>
      <c r="E572">
        <v>10</v>
      </c>
      <c r="F572">
        <v>10</v>
      </c>
      <c r="G572">
        <v>10</v>
      </c>
      <c r="H572">
        <v>10</v>
      </c>
      <c r="I572">
        <v>10</v>
      </c>
      <c r="J572">
        <v>10</v>
      </c>
      <c r="K572">
        <v>10</v>
      </c>
      <c r="L572">
        <v>10</v>
      </c>
      <c r="M572">
        <v>10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">
      <c r="C573" t="s">
        <v>401</v>
      </c>
      <c r="D573">
        <v>1</v>
      </c>
      <c r="E573">
        <v>0</v>
      </c>
      <c r="F573">
        <v>0</v>
      </c>
      <c r="G573">
        <v>2</v>
      </c>
      <c r="H573">
        <v>2</v>
      </c>
      <c r="I573">
        <v>1</v>
      </c>
      <c r="J573">
        <v>2</v>
      </c>
      <c r="K573">
        <v>5</v>
      </c>
      <c r="L573">
        <v>8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5" spans="1:51" x14ac:dyDescent="0.3">
      <c r="A575" t="s">
        <v>483</v>
      </c>
      <c r="C575" t="s">
        <v>400</v>
      </c>
      <c r="D575">
        <v>8</v>
      </c>
      <c r="E575">
        <v>8</v>
      </c>
      <c r="F575">
        <v>8</v>
      </c>
      <c r="G575">
        <v>8</v>
      </c>
      <c r="H575">
        <v>8</v>
      </c>
      <c r="I575">
        <v>8</v>
      </c>
      <c r="J575">
        <v>8</v>
      </c>
      <c r="K575">
        <v>8</v>
      </c>
      <c r="L575">
        <v>8</v>
      </c>
      <c r="M575">
        <v>8</v>
      </c>
      <c r="N575">
        <v>8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">
      <c r="C576" t="s">
        <v>401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8" spans="1:51" x14ac:dyDescent="0.3">
      <c r="A578" t="s">
        <v>484</v>
      </c>
      <c r="C578" t="s">
        <v>400</v>
      </c>
      <c r="D578">
        <v>6</v>
      </c>
      <c r="E578">
        <v>6</v>
      </c>
      <c r="F578">
        <v>6</v>
      </c>
      <c r="G578">
        <v>6</v>
      </c>
      <c r="H578">
        <v>6</v>
      </c>
      <c r="I578">
        <v>6</v>
      </c>
      <c r="J578">
        <v>6</v>
      </c>
      <c r="K578">
        <v>6</v>
      </c>
      <c r="L578">
        <v>6</v>
      </c>
      <c r="M578">
        <v>6</v>
      </c>
      <c r="N578">
        <v>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">
      <c r="C579" t="s">
        <v>401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1" spans="1:51" x14ac:dyDescent="0.3">
      <c r="A581" t="s">
        <v>485</v>
      </c>
      <c r="B581">
        <v>4.71</v>
      </c>
      <c r="C581" t="s">
        <v>400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">
      <c r="C582" t="s">
        <v>401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4" spans="1:51" x14ac:dyDescent="0.3">
      <c r="A584" t="s">
        <v>486</v>
      </c>
      <c r="B584">
        <v>14.23</v>
      </c>
      <c r="C584" t="s">
        <v>400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3">
      <c r="C585" t="s">
        <v>401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7" spans="1:51" x14ac:dyDescent="0.3">
      <c r="A587" t="s">
        <v>487</v>
      </c>
      <c r="B587">
        <v>14.23</v>
      </c>
      <c r="C587" t="s">
        <v>400</v>
      </c>
      <c r="D587">
        <v>8</v>
      </c>
      <c r="E587">
        <v>8</v>
      </c>
      <c r="F587">
        <v>8</v>
      </c>
      <c r="G587">
        <v>8</v>
      </c>
      <c r="H587">
        <v>8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">
      <c r="C588" t="s">
        <v>401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90" spans="1:51" x14ac:dyDescent="0.3">
      <c r="A590" t="s">
        <v>488</v>
      </c>
      <c r="B590">
        <v>17.86</v>
      </c>
      <c r="C590" t="s">
        <v>400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">
      <c r="C591" t="s">
        <v>401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3" spans="1:51" x14ac:dyDescent="0.3">
      <c r="A593" t="s">
        <v>489</v>
      </c>
      <c r="B593">
        <v>17.86</v>
      </c>
      <c r="C593" t="s">
        <v>400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">
      <c r="C594" t="s">
        <v>401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6" spans="1:51" x14ac:dyDescent="0.3">
      <c r="A596" t="s">
        <v>362</v>
      </c>
      <c r="B596">
        <v>80</v>
      </c>
      <c r="C596" t="s">
        <v>400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3">
      <c r="C597" t="s">
        <v>401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9" spans="1:51" x14ac:dyDescent="0.3">
      <c r="A599" t="s">
        <v>363</v>
      </c>
      <c r="B599">
        <v>80</v>
      </c>
      <c r="C599" t="s">
        <v>400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">
      <c r="C600" t="s">
        <v>401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2" spans="1:51" x14ac:dyDescent="0.3">
      <c r="A602" t="s">
        <v>364</v>
      </c>
      <c r="B602">
        <v>166.5</v>
      </c>
      <c r="C602" t="s">
        <v>400</v>
      </c>
      <c r="D602">
        <v>91</v>
      </c>
      <c r="E602">
        <v>91</v>
      </c>
      <c r="F602">
        <v>91</v>
      </c>
      <c r="G602">
        <v>91</v>
      </c>
      <c r="H602">
        <v>91</v>
      </c>
      <c r="I602">
        <v>91</v>
      </c>
      <c r="J602">
        <v>91</v>
      </c>
      <c r="K602">
        <v>91</v>
      </c>
      <c r="L602">
        <v>91</v>
      </c>
      <c r="M602">
        <v>91</v>
      </c>
      <c r="N602">
        <v>91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3">
      <c r="C603" t="s">
        <v>401</v>
      </c>
      <c r="D603">
        <v>12</v>
      </c>
      <c r="E603">
        <v>12</v>
      </c>
      <c r="F603">
        <v>11</v>
      </c>
      <c r="G603">
        <v>13</v>
      </c>
      <c r="H603">
        <v>12</v>
      </c>
      <c r="I603">
        <v>12</v>
      </c>
      <c r="J603">
        <v>13</v>
      </c>
      <c r="K603">
        <v>13</v>
      </c>
      <c r="L603">
        <v>13</v>
      </c>
      <c r="M603">
        <v>13</v>
      </c>
      <c r="N603">
        <v>11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5" spans="1:51" x14ac:dyDescent="0.3">
      <c r="A605" t="s">
        <v>365</v>
      </c>
      <c r="B605">
        <v>166.5</v>
      </c>
      <c r="C605" t="s">
        <v>400</v>
      </c>
      <c r="D605">
        <v>89</v>
      </c>
      <c r="E605">
        <v>90</v>
      </c>
      <c r="F605">
        <v>90</v>
      </c>
      <c r="G605">
        <v>90</v>
      </c>
      <c r="H605">
        <v>90</v>
      </c>
      <c r="I605">
        <v>89</v>
      </c>
      <c r="J605">
        <v>89</v>
      </c>
      <c r="K605">
        <v>90</v>
      </c>
      <c r="L605">
        <v>90</v>
      </c>
      <c r="M605">
        <v>90</v>
      </c>
      <c r="N605">
        <v>91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">
      <c r="C606" t="s">
        <v>401</v>
      </c>
      <c r="D606">
        <v>13</v>
      </c>
      <c r="E606">
        <v>13</v>
      </c>
      <c r="F606">
        <v>12</v>
      </c>
      <c r="G606">
        <v>13</v>
      </c>
      <c r="H606">
        <v>15</v>
      </c>
      <c r="I606">
        <v>13</v>
      </c>
      <c r="J606">
        <v>15</v>
      </c>
      <c r="K606">
        <v>15</v>
      </c>
      <c r="L606">
        <v>15</v>
      </c>
      <c r="M606">
        <v>15</v>
      </c>
      <c r="N606">
        <v>13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8" spans="1:51" x14ac:dyDescent="0.3">
      <c r="A608" t="s">
        <v>54</v>
      </c>
      <c r="B608">
        <v>370</v>
      </c>
      <c r="C608" t="s">
        <v>400</v>
      </c>
      <c r="D608">
        <v>256</v>
      </c>
      <c r="E608">
        <v>257</v>
      </c>
      <c r="F608">
        <v>258</v>
      </c>
      <c r="G608">
        <v>256</v>
      </c>
      <c r="H608">
        <v>255</v>
      </c>
      <c r="I608">
        <v>259</v>
      </c>
      <c r="J608">
        <v>256</v>
      </c>
      <c r="K608">
        <v>254</v>
      </c>
      <c r="L608">
        <v>255</v>
      </c>
      <c r="M608">
        <v>255</v>
      </c>
      <c r="N608">
        <v>301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3">
      <c r="C609" t="s">
        <v>401</v>
      </c>
      <c r="D609">
        <v>-15</v>
      </c>
      <c r="E609">
        <v>-19</v>
      </c>
      <c r="F609">
        <v>-19</v>
      </c>
      <c r="G609">
        <v>-18</v>
      </c>
      <c r="H609">
        <v>-15</v>
      </c>
      <c r="I609">
        <v>-20</v>
      </c>
      <c r="J609">
        <v>-10</v>
      </c>
      <c r="K609">
        <v>0</v>
      </c>
      <c r="L609">
        <v>25</v>
      </c>
      <c r="M609">
        <v>24</v>
      </c>
      <c r="N609">
        <v>23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1" spans="1:51" x14ac:dyDescent="0.3">
      <c r="A611" t="s">
        <v>57</v>
      </c>
      <c r="B611">
        <v>370</v>
      </c>
      <c r="C611" t="s">
        <v>400</v>
      </c>
      <c r="D611">
        <v>259</v>
      </c>
      <c r="E611">
        <v>255</v>
      </c>
      <c r="F611">
        <v>255</v>
      </c>
      <c r="G611">
        <v>253</v>
      </c>
      <c r="H611">
        <v>258</v>
      </c>
      <c r="I611">
        <v>254</v>
      </c>
      <c r="J611">
        <v>255</v>
      </c>
      <c r="K611">
        <v>250</v>
      </c>
      <c r="L611">
        <v>256</v>
      </c>
      <c r="M611">
        <v>265</v>
      </c>
      <c r="N611">
        <v>279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 x14ac:dyDescent="0.3">
      <c r="C612" t="s">
        <v>401</v>
      </c>
      <c r="D612">
        <v>-20</v>
      </c>
      <c r="E612">
        <v>-19</v>
      </c>
      <c r="F612">
        <v>-20</v>
      </c>
      <c r="G612">
        <v>-20</v>
      </c>
      <c r="H612">
        <v>-21</v>
      </c>
      <c r="I612">
        <v>-20</v>
      </c>
      <c r="J612">
        <v>-13</v>
      </c>
      <c r="K612">
        <v>-4</v>
      </c>
      <c r="L612">
        <v>55</v>
      </c>
      <c r="M612">
        <v>52</v>
      </c>
      <c r="N612">
        <v>50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4" spans="1:51" x14ac:dyDescent="0.3">
      <c r="A614" t="s">
        <v>366</v>
      </c>
      <c r="B614">
        <v>15.5</v>
      </c>
      <c r="C614" t="s">
        <v>400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3">
      <c r="C615" t="s">
        <v>401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7" spans="1:51" x14ac:dyDescent="0.3">
      <c r="A617" t="s">
        <v>367</v>
      </c>
      <c r="B617">
        <v>15.5</v>
      </c>
      <c r="C617" t="s">
        <v>400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 x14ac:dyDescent="0.3">
      <c r="C618" t="s">
        <v>401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20" spans="1:51" x14ac:dyDescent="0.3">
      <c r="A620" t="s">
        <v>490</v>
      </c>
      <c r="B620">
        <v>175</v>
      </c>
      <c r="C620" t="s">
        <v>400</v>
      </c>
      <c r="D620">
        <v>65</v>
      </c>
      <c r="E620">
        <v>65</v>
      </c>
      <c r="F620">
        <v>65</v>
      </c>
      <c r="G620">
        <v>64</v>
      </c>
      <c r="H620">
        <v>64</v>
      </c>
      <c r="I620">
        <v>65</v>
      </c>
      <c r="J620">
        <v>64</v>
      </c>
      <c r="K620">
        <v>64</v>
      </c>
      <c r="L620">
        <v>64</v>
      </c>
      <c r="M620">
        <v>65</v>
      </c>
      <c r="N620">
        <v>65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 x14ac:dyDescent="0.3">
      <c r="C621" t="s">
        <v>401</v>
      </c>
      <c r="D621">
        <v>-20</v>
      </c>
      <c r="E621">
        <v>-20</v>
      </c>
      <c r="F621">
        <v>-22</v>
      </c>
      <c r="G621">
        <v>-21</v>
      </c>
      <c r="H621">
        <v>-19</v>
      </c>
      <c r="I621">
        <v>-22</v>
      </c>
      <c r="J621">
        <v>-22</v>
      </c>
      <c r="K621">
        <v>-20</v>
      </c>
      <c r="L621">
        <v>-17</v>
      </c>
      <c r="M621">
        <v>29</v>
      </c>
      <c r="N621">
        <v>14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3" spans="1:51" x14ac:dyDescent="0.3">
      <c r="A623" t="s">
        <v>491</v>
      </c>
      <c r="B623">
        <v>100</v>
      </c>
      <c r="C623" t="s">
        <v>400</v>
      </c>
      <c r="D623">
        <v>50</v>
      </c>
      <c r="E623">
        <v>50</v>
      </c>
      <c r="F623">
        <v>50</v>
      </c>
      <c r="G623">
        <v>51</v>
      </c>
      <c r="H623">
        <v>50</v>
      </c>
      <c r="I623">
        <v>50</v>
      </c>
      <c r="J623">
        <v>50</v>
      </c>
      <c r="K623">
        <v>50</v>
      </c>
      <c r="L623">
        <v>51</v>
      </c>
      <c r="M623">
        <v>50</v>
      </c>
      <c r="N623">
        <v>50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 x14ac:dyDescent="0.3">
      <c r="C624" t="s">
        <v>401</v>
      </c>
      <c r="D624">
        <v>-14</v>
      </c>
      <c r="E624">
        <v>-14</v>
      </c>
      <c r="F624">
        <v>-14</v>
      </c>
      <c r="G624">
        <v>-15</v>
      </c>
      <c r="H624">
        <v>-14</v>
      </c>
      <c r="I624">
        <v>-16</v>
      </c>
      <c r="J624">
        <v>-17</v>
      </c>
      <c r="K624">
        <v>-15</v>
      </c>
      <c r="L624">
        <v>-14</v>
      </c>
      <c r="M624">
        <v>19</v>
      </c>
      <c r="N624">
        <v>21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6" spans="1:51" x14ac:dyDescent="0.3">
      <c r="A626" t="s">
        <v>492</v>
      </c>
      <c r="B626">
        <v>100</v>
      </c>
      <c r="C626" t="s">
        <v>400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 x14ac:dyDescent="0.3">
      <c r="C627" t="s">
        <v>401</v>
      </c>
      <c r="D627">
        <v>-2</v>
      </c>
      <c r="E627">
        <v>-2</v>
      </c>
      <c r="F627">
        <v>-2</v>
      </c>
      <c r="G627">
        <v>-2</v>
      </c>
      <c r="H627">
        <v>-2</v>
      </c>
      <c r="I627">
        <v>-2</v>
      </c>
      <c r="J627">
        <v>-2</v>
      </c>
      <c r="K627">
        <v>-2</v>
      </c>
      <c r="L627">
        <v>-2</v>
      </c>
      <c r="M627">
        <v>-2</v>
      </c>
      <c r="N627">
        <v>-2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9" spans="1:51" x14ac:dyDescent="0.3">
      <c r="A629" t="s">
        <v>493</v>
      </c>
      <c r="B629">
        <v>100</v>
      </c>
      <c r="C629" t="s">
        <v>400</v>
      </c>
      <c r="D629">
        <v>52</v>
      </c>
      <c r="E629">
        <v>52</v>
      </c>
      <c r="F629">
        <v>52</v>
      </c>
      <c r="G629">
        <v>52</v>
      </c>
      <c r="H629">
        <v>52</v>
      </c>
      <c r="I629">
        <v>52</v>
      </c>
      <c r="J629">
        <v>52</v>
      </c>
      <c r="K629">
        <v>52</v>
      </c>
      <c r="L629">
        <v>52</v>
      </c>
      <c r="M629">
        <v>52</v>
      </c>
      <c r="N629">
        <v>52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3">
      <c r="C630" t="s">
        <v>401</v>
      </c>
      <c r="D630">
        <v>-20</v>
      </c>
      <c r="E630">
        <v>-21</v>
      </c>
      <c r="F630">
        <v>-22</v>
      </c>
      <c r="G630">
        <v>-21</v>
      </c>
      <c r="H630">
        <v>-20</v>
      </c>
      <c r="I630">
        <v>-22</v>
      </c>
      <c r="J630">
        <v>-22</v>
      </c>
      <c r="K630">
        <v>-21</v>
      </c>
      <c r="L630">
        <v>-19</v>
      </c>
      <c r="M630">
        <v>18</v>
      </c>
      <c r="N630">
        <v>16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2" spans="1:51" x14ac:dyDescent="0.3">
      <c r="A632" t="s">
        <v>494</v>
      </c>
      <c r="B632">
        <v>165</v>
      </c>
      <c r="C632" t="s">
        <v>400</v>
      </c>
      <c r="D632">
        <v>38</v>
      </c>
      <c r="E632">
        <v>38</v>
      </c>
      <c r="F632">
        <v>38</v>
      </c>
      <c r="G632">
        <v>38</v>
      </c>
      <c r="H632">
        <v>37</v>
      </c>
      <c r="I632">
        <v>38</v>
      </c>
      <c r="J632">
        <v>37</v>
      </c>
      <c r="K632">
        <v>38</v>
      </c>
      <c r="L632">
        <v>37</v>
      </c>
      <c r="M632">
        <v>37</v>
      </c>
      <c r="N632">
        <v>37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 x14ac:dyDescent="0.3">
      <c r="C633" t="s">
        <v>401</v>
      </c>
      <c r="D633">
        <v>-5</v>
      </c>
      <c r="E633">
        <v>-5</v>
      </c>
      <c r="F633">
        <v>-6</v>
      </c>
      <c r="G633">
        <v>-5</v>
      </c>
      <c r="H633">
        <v>-1</v>
      </c>
      <c r="I633">
        <v>-5</v>
      </c>
      <c r="J633">
        <v>-5</v>
      </c>
      <c r="K633">
        <v>-1</v>
      </c>
      <c r="L633">
        <v>1</v>
      </c>
      <c r="M633">
        <v>-14</v>
      </c>
      <c r="N633">
        <v>-18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5" spans="1:51" x14ac:dyDescent="0.3">
      <c r="A635" t="s">
        <v>495</v>
      </c>
      <c r="B635">
        <v>100</v>
      </c>
      <c r="C635" t="s">
        <v>400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 x14ac:dyDescent="0.3">
      <c r="C636" t="s">
        <v>401</v>
      </c>
      <c r="D636">
        <v>-2</v>
      </c>
      <c r="E636">
        <v>-2</v>
      </c>
      <c r="F636">
        <v>-2</v>
      </c>
      <c r="G636">
        <v>-2</v>
      </c>
      <c r="H636">
        <v>-2</v>
      </c>
      <c r="I636">
        <v>-2</v>
      </c>
      <c r="J636">
        <v>-2</v>
      </c>
      <c r="K636">
        <v>-2</v>
      </c>
      <c r="L636">
        <v>-2</v>
      </c>
      <c r="M636">
        <v>-2</v>
      </c>
      <c r="N636">
        <v>-2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8" spans="1:51" x14ac:dyDescent="0.3">
      <c r="A638" t="s">
        <v>496</v>
      </c>
      <c r="B638">
        <v>100</v>
      </c>
      <c r="C638" t="s">
        <v>400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 x14ac:dyDescent="0.3">
      <c r="C639" t="s">
        <v>401</v>
      </c>
      <c r="D639">
        <v>-2</v>
      </c>
      <c r="E639">
        <v>-1</v>
      </c>
      <c r="F639">
        <v>-2</v>
      </c>
      <c r="G639">
        <v>-2</v>
      </c>
      <c r="H639">
        <v>-2</v>
      </c>
      <c r="I639">
        <v>-1</v>
      </c>
      <c r="J639">
        <v>-2</v>
      </c>
      <c r="K639">
        <v>-2</v>
      </c>
      <c r="L639">
        <v>-2</v>
      </c>
      <c r="M639">
        <v>-2</v>
      </c>
      <c r="N639">
        <v>-2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1" spans="1:51" x14ac:dyDescent="0.3">
      <c r="A641" t="s">
        <v>497</v>
      </c>
      <c r="B641">
        <v>100</v>
      </c>
      <c r="C641" t="s">
        <v>400</v>
      </c>
      <c r="D641">
        <v>74</v>
      </c>
      <c r="E641">
        <v>74</v>
      </c>
      <c r="F641">
        <v>74</v>
      </c>
      <c r="G641">
        <v>74</v>
      </c>
      <c r="H641">
        <v>74</v>
      </c>
      <c r="I641">
        <v>74</v>
      </c>
      <c r="J641">
        <v>74</v>
      </c>
      <c r="K641">
        <v>74</v>
      </c>
      <c r="L641">
        <v>74</v>
      </c>
      <c r="M641">
        <v>74</v>
      </c>
      <c r="N641">
        <v>74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 x14ac:dyDescent="0.3">
      <c r="C642" t="s">
        <v>401</v>
      </c>
      <c r="D642">
        <v>-16</v>
      </c>
      <c r="E642">
        <v>-16</v>
      </c>
      <c r="F642">
        <v>-17</v>
      </c>
      <c r="G642">
        <v>-17</v>
      </c>
      <c r="H642">
        <v>-16</v>
      </c>
      <c r="I642">
        <v>-18</v>
      </c>
      <c r="J642">
        <v>-19</v>
      </c>
      <c r="K642">
        <v>-17</v>
      </c>
      <c r="L642">
        <v>-16</v>
      </c>
      <c r="M642">
        <v>-31</v>
      </c>
      <c r="N642">
        <v>-31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4" spans="1:51" x14ac:dyDescent="0.3">
      <c r="A644" t="s">
        <v>498</v>
      </c>
      <c r="B644">
        <v>170</v>
      </c>
      <c r="C644" t="s">
        <v>400</v>
      </c>
      <c r="D644">
        <v>37</v>
      </c>
      <c r="E644">
        <v>37</v>
      </c>
      <c r="F644">
        <v>37</v>
      </c>
      <c r="G644">
        <v>37</v>
      </c>
      <c r="H644">
        <v>37</v>
      </c>
      <c r="I644">
        <v>37</v>
      </c>
      <c r="J644">
        <v>37</v>
      </c>
      <c r="K644">
        <v>37</v>
      </c>
      <c r="L644">
        <v>37</v>
      </c>
      <c r="M644">
        <v>37</v>
      </c>
      <c r="N644">
        <v>37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 x14ac:dyDescent="0.3">
      <c r="C645" t="s">
        <v>401</v>
      </c>
      <c r="D645">
        <v>-12</v>
      </c>
      <c r="E645">
        <v>-11</v>
      </c>
      <c r="F645">
        <v>-10</v>
      </c>
      <c r="G645">
        <v>-11</v>
      </c>
      <c r="H645">
        <v>-7</v>
      </c>
      <c r="I645">
        <v>-11</v>
      </c>
      <c r="J645">
        <v>-10</v>
      </c>
      <c r="K645">
        <v>-6</v>
      </c>
      <c r="L645">
        <v>-4</v>
      </c>
      <c r="M645">
        <v>-20</v>
      </c>
      <c r="N645">
        <v>-23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7" spans="1:51" x14ac:dyDescent="0.3">
      <c r="A647" t="s">
        <v>499</v>
      </c>
      <c r="B647">
        <v>100</v>
      </c>
      <c r="C647" t="s">
        <v>400</v>
      </c>
      <c r="D647">
        <v>71</v>
      </c>
      <c r="E647">
        <v>71</v>
      </c>
      <c r="F647">
        <v>71</v>
      </c>
      <c r="G647">
        <v>71</v>
      </c>
      <c r="H647">
        <v>71</v>
      </c>
      <c r="I647">
        <v>71</v>
      </c>
      <c r="J647">
        <v>71</v>
      </c>
      <c r="K647">
        <v>71</v>
      </c>
      <c r="L647">
        <v>71</v>
      </c>
      <c r="M647">
        <v>71</v>
      </c>
      <c r="N647">
        <v>71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 x14ac:dyDescent="0.3">
      <c r="C648" t="s">
        <v>401</v>
      </c>
      <c r="D648">
        <v>-7</v>
      </c>
      <c r="E648">
        <v>-7</v>
      </c>
      <c r="F648">
        <v>-7</v>
      </c>
      <c r="G648">
        <v>-8</v>
      </c>
      <c r="H648">
        <v>-7</v>
      </c>
      <c r="I648">
        <v>-9</v>
      </c>
      <c r="J648">
        <v>-9</v>
      </c>
      <c r="K648">
        <v>-8</v>
      </c>
      <c r="L648">
        <v>-6</v>
      </c>
      <c r="M648">
        <v>-22</v>
      </c>
      <c r="N648">
        <v>-22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</row>
    <row r="650" spans="1:51" x14ac:dyDescent="0.3">
      <c r="A650" t="s">
        <v>500</v>
      </c>
      <c r="B650">
        <v>100</v>
      </c>
      <c r="C650" t="s">
        <v>400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3">
      <c r="C651" t="s">
        <v>401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3" spans="1:51" x14ac:dyDescent="0.3">
      <c r="A653" t="s">
        <v>501</v>
      </c>
      <c r="B653">
        <v>100</v>
      </c>
      <c r="C653" t="s">
        <v>400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 x14ac:dyDescent="0.3">
      <c r="C654" t="s">
        <v>401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6" spans="1:51" x14ac:dyDescent="0.3">
      <c r="A656" t="s">
        <v>502</v>
      </c>
      <c r="C656" t="s">
        <v>400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3">
      <c r="C657" t="s">
        <v>401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9" spans="1:51" x14ac:dyDescent="0.3">
      <c r="A659" t="s">
        <v>503</v>
      </c>
      <c r="B659">
        <v>0</v>
      </c>
      <c r="C659" t="s">
        <v>400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 x14ac:dyDescent="0.3">
      <c r="C660" t="s">
        <v>401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2" spans="1:51" x14ac:dyDescent="0.3">
      <c r="A662" t="s">
        <v>504</v>
      </c>
      <c r="C662" t="s">
        <v>400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 x14ac:dyDescent="0.3">
      <c r="C663" t="s">
        <v>401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5" spans="1:51" x14ac:dyDescent="0.3">
      <c r="A665" t="s">
        <v>505</v>
      </c>
      <c r="C665" t="s">
        <v>400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3">
      <c r="C666" t="s">
        <v>401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8" spans="1:51" x14ac:dyDescent="0.3">
      <c r="A668" t="s">
        <v>506</v>
      </c>
      <c r="B668">
        <v>2.16</v>
      </c>
      <c r="C668" t="s">
        <v>400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3">
      <c r="C669" t="s">
        <v>401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1" spans="1:51" x14ac:dyDescent="0.3">
      <c r="A671" t="s">
        <v>47</v>
      </c>
      <c r="B671">
        <v>323</v>
      </c>
      <c r="C671" t="s">
        <v>400</v>
      </c>
      <c r="D671">
        <v>249</v>
      </c>
      <c r="E671">
        <v>249</v>
      </c>
      <c r="F671">
        <v>249</v>
      </c>
      <c r="G671">
        <v>248</v>
      </c>
      <c r="H671">
        <v>250</v>
      </c>
      <c r="I671">
        <v>248</v>
      </c>
      <c r="J671">
        <v>249</v>
      </c>
      <c r="K671">
        <v>249</v>
      </c>
      <c r="L671">
        <v>276</v>
      </c>
      <c r="M671">
        <v>295</v>
      </c>
      <c r="N671">
        <v>293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 x14ac:dyDescent="0.3">
      <c r="C672" t="s">
        <v>401</v>
      </c>
      <c r="D672">
        <v>25</v>
      </c>
      <c r="E672">
        <v>26</v>
      </c>
      <c r="F672">
        <v>26</v>
      </c>
      <c r="G672">
        <v>23</v>
      </c>
      <c r="H672">
        <v>27</v>
      </c>
      <c r="I672">
        <v>22</v>
      </c>
      <c r="J672">
        <v>23</v>
      </c>
      <c r="K672">
        <v>29</v>
      </c>
      <c r="L672">
        <v>31</v>
      </c>
      <c r="M672">
        <v>22</v>
      </c>
      <c r="N672">
        <v>23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4" spans="1:51" x14ac:dyDescent="0.3">
      <c r="A674" t="s">
        <v>50</v>
      </c>
      <c r="B674">
        <v>323</v>
      </c>
      <c r="C674" t="s">
        <v>400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3">
      <c r="C675" t="s">
        <v>401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7" spans="1:51" x14ac:dyDescent="0.3">
      <c r="A677" t="s">
        <v>69</v>
      </c>
      <c r="B677">
        <v>615</v>
      </c>
      <c r="C677" t="s">
        <v>400</v>
      </c>
      <c r="D677">
        <v>398</v>
      </c>
      <c r="E677">
        <v>380</v>
      </c>
      <c r="F677">
        <v>359</v>
      </c>
      <c r="G677">
        <v>354</v>
      </c>
      <c r="H677">
        <v>348</v>
      </c>
      <c r="I677">
        <v>356</v>
      </c>
      <c r="J677">
        <v>355</v>
      </c>
      <c r="K677">
        <v>352</v>
      </c>
      <c r="L677">
        <v>399</v>
      </c>
      <c r="M677">
        <v>436</v>
      </c>
      <c r="N677">
        <v>498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 x14ac:dyDescent="0.3">
      <c r="C678" t="s">
        <v>401</v>
      </c>
      <c r="D678">
        <v>-55</v>
      </c>
      <c r="E678">
        <v>-57</v>
      </c>
      <c r="F678">
        <v>-61</v>
      </c>
      <c r="G678">
        <v>-61</v>
      </c>
      <c r="H678">
        <v>-61</v>
      </c>
      <c r="I678">
        <v>-55</v>
      </c>
      <c r="J678">
        <v>-57</v>
      </c>
      <c r="K678">
        <v>-64</v>
      </c>
      <c r="L678">
        <v>-41</v>
      </c>
      <c r="M678">
        <v>-33</v>
      </c>
      <c r="N678">
        <v>-15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80" spans="1:51" x14ac:dyDescent="0.3">
      <c r="A680" t="s">
        <v>72</v>
      </c>
      <c r="B680">
        <v>280</v>
      </c>
      <c r="C680" t="s">
        <v>400</v>
      </c>
      <c r="D680">
        <v>212</v>
      </c>
      <c r="E680">
        <v>201</v>
      </c>
      <c r="F680">
        <v>201</v>
      </c>
      <c r="G680">
        <v>201</v>
      </c>
      <c r="H680">
        <v>199</v>
      </c>
      <c r="I680">
        <v>202</v>
      </c>
      <c r="J680">
        <v>200</v>
      </c>
      <c r="K680">
        <v>197</v>
      </c>
      <c r="L680">
        <v>197</v>
      </c>
      <c r="M680">
        <v>198</v>
      </c>
      <c r="N680">
        <v>201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 x14ac:dyDescent="0.3">
      <c r="C681" t="s">
        <v>401</v>
      </c>
      <c r="D681">
        <v>24</v>
      </c>
      <c r="E681">
        <v>23</v>
      </c>
      <c r="F681">
        <v>22</v>
      </c>
      <c r="G681">
        <v>21</v>
      </c>
      <c r="H681">
        <v>21</v>
      </c>
      <c r="I681">
        <v>21</v>
      </c>
      <c r="J681">
        <v>23</v>
      </c>
      <c r="K681">
        <v>26</v>
      </c>
      <c r="L681">
        <v>37</v>
      </c>
      <c r="M681">
        <v>46</v>
      </c>
      <c r="N681">
        <v>43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3" spans="1:51" x14ac:dyDescent="0.3">
      <c r="A683" t="s">
        <v>73</v>
      </c>
      <c r="B683">
        <v>280</v>
      </c>
      <c r="C683" t="s">
        <v>400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 x14ac:dyDescent="0.3">
      <c r="C684" t="s">
        <v>401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6" spans="1:51" x14ac:dyDescent="0.3">
      <c r="A686" t="s">
        <v>371</v>
      </c>
      <c r="B686">
        <v>0</v>
      </c>
      <c r="C686" t="s">
        <v>400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 x14ac:dyDescent="0.3">
      <c r="C687" t="s">
        <v>401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9" spans="1:51" x14ac:dyDescent="0.3">
      <c r="A689" t="s">
        <v>372</v>
      </c>
      <c r="B689">
        <v>0</v>
      </c>
      <c r="C689" t="s">
        <v>400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3">
      <c r="C690" t="s">
        <v>401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2" spans="1:51" x14ac:dyDescent="0.3">
      <c r="A692" t="s">
        <v>373</v>
      </c>
      <c r="B692">
        <v>0</v>
      </c>
      <c r="C692" t="s">
        <v>400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 x14ac:dyDescent="0.3">
      <c r="C693" t="s">
        <v>401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5" spans="1:51" x14ac:dyDescent="0.3">
      <c r="A695" t="s">
        <v>77</v>
      </c>
      <c r="B695">
        <v>610</v>
      </c>
      <c r="C695" t="s">
        <v>400</v>
      </c>
      <c r="D695">
        <v>529</v>
      </c>
      <c r="E695">
        <v>508</v>
      </c>
      <c r="F695">
        <v>459</v>
      </c>
      <c r="G695">
        <v>392</v>
      </c>
      <c r="H695">
        <v>340</v>
      </c>
      <c r="I695">
        <v>349</v>
      </c>
      <c r="J695">
        <v>347</v>
      </c>
      <c r="K695">
        <v>351</v>
      </c>
      <c r="L695">
        <v>404</v>
      </c>
      <c r="M695">
        <v>451</v>
      </c>
      <c r="N695">
        <v>488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3">
      <c r="C696" t="s">
        <v>401</v>
      </c>
      <c r="D696">
        <v>41</v>
      </c>
      <c r="E696">
        <v>46</v>
      </c>
      <c r="F696">
        <v>53</v>
      </c>
      <c r="G696">
        <v>60</v>
      </c>
      <c r="H696">
        <v>-10</v>
      </c>
      <c r="I696">
        <v>-15</v>
      </c>
      <c r="J696">
        <v>-16</v>
      </c>
      <c r="K696">
        <v>-9</v>
      </c>
      <c r="L696">
        <v>42</v>
      </c>
      <c r="M696">
        <v>89</v>
      </c>
      <c r="N696">
        <v>76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8" spans="1:51" x14ac:dyDescent="0.3">
      <c r="A698" t="s">
        <v>78</v>
      </c>
      <c r="B698">
        <v>610</v>
      </c>
      <c r="C698" t="s">
        <v>400</v>
      </c>
      <c r="D698">
        <v>530</v>
      </c>
      <c r="E698">
        <v>501</v>
      </c>
      <c r="F698">
        <v>467</v>
      </c>
      <c r="G698">
        <v>397</v>
      </c>
      <c r="H698">
        <v>349</v>
      </c>
      <c r="I698">
        <v>352</v>
      </c>
      <c r="J698">
        <v>355</v>
      </c>
      <c r="K698">
        <v>354</v>
      </c>
      <c r="L698">
        <v>403</v>
      </c>
      <c r="M698">
        <v>450</v>
      </c>
      <c r="N698">
        <v>490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3">
      <c r="C699" t="s">
        <v>401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1" spans="1:51" x14ac:dyDescent="0.3">
      <c r="A701" t="s">
        <v>62</v>
      </c>
      <c r="B701">
        <v>811</v>
      </c>
      <c r="C701" t="s">
        <v>400</v>
      </c>
      <c r="D701">
        <v>10</v>
      </c>
      <c r="E701">
        <v>10</v>
      </c>
      <c r="F701">
        <v>11</v>
      </c>
      <c r="G701">
        <v>11</v>
      </c>
      <c r="H701">
        <v>11</v>
      </c>
      <c r="I701">
        <v>11</v>
      </c>
      <c r="J701">
        <v>11</v>
      </c>
      <c r="K701">
        <v>11</v>
      </c>
      <c r="L701">
        <v>11</v>
      </c>
      <c r="M701">
        <v>11</v>
      </c>
      <c r="N701">
        <v>11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 x14ac:dyDescent="0.3">
      <c r="C702" t="s">
        <v>401</v>
      </c>
      <c r="D702">
        <v>-8</v>
      </c>
      <c r="E702">
        <v>-8</v>
      </c>
      <c r="F702">
        <v>-8</v>
      </c>
      <c r="G702">
        <v>-8</v>
      </c>
      <c r="H702">
        <v>-9</v>
      </c>
      <c r="I702">
        <v>-9</v>
      </c>
      <c r="J702">
        <v>-9</v>
      </c>
      <c r="K702">
        <v>-9</v>
      </c>
      <c r="L702">
        <v>-9</v>
      </c>
      <c r="M702">
        <v>-9</v>
      </c>
      <c r="N702">
        <v>-9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4" spans="1:51" x14ac:dyDescent="0.3">
      <c r="A704" t="s">
        <v>59</v>
      </c>
      <c r="B704">
        <v>610</v>
      </c>
      <c r="C704" t="s">
        <v>400</v>
      </c>
      <c r="D704">
        <v>401</v>
      </c>
      <c r="E704">
        <v>351</v>
      </c>
      <c r="F704">
        <v>350</v>
      </c>
      <c r="G704">
        <v>350</v>
      </c>
      <c r="H704">
        <v>351</v>
      </c>
      <c r="I704">
        <v>351</v>
      </c>
      <c r="J704">
        <v>350</v>
      </c>
      <c r="K704">
        <v>350</v>
      </c>
      <c r="L704">
        <v>395</v>
      </c>
      <c r="M704">
        <v>442</v>
      </c>
      <c r="N704">
        <v>489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 x14ac:dyDescent="0.3">
      <c r="C705" t="s">
        <v>401</v>
      </c>
      <c r="D705">
        <v>-87</v>
      </c>
      <c r="E705">
        <v>-80</v>
      </c>
      <c r="F705">
        <v>-77</v>
      </c>
      <c r="G705">
        <v>-77</v>
      </c>
      <c r="H705">
        <v>-78</v>
      </c>
      <c r="I705">
        <v>-79</v>
      </c>
      <c r="J705">
        <v>-78</v>
      </c>
      <c r="K705">
        <v>-78</v>
      </c>
      <c r="L705">
        <v>-13</v>
      </c>
      <c r="M705">
        <v>21</v>
      </c>
      <c r="N705">
        <v>82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7" spans="1:51" x14ac:dyDescent="0.3">
      <c r="A707" t="s">
        <v>60</v>
      </c>
      <c r="B707">
        <v>610</v>
      </c>
      <c r="C707" t="s">
        <v>400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 x14ac:dyDescent="0.3">
      <c r="C708" t="s">
        <v>401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10" spans="1:51" x14ac:dyDescent="0.3">
      <c r="A710" t="s">
        <v>374</v>
      </c>
      <c r="B710">
        <v>35.866149999999998</v>
      </c>
      <c r="C710" t="s">
        <v>400</v>
      </c>
      <c r="D710">
        <v>34</v>
      </c>
      <c r="E710">
        <v>34</v>
      </c>
      <c r="F710">
        <v>34</v>
      </c>
      <c r="G710">
        <v>34</v>
      </c>
      <c r="H710">
        <v>34</v>
      </c>
      <c r="I710">
        <v>34</v>
      </c>
      <c r="J710">
        <v>34</v>
      </c>
      <c r="K710">
        <v>34</v>
      </c>
      <c r="L710">
        <v>34</v>
      </c>
      <c r="M710">
        <v>34</v>
      </c>
      <c r="N710">
        <v>33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 x14ac:dyDescent="0.3">
      <c r="C711" t="s">
        <v>401</v>
      </c>
      <c r="D711">
        <v>-6</v>
      </c>
      <c r="E711">
        <v>-5</v>
      </c>
      <c r="F711">
        <v>-2</v>
      </c>
      <c r="G711">
        <v>-2</v>
      </c>
      <c r="H711">
        <v>-2</v>
      </c>
      <c r="I711">
        <v>-2</v>
      </c>
      <c r="J711">
        <v>-2</v>
      </c>
      <c r="K711">
        <v>-1</v>
      </c>
      <c r="L711">
        <v>2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3" spans="1:51" x14ac:dyDescent="0.3">
      <c r="A713" t="s">
        <v>375</v>
      </c>
    </row>
    <row r="715" spans="1:51" x14ac:dyDescent="0.3">
      <c r="A715" t="s">
        <v>507</v>
      </c>
      <c r="B715">
        <v>17.649999999999999</v>
      </c>
      <c r="C715" t="s">
        <v>400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 x14ac:dyDescent="0.3">
      <c r="C716" t="s">
        <v>401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8" spans="1:51" x14ac:dyDescent="0.3">
      <c r="A718" t="s">
        <v>508</v>
      </c>
      <c r="B718">
        <v>18.3</v>
      </c>
      <c r="C718" t="s">
        <v>400</v>
      </c>
      <c r="D718">
        <v>6.12</v>
      </c>
      <c r="E718">
        <v>6.45</v>
      </c>
      <c r="F718">
        <v>6.48</v>
      </c>
      <c r="G718">
        <v>5.96</v>
      </c>
      <c r="H718">
        <v>6.09</v>
      </c>
      <c r="I718">
        <v>5.73</v>
      </c>
      <c r="J718">
        <v>5.79</v>
      </c>
      <c r="K718">
        <v>6.24</v>
      </c>
      <c r="L718">
        <v>6.24</v>
      </c>
      <c r="M718">
        <v>5.95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 x14ac:dyDescent="0.3">
      <c r="C719" t="s">
        <v>401</v>
      </c>
      <c r="D719">
        <v>2.5099999999999998</v>
      </c>
      <c r="E719">
        <v>2.37</v>
      </c>
      <c r="F719">
        <v>2.38</v>
      </c>
      <c r="G719">
        <v>2.41</v>
      </c>
      <c r="H719">
        <v>2.39</v>
      </c>
      <c r="I719">
        <v>2.3199999999999998</v>
      </c>
      <c r="J719">
        <v>2.2799999999999998</v>
      </c>
      <c r="K719">
        <v>2.2999999999999998</v>
      </c>
      <c r="L719">
        <v>2.4500000000000002</v>
      </c>
      <c r="M719">
        <v>2.31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1" spans="1:51" x14ac:dyDescent="0.3">
      <c r="A721" t="s">
        <v>509</v>
      </c>
      <c r="B721">
        <v>39.5</v>
      </c>
      <c r="C721" t="s">
        <v>400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 x14ac:dyDescent="0.3">
      <c r="C722" t="s">
        <v>401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4" spans="1:51" x14ac:dyDescent="0.3">
      <c r="A724" t="s">
        <v>510</v>
      </c>
      <c r="B724">
        <v>36.15</v>
      </c>
      <c r="C724" t="s">
        <v>400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 x14ac:dyDescent="0.3">
      <c r="C725" t="s">
        <v>401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7" spans="1:51" x14ac:dyDescent="0.3">
      <c r="A727" t="s">
        <v>511</v>
      </c>
      <c r="B727">
        <v>102.23</v>
      </c>
      <c r="C727" t="s">
        <v>400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3">
      <c r="C728" t="s">
        <v>401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30" spans="1:51" x14ac:dyDescent="0.3">
      <c r="A730" t="s">
        <v>512</v>
      </c>
      <c r="B730">
        <v>102.23</v>
      </c>
      <c r="C730" t="s">
        <v>400</v>
      </c>
      <c r="D730">
        <v>98.54</v>
      </c>
      <c r="E730">
        <v>99.36</v>
      </c>
      <c r="F730">
        <v>98.97</v>
      </c>
      <c r="G730">
        <v>99.23</v>
      </c>
      <c r="H730">
        <v>99.41</v>
      </c>
      <c r="I730">
        <v>99.32</v>
      </c>
      <c r="J730">
        <v>99.36</v>
      </c>
      <c r="K730">
        <v>99.27</v>
      </c>
      <c r="L730">
        <v>99.32</v>
      </c>
      <c r="M730">
        <v>99.33</v>
      </c>
      <c r="N730">
        <v>60.4</v>
      </c>
      <c r="O730">
        <v>99.7</v>
      </c>
      <c r="P730">
        <v>99.4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 x14ac:dyDescent="0.3">
      <c r="C731" t="s">
        <v>401</v>
      </c>
      <c r="D731">
        <v>-9.2200000000000006</v>
      </c>
      <c r="E731">
        <v>-11.44</v>
      </c>
      <c r="F731">
        <v>-14.01</v>
      </c>
      <c r="G731">
        <v>-12.95</v>
      </c>
      <c r="H731">
        <v>-7.11</v>
      </c>
      <c r="I731">
        <v>-7.95</v>
      </c>
      <c r="J731">
        <v>-8.5399999999999991</v>
      </c>
      <c r="K731">
        <v>-10.52</v>
      </c>
      <c r="L731">
        <v>-10.39</v>
      </c>
      <c r="M731">
        <v>-7.06</v>
      </c>
      <c r="N731">
        <v>2.89</v>
      </c>
      <c r="O731">
        <v>22.6</v>
      </c>
      <c r="P731">
        <v>0.17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3" spans="1:51" x14ac:dyDescent="0.3">
      <c r="A733" t="s">
        <v>513</v>
      </c>
      <c r="B733">
        <v>130.44</v>
      </c>
      <c r="C733" t="s">
        <v>400</v>
      </c>
      <c r="D733">
        <v>86.23</v>
      </c>
      <c r="E733">
        <v>86.14</v>
      </c>
      <c r="F733">
        <v>86.07</v>
      </c>
      <c r="G733">
        <v>86.05</v>
      </c>
      <c r="H733">
        <v>86.1</v>
      </c>
      <c r="I733">
        <v>86.07</v>
      </c>
      <c r="J733">
        <v>85.84</v>
      </c>
      <c r="K733">
        <v>86.4</v>
      </c>
      <c r="L733">
        <v>85.93</v>
      </c>
      <c r="M733">
        <v>85.7</v>
      </c>
      <c r="N733">
        <v>85.48</v>
      </c>
      <c r="O733">
        <v>85.48</v>
      </c>
      <c r="P733">
        <v>86.01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3">
      <c r="C734" t="s">
        <v>401</v>
      </c>
      <c r="D734">
        <v>-3.98</v>
      </c>
      <c r="E734">
        <v>1.03</v>
      </c>
      <c r="F734">
        <v>-3.6</v>
      </c>
      <c r="G734">
        <v>4.6500000000000004</v>
      </c>
      <c r="H734">
        <v>9.43</v>
      </c>
      <c r="I734">
        <v>7.95</v>
      </c>
      <c r="J734">
        <v>9.9600000000000009</v>
      </c>
      <c r="K734">
        <v>6.14</v>
      </c>
      <c r="L734">
        <v>6.52</v>
      </c>
      <c r="M734">
        <v>17.86</v>
      </c>
      <c r="N734">
        <v>12.19</v>
      </c>
      <c r="O734">
        <v>13.23</v>
      </c>
      <c r="P734">
        <v>12.07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6" spans="1:51" x14ac:dyDescent="0.3">
      <c r="A736" t="s">
        <v>378</v>
      </c>
      <c r="B736">
        <v>40</v>
      </c>
      <c r="C736" t="s">
        <v>400</v>
      </c>
      <c r="D736">
        <v>31.2</v>
      </c>
      <c r="E736">
        <v>30.4</v>
      </c>
      <c r="F736">
        <v>15.7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 x14ac:dyDescent="0.3">
      <c r="C737" t="s">
        <v>401</v>
      </c>
      <c r="D737">
        <v>3.65</v>
      </c>
      <c r="E737">
        <v>4.0999999999999996</v>
      </c>
      <c r="F737">
        <v>4.13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9" spans="1:51" x14ac:dyDescent="0.3">
      <c r="A739" t="s">
        <v>379</v>
      </c>
      <c r="B739">
        <v>40</v>
      </c>
      <c r="C739" t="s">
        <v>400</v>
      </c>
      <c r="D739">
        <v>30.67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 x14ac:dyDescent="0.3">
      <c r="C740" t="s">
        <v>401</v>
      </c>
      <c r="D740">
        <v>4.3600000000000003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2" spans="1:51" x14ac:dyDescent="0.3">
      <c r="A742" t="s">
        <v>381</v>
      </c>
      <c r="B742">
        <v>16.670000000000002</v>
      </c>
      <c r="C742" t="s">
        <v>400</v>
      </c>
      <c r="D742">
        <v>11.34</v>
      </c>
      <c r="E742">
        <v>11.07</v>
      </c>
      <c r="F742">
        <v>11.07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 x14ac:dyDescent="0.3">
      <c r="C743" t="s">
        <v>401</v>
      </c>
      <c r="D743">
        <v>2.3199999999999998</v>
      </c>
      <c r="E743">
        <v>2.44</v>
      </c>
      <c r="F743">
        <v>2.34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5" spans="1:51" x14ac:dyDescent="0.3">
      <c r="A745" t="s">
        <v>382</v>
      </c>
      <c r="B745">
        <v>16.670000000000002</v>
      </c>
      <c r="C745" t="s">
        <v>400</v>
      </c>
      <c r="D745">
        <v>10.77</v>
      </c>
      <c r="E745">
        <v>11</v>
      </c>
      <c r="F745">
        <v>11.47</v>
      </c>
      <c r="G745">
        <v>3.36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3">
      <c r="C746" t="s">
        <v>401</v>
      </c>
      <c r="D746">
        <v>2.2799999999999998</v>
      </c>
      <c r="E746">
        <v>2.25</v>
      </c>
      <c r="F746">
        <v>2.2000000000000002</v>
      </c>
      <c r="G746">
        <v>0.78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8" spans="1:51" x14ac:dyDescent="0.3">
      <c r="A748" t="s">
        <v>383</v>
      </c>
      <c r="B748">
        <v>16.670000000000002</v>
      </c>
      <c r="C748" t="s">
        <v>400</v>
      </c>
      <c r="D748">
        <v>10.85</v>
      </c>
      <c r="E748">
        <v>10.88</v>
      </c>
      <c r="F748">
        <v>11.38</v>
      </c>
      <c r="G748">
        <v>6.3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 x14ac:dyDescent="0.3">
      <c r="C749" t="s">
        <v>401</v>
      </c>
      <c r="D749">
        <v>2.0099999999999998</v>
      </c>
      <c r="E749">
        <v>2.0299999999999998</v>
      </c>
      <c r="F749">
        <v>2</v>
      </c>
      <c r="G749">
        <v>1.25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1" spans="1:51" x14ac:dyDescent="0.3">
      <c r="A751" t="s">
        <v>514</v>
      </c>
      <c r="B751">
        <v>15.2</v>
      </c>
      <c r="C751" t="s">
        <v>400</v>
      </c>
      <c r="D751">
        <v>14.16</v>
      </c>
      <c r="E751">
        <v>13.92</v>
      </c>
      <c r="F751">
        <v>13.37</v>
      </c>
      <c r="G751">
        <v>13.86</v>
      </c>
      <c r="H751">
        <v>13.89</v>
      </c>
      <c r="I751">
        <v>13.73</v>
      </c>
      <c r="J751">
        <v>13.51</v>
      </c>
      <c r="K751">
        <v>14</v>
      </c>
      <c r="L751">
        <v>13.99</v>
      </c>
      <c r="M751">
        <v>13.53</v>
      </c>
      <c r="N751">
        <v>14.76</v>
      </c>
      <c r="O751">
        <v>14.03</v>
      </c>
      <c r="P751">
        <v>13.63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 x14ac:dyDescent="0.3">
      <c r="C752" t="s">
        <v>401</v>
      </c>
      <c r="D752">
        <v>-1.62</v>
      </c>
      <c r="E752">
        <v>-1.58</v>
      </c>
      <c r="F752">
        <v>-1.67</v>
      </c>
      <c r="G752">
        <v>-1.61</v>
      </c>
      <c r="H752">
        <v>-1.49</v>
      </c>
      <c r="I752">
        <v>-1.59</v>
      </c>
      <c r="J752">
        <v>-1.42</v>
      </c>
      <c r="K752">
        <v>-1.64</v>
      </c>
      <c r="L752">
        <v>-1.57</v>
      </c>
      <c r="M752">
        <v>-1.47</v>
      </c>
      <c r="N752">
        <v>-1.46</v>
      </c>
      <c r="O752">
        <v>-1.47</v>
      </c>
      <c r="P752">
        <v>-1.37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4" spans="1:51" x14ac:dyDescent="0.3">
      <c r="A754" t="s">
        <v>515</v>
      </c>
      <c r="B754">
        <v>15.2</v>
      </c>
      <c r="C754" t="s">
        <v>400</v>
      </c>
      <c r="D754">
        <v>13.5</v>
      </c>
      <c r="E754">
        <v>14.43</v>
      </c>
      <c r="F754">
        <v>14.01</v>
      </c>
      <c r="G754">
        <v>15.1</v>
      </c>
      <c r="H754">
        <v>13.39</v>
      </c>
      <c r="I754">
        <v>14.07</v>
      </c>
      <c r="J754">
        <v>14.39</v>
      </c>
      <c r="K754">
        <v>14.68</v>
      </c>
      <c r="L754">
        <v>14.08</v>
      </c>
      <c r="M754">
        <v>14.1</v>
      </c>
      <c r="N754">
        <v>13.9</v>
      </c>
      <c r="O754">
        <v>14.47</v>
      </c>
      <c r="P754">
        <v>15.14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 x14ac:dyDescent="0.3">
      <c r="C755" t="s">
        <v>401</v>
      </c>
      <c r="D755">
        <v>-1.42</v>
      </c>
      <c r="E755">
        <v>-1.69</v>
      </c>
      <c r="F755">
        <v>-1.54</v>
      </c>
      <c r="G755">
        <v>-1.64</v>
      </c>
      <c r="H755">
        <v>-1.26</v>
      </c>
      <c r="I755">
        <v>-1.56</v>
      </c>
      <c r="J755">
        <v>-1.56</v>
      </c>
      <c r="K755">
        <v>-1.58</v>
      </c>
      <c r="L755">
        <v>-1.46</v>
      </c>
      <c r="M755">
        <v>-1.51</v>
      </c>
      <c r="N755">
        <v>-1.27</v>
      </c>
      <c r="O755">
        <v>-1.48</v>
      </c>
      <c r="P755">
        <v>-1.53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7" spans="1:51" x14ac:dyDescent="0.3">
      <c r="A757" t="s">
        <v>516</v>
      </c>
      <c r="B757">
        <v>15.2</v>
      </c>
      <c r="C757" t="s">
        <v>400</v>
      </c>
      <c r="D757">
        <v>13.56</v>
      </c>
      <c r="E757">
        <v>14.2</v>
      </c>
      <c r="F757">
        <v>13.78</v>
      </c>
      <c r="G757">
        <v>13.73</v>
      </c>
      <c r="H757">
        <v>14.24</v>
      </c>
      <c r="I757">
        <v>12.83</v>
      </c>
      <c r="J757">
        <v>14.36</v>
      </c>
      <c r="K757">
        <v>14.12</v>
      </c>
      <c r="L757">
        <v>14.13</v>
      </c>
      <c r="M757">
        <v>14.18</v>
      </c>
      <c r="N757">
        <v>14.8</v>
      </c>
      <c r="O757">
        <v>13.58</v>
      </c>
      <c r="P757">
        <v>13.75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 x14ac:dyDescent="0.3">
      <c r="C758" t="s">
        <v>401</v>
      </c>
      <c r="D758">
        <v>-1.33</v>
      </c>
      <c r="E758">
        <v>-1.46</v>
      </c>
      <c r="F758">
        <v>-1.5</v>
      </c>
      <c r="G758">
        <v>-1.3</v>
      </c>
      <c r="H758">
        <v>-1.29</v>
      </c>
      <c r="I758">
        <v>-1.1499999999999999</v>
      </c>
      <c r="J758">
        <v>-1.33</v>
      </c>
      <c r="K758">
        <v>-1.32</v>
      </c>
      <c r="L758">
        <v>-1.3</v>
      </c>
      <c r="M758">
        <v>-1.26</v>
      </c>
      <c r="N758">
        <v>-1.29</v>
      </c>
      <c r="O758">
        <v>-1.1499999999999999</v>
      </c>
      <c r="P758">
        <v>-1.22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60" spans="1:51" x14ac:dyDescent="0.3">
      <c r="A760" t="s">
        <v>517</v>
      </c>
      <c r="B760">
        <v>15.2</v>
      </c>
      <c r="C760" t="s">
        <v>400</v>
      </c>
      <c r="D760">
        <v>13.58</v>
      </c>
      <c r="E760">
        <v>13.54</v>
      </c>
      <c r="F760">
        <v>13.76</v>
      </c>
      <c r="G760">
        <v>14.35</v>
      </c>
      <c r="H760">
        <v>13.98</v>
      </c>
      <c r="I760">
        <v>12.78</v>
      </c>
      <c r="J760">
        <v>13.4</v>
      </c>
      <c r="K760">
        <v>13.76</v>
      </c>
      <c r="L760">
        <v>13.99</v>
      </c>
      <c r="M760">
        <v>13.28</v>
      </c>
      <c r="N760">
        <v>14.22</v>
      </c>
      <c r="O760">
        <v>10.72</v>
      </c>
      <c r="P760">
        <v>14.06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3">
      <c r="C761" t="s">
        <v>401</v>
      </c>
      <c r="D761">
        <v>-1.52</v>
      </c>
      <c r="E761">
        <v>-1.57</v>
      </c>
      <c r="F761">
        <v>-1.51</v>
      </c>
      <c r="G761">
        <v>-1.51</v>
      </c>
      <c r="H761">
        <v>-1.48</v>
      </c>
      <c r="I761">
        <v>-1.1200000000000001</v>
      </c>
      <c r="J761">
        <v>-1.37</v>
      </c>
      <c r="K761">
        <v>-1.4</v>
      </c>
      <c r="L761">
        <v>-1.41</v>
      </c>
      <c r="M761">
        <v>-1.22</v>
      </c>
      <c r="N761">
        <v>-1.3</v>
      </c>
      <c r="O761">
        <v>-0.91</v>
      </c>
      <c r="P761">
        <v>-1.39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3" spans="1:51" x14ac:dyDescent="0.3">
      <c r="A763" t="s">
        <v>518</v>
      </c>
      <c r="B763">
        <v>15.2</v>
      </c>
      <c r="C763" t="s">
        <v>400</v>
      </c>
      <c r="D763">
        <v>13.46</v>
      </c>
      <c r="E763">
        <v>15.19</v>
      </c>
      <c r="F763">
        <v>13.56</v>
      </c>
      <c r="G763">
        <v>13.81</v>
      </c>
      <c r="H763">
        <v>14.62</v>
      </c>
      <c r="I763">
        <v>14.33</v>
      </c>
      <c r="J763">
        <v>13.15</v>
      </c>
      <c r="K763">
        <v>13.17</v>
      </c>
      <c r="L763">
        <v>13.86</v>
      </c>
      <c r="M763">
        <v>14.43</v>
      </c>
      <c r="N763">
        <v>13.65</v>
      </c>
      <c r="O763">
        <v>13.54</v>
      </c>
      <c r="P763">
        <v>12.74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3">
      <c r="C764" t="s">
        <v>401</v>
      </c>
      <c r="D764">
        <v>-1.42</v>
      </c>
      <c r="E764">
        <v>-1.68</v>
      </c>
      <c r="F764">
        <v>-1.34</v>
      </c>
      <c r="G764">
        <v>-1.47</v>
      </c>
      <c r="H764">
        <v>-1.42</v>
      </c>
      <c r="I764">
        <v>-1.45</v>
      </c>
      <c r="J764">
        <v>-1.34</v>
      </c>
      <c r="K764">
        <v>-1.38</v>
      </c>
      <c r="L764">
        <v>-1.17</v>
      </c>
      <c r="M764">
        <v>-1.42</v>
      </c>
      <c r="N764">
        <v>-1.25</v>
      </c>
      <c r="O764">
        <v>-1.2</v>
      </c>
      <c r="P764">
        <v>-0.99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6" spans="1:51" x14ac:dyDescent="0.3">
      <c r="A766" t="s">
        <v>519</v>
      </c>
      <c r="B766">
        <v>15.2</v>
      </c>
      <c r="C766" t="s">
        <v>400</v>
      </c>
      <c r="D766">
        <v>14.51</v>
      </c>
      <c r="E766">
        <v>13.12</v>
      </c>
      <c r="F766">
        <v>13.65</v>
      </c>
      <c r="G766">
        <v>13.55</v>
      </c>
      <c r="H766">
        <v>14.54</v>
      </c>
      <c r="I766">
        <v>14.88</v>
      </c>
      <c r="J766">
        <v>13.68</v>
      </c>
      <c r="K766">
        <v>14.2</v>
      </c>
      <c r="L766">
        <v>14.26</v>
      </c>
      <c r="M766">
        <v>15.5</v>
      </c>
      <c r="N766">
        <v>14.36</v>
      </c>
      <c r="O766">
        <v>13.44</v>
      </c>
      <c r="P766">
        <v>14.43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 x14ac:dyDescent="0.3">
      <c r="C767" t="s">
        <v>401</v>
      </c>
      <c r="D767">
        <v>-1.73</v>
      </c>
      <c r="E767">
        <v>-1.6</v>
      </c>
      <c r="F767">
        <v>-1.53</v>
      </c>
      <c r="G767">
        <v>-1.52</v>
      </c>
      <c r="H767">
        <v>-1.67</v>
      </c>
      <c r="I767">
        <v>-1.58</v>
      </c>
      <c r="J767">
        <v>-1.65</v>
      </c>
      <c r="K767">
        <v>-1.55</v>
      </c>
      <c r="L767">
        <v>-1.57</v>
      </c>
      <c r="M767">
        <v>-1.75</v>
      </c>
      <c r="N767">
        <v>-1.44</v>
      </c>
      <c r="O767">
        <v>-1.35</v>
      </c>
      <c r="P767">
        <v>-1.51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9" spans="1:51" x14ac:dyDescent="0.3">
      <c r="A769" t="s">
        <v>520</v>
      </c>
      <c r="B769">
        <v>15.2</v>
      </c>
      <c r="C769" t="s">
        <v>400</v>
      </c>
      <c r="D769">
        <v>11.83</v>
      </c>
      <c r="E769">
        <v>13.03</v>
      </c>
      <c r="F769">
        <v>13.55</v>
      </c>
      <c r="G769">
        <v>13.08</v>
      </c>
      <c r="H769">
        <v>12.9</v>
      </c>
      <c r="I769">
        <v>13.64</v>
      </c>
      <c r="J769">
        <v>13.49</v>
      </c>
      <c r="K769">
        <v>13.82</v>
      </c>
      <c r="L769">
        <v>13.56</v>
      </c>
      <c r="M769">
        <v>13.64</v>
      </c>
      <c r="N769">
        <v>13.17</v>
      </c>
      <c r="O769">
        <v>7.56</v>
      </c>
      <c r="P769">
        <v>13.76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 x14ac:dyDescent="0.3">
      <c r="C770" t="s">
        <v>401</v>
      </c>
      <c r="D770">
        <v>-1.54</v>
      </c>
      <c r="E770">
        <v>-1.78</v>
      </c>
      <c r="F770">
        <v>-1.75</v>
      </c>
      <c r="G770">
        <v>-1.72</v>
      </c>
      <c r="H770">
        <v>-1.61</v>
      </c>
      <c r="I770">
        <v>-1.68</v>
      </c>
      <c r="J770">
        <v>-1.69</v>
      </c>
      <c r="K770">
        <v>-1.71</v>
      </c>
      <c r="L770">
        <v>-1.68</v>
      </c>
      <c r="M770">
        <v>-1.73</v>
      </c>
      <c r="N770">
        <v>-1.46</v>
      </c>
      <c r="O770">
        <v>-0.67</v>
      </c>
      <c r="P770">
        <v>-1.56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2" spans="1:51" x14ac:dyDescent="0.3">
      <c r="A772" t="s">
        <v>521</v>
      </c>
      <c r="B772">
        <v>15.2</v>
      </c>
      <c r="C772" t="s">
        <v>400</v>
      </c>
      <c r="D772">
        <v>14.55</v>
      </c>
      <c r="E772">
        <v>14.79</v>
      </c>
      <c r="F772">
        <v>13.96</v>
      </c>
      <c r="G772">
        <v>14.64</v>
      </c>
      <c r="H772">
        <v>14.03</v>
      </c>
      <c r="I772">
        <v>13.8</v>
      </c>
      <c r="J772">
        <v>14.5</v>
      </c>
      <c r="K772">
        <v>14.02</v>
      </c>
      <c r="L772">
        <v>14.1</v>
      </c>
      <c r="M772">
        <v>14.44</v>
      </c>
      <c r="N772">
        <v>13.23</v>
      </c>
      <c r="O772">
        <v>13.06</v>
      </c>
      <c r="P772">
        <v>14.47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 x14ac:dyDescent="0.3">
      <c r="C773" t="s">
        <v>401</v>
      </c>
      <c r="D773">
        <v>-1.85</v>
      </c>
      <c r="E773">
        <v>-1.79</v>
      </c>
      <c r="F773">
        <v>-1.8</v>
      </c>
      <c r="G773">
        <v>-1.74</v>
      </c>
      <c r="H773">
        <v>-1.56</v>
      </c>
      <c r="I773">
        <v>-1.66</v>
      </c>
      <c r="J773">
        <v>-1.71</v>
      </c>
      <c r="K773">
        <v>-1.66</v>
      </c>
      <c r="L773">
        <v>-1.61</v>
      </c>
      <c r="M773">
        <v>-1.63</v>
      </c>
      <c r="N773">
        <v>-1.42</v>
      </c>
      <c r="O773">
        <v>-1.37</v>
      </c>
      <c r="P773">
        <v>-1.65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5" spans="1:51" x14ac:dyDescent="0.3">
      <c r="A775" t="s">
        <v>522</v>
      </c>
      <c r="B775">
        <v>15.2</v>
      </c>
      <c r="C775" t="s">
        <v>400</v>
      </c>
      <c r="D775">
        <v>13.53</v>
      </c>
      <c r="E775">
        <v>13.03</v>
      </c>
      <c r="F775">
        <v>12.45</v>
      </c>
      <c r="G775">
        <v>13.21</v>
      </c>
      <c r="H775">
        <v>12.91</v>
      </c>
      <c r="I775">
        <v>13.5</v>
      </c>
      <c r="J775">
        <v>13.05</v>
      </c>
      <c r="K775">
        <v>12.8</v>
      </c>
      <c r="L775">
        <v>12.6</v>
      </c>
      <c r="M775">
        <v>11.99</v>
      </c>
      <c r="N775">
        <v>12.54</v>
      </c>
      <c r="O775">
        <v>13.72</v>
      </c>
      <c r="P775">
        <v>13.24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 x14ac:dyDescent="0.3">
      <c r="C776" t="s">
        <v>401</v>
      </c>
      <c r="D776">
        <v>-1.52</v>
      </c>
      <c r="E776">
        <v>-1.37</v>
      </c>
      <c r="F776">
        <v>-1.39</v>
      </c>
      <c r="G776">
        <v>-1.35</v>
      </c>
      <c r="H776">
        <v>-1.19</v>
      </c>
      <c r="I776">
        <v>-1.31</v>
      </c>
      <c r="J776">
        <v>-1.29</v>
      </c>
      <c r="K776">
        <v>-1.28</v>
      </c>
      <c r="L776">
        <v>-1.28</v>
      </c>
      <c r="M776">
        <v>-1.1299999999999999</v>
      </c>
      <c r="N776">
        <v>-1.05</v>
      </c>
      <c r="O776">
        <v>-1.1299999999999999</v>
      </c>
      <c r="P776">
        <v>-1.27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8" spans="1:51" x14ac:dyDescent="0.3">
      <c r="A778" t="s">
        <v>523</v>
      </c>
      <c r="B778">
        <v>15.2</v>
      </c>
      <c r="C778" t="s">
        <v>400</v>
      </c>
      <c r="D778">
        <v>14.29</v>
      </c>
      <c r="E778">
        <v>12.33</v>
      </c>
      <c r="F778">
        <v>13.21</v>
      </c>
      <c r="G778">
        <v>13.29</v>
      </c>
      <c r="H778">
        <v>12.05</v>
      </c>
      <c r="I778">
        <v>13.29</v>
      </c>
      <c r="J778">
        <v>13.08</v>
      </c>
      <c r="K778">
        <v>12.95</v>
      </c>
      <c r="L778">
        <v>13.16</v>
      </c>
      <c r="M778">
        <v>13.18</v>
      </c>
      <c r="N778">
        <v>13.53</v>
      </c>
      <c r="O778">
        <v>13.03</v>
      </c>
      <c r="P778">
        <v>13.31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 x14ac:dyDescent="0.3">
      <c r="C779" t="s">
        <v>401</v>
      </c>
      <c r="D779">
        <v>-1.72</v>
      </c>
      <c r="E779">
        <v>-1.54</v>
      </c>
      <c r="F779">
        <v>-1.68</v>
      </c>
      <c r="G779">
        <v>-1.47</v>
      </c>
      <c r="H779">
        <v>-1.42</v>
      </c>
      <c r="I779">
        <v>-1.57</v>
      </c>
      <c r="J779">
        <v>-1.49</v>
      </c>
      <c r="K779">
        <v>-1.48</v>
      </c>
      <c r="L779">
        <v>-1.57</v>
      </c>
      <c r="M779">
        <v>-1.52</v>
      </c>
      <c r="N779">
        <v>-1.45</v>
      </c>
      <c r="O779">
        <v>-1.47</v>
      </c>
      <c r="P779">
        <v>-1.5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1" spans="1:51" x14ac:dyDescent="0.3">
      <c r="A781" t="s">
        <v>524</v>
      </c>
      <c r="B781">
        <v>15.2</v>
      </c>
      <c r="C781" t="s">
        <v>400</v>
      </c>
      <c r="D781">
        <v>15.14</v>
      </c>
      <c r="E781">
        <v>14.98</v>
      </c>
      <c r="F781">
        <v>14.86</v>
      </c>
      <c r="G781">
        <v>15.26</v>
      </c>
      <c r="H781">
        <v>14.61</v>
      </c>
      <c r="I781">
        <v>13.31</v>
      </c>
      <c r="J781">
        <v>14.45</v>
      </c>
      <c r="K781">
        <v>14.21</v>
      </c>
      <c r="L781">
        <v>14.58</v>
      </c>
      <c r="M781">
        <v>14.4</v>
      </c>
      <c r="N781">
        <v>14.92</v>
      </c>
      <c r="O781">
        <v>14.51</v>
      </c>
      <c r="P781">
        <v>13.76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 x14ac:dyDescent="0.3">
      <c r="C782" t="s">
        <v>401</v>
      </c>
      <c r="D782">
        <v>-1.8</v>
      </c>
      <c r="E782">
        <v>-1.8</v>
      </c>
      <c r="F782">
        <v>-1.77</v>
      </c>
      <c r="G782">
        <v>-1.69</v>
      </c>
      <c r="H782">
        <v>-1.6</v>
      </c>
      <c r="I782">
        <v>-1.37</v>
      </c>
      <c r="J782">
        <v>-1.66</v>
      </c>
      <c r="K782">
        <v>-1.63</v>
      </c>
      <c r="L782">
        <v>-1.66</v>
      </c>
      <c r="M782">
        <v>-1.59</v>
      </c>
      <c r="N782">
        <v>-1.49</v>
      </c>
      <c r="O782">
        <v>-1.55</v>
      </c>
      <c r="P782">
        <v>-1.47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4" spans="1:51" x14ac:dyDescent="0.3">
      <c r="A784" t="s">
        <v>525</v>
      </c>
      <c r="B784">
        <v>15.2</v>
      </c>
      <c r="C784" t="s">
        <v>400</v>
      </c>
      <c r="D784">
        <v>14</v>
      </c>
      <c r="E784">
        <v>14.09</v>
      </c>
      <c r="F784">
        <v>14.28</v>
      </c>
      <c r="G784">
        <v>14.43</v>
      </c>
      <c r="H784">
        <v>14.24</v>
      </c>
      <c r="I784">
        <v>13.23</v>
      </c>
      <c r="J784">
        <v>13.48</v>
      </c>
      <c r="K784">
        <v>13.54</v>
      </c>
      <c r="L784">
        <v>13.26</v>
      </c>
      <c r="M784">
        <v>13.4</v>
      </c>
      <c r="N784">
        <v>13.46</v>
      </c>
      <c r="O784">
        <v>13.73</v>
      </c>
      <c r="P784">
        <v>14.03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 x14ac:dyDescent="0.3">
      <c r="C785" t="s">
        <v>401</v>
      </c>
      <c r="D785">
        <v>-1.19</v>
      </c>
      <c r="E785">
        <v>-1.18</v>
      </c>
      <c r="F785">
        <v>-1.27</v>
      </c>
      <c r="G785">
        <v>-1.1299999999999999</v>
      </c>
      <c r="H785">
        <v>-0.98</v>
      </c>
      <c r="I785">
        <v>-1.08</v>
      </c>
      <c r="J785">
        <v>-1.03</v>
      </c>
      <c r="K785">
        <v>-1.07</v>
      </c>
      <c r="L785">
        <v>-0.9</v>
      </c>
      <c r="M785">
        <v>-0.97</v>
      </c>
      <c r="N785">
        <v>-0.97</v>
      </c>
      <c r="O785">
        <v>-0.81</v>
      </c>
      <c r="P785">
        <v>-0.97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7" spans="1:51" x14ac:dyDescent="0.3">
      <c r="A787" t="s">
        <v>388</v>
      </c>
      <c r="B787">
        <v>125</v>
      </c>
      <c r="C787" t="s">
        <v>400</v>
      </c>
      <c r="D787">
        <v>125.99</v>
      </c>
      <c r="E787">
        <v>124.27</v>
      </c>
      <c r="F787">
        <v>124.68</v>
      </c>
      <c r="G787">
        <v>97.88</v>
      </c>
      <c r="H787">
        <v>62.92</v>
      </c>
      <c r="I787">
        <v>62.71</v>
      </c>
      <c r="J787">
        <v>62.86</v>
      </c>
      <c r="K787">
        <v>62.68</v>
      </c>
      <c r="L787">
        <v>62.93</v>
      </c>
      <c r="M787">
        <v>63.58</v>
      </c>
      <c r="N787">
        <v>70.069999999999993</v>
      </c>
      <c r="O787">
        <v>70.099999999999994</v>
      </c>
      <c r="P787">
        <v>69.11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 x14ac:dyDescent="0.3">
      <c r="C788" t="s">
        <v>401</v>
      </c>
      <c r="D788">
        <v>11.71</v>
      </c>
      <c r="E788">
        <v>11.76</v>
      </c>
      <c r="F788">
        <v>10.9</v>
      </c>
      <c r="G788">
        <v>15.6</v>
      </c>
      <c r="H788">
        <v>23.06</v>
      </c>
      <c r="I788">
        <v>23.01</v>
      </c>
      <c r="J788">
        <v>22.95</v>
      </c>
      <c r="K788">
        <v>22.07</v>
      </c>
      <c r="L788">
        <v>22.29</v>
      </c>
      <c r="M788">
        <v>23.78</v>
      </c>
      <c r="N788">
        <v>28.83</v>
      </c>
      <c r="O788">
        <v>27.4</v>
      </c>
      <c r="P788">
        <v>28.16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90" spans="1:51" x14ac:dyDescent="0.3">
      <c r="A790" t="s">
        <v>389</v>
      </c>
      <c r="B790">
        <v>125</v>
      </c>
      <c r="C790" t="s">
        <v>400</v>
      </c>
      <c r="D790">
        <v>123.21</v>
      </c>
      <c r="E790">
        <v>124.7</v>
      </c>
      <c r="F790">
        <v>124.49</v>
      </c>
      <c r="G790">
        <v>95.01</v>
      </c>
      <c r="H790">
        <v>61.78</v>
      </c>
      <c r="I790">
        <v>61.89</v>
      </c>
      <c r="J790">
        <v>62.75</v>
      </c>
      <c r="K790">
        <v>61.42</v>
      </c>
      <c r="L790">
        <v>61.88</v>
      </c>
      <c r="M790">
        <v>63.04</v>
      </c>
      <c r="N790">
        <v>68.430000000000007</v>
      </c>
      <c r="O790">
        <v>69.2</v>
      </c>
      <c r="P790">
        <v>68.95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 x14ac:dyDescent="0.3">
      <c r="C791" t="s">
        <v>401</v>
      </c>
      <c r="D791">
        <v>15.04</v>
      </c>
      <c r="E791">
        <v>14.66</v>
      </c>
      <c r="F791">
        <v>13.77</v>
      </c>
      <c r="G791">
        <v>19.21</v>
      </c>
      <c r="H791">
        <v>26.19</v>
      </c>
      <c r="I791">
        <v>23.83</v>
      </c>
      <c r="J791">
        <v>23.65</v>
      </c>
      <c r="K791">
        <v>22.99</v>
      </c>
      <c r="L791">
        <v>23.13</v>
      </c>
      <c r="M791">
        <v>24.4</v>
      </c>
      <c r="N791">
        <v>29.6</v>
      </c>
      <c r="O791">
        <v>29.2</v>
      </c>
      <c r="P791">
        <v>29.08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3" spans="1:51" x14ac:dyDescent="0.3">
      <c r="A793" t="s">
        <v>390</v>
      </c>
      <c r="B793">
        <v>130</v>
      </c>
      <c r="C793" t="s">
        <v>400</v>
      </c>
      <c r="D793">
        <v>131.41999999999999</v>
      </c>
      <c r="E793">
        <v>130.06</v>
      </c>
      <c r="F793">
        <v>129.54</v>
      </c>
      <c r="G793">
        <v>100.72</v>
      </c>
      <c r="H793">
        <v>63.83</v>
      </c>
      <c r="I793">
        <v>66.09</v>
      </c>
      <c r="J793">
        <v>65.48</v>
      </c>
      <c r="K793">
        <v>66.23</v>
      </c>
      <c r="L793">
        <v>66.48</v>
      </c>
      <c r="M793">
        <v>65.599999999999994</v>
      </c>
      <c r="N793">
        <v>69.44</v>
      </c>
      <c r="O793">
        <v>71.099999999999994</v>
      </c>
      <c r="P793">
        <v>69.48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3">
      <c r="C794" t="s">
        <v>401</v>
      </c>
      <c r="D794">
        <v>12.28</v>
      </c>
      <c r="E794">
        <v>12.56</v>
      </c>
      <c r="F794">
        <v>11.41</v>
      </c>
      <c r="G794">
        <v>16.84</v>
      </c>
      <c r="H794">
        <v>24.49</v>
      </c>
      <c r="I794">
        <v>24.07</v>
      </c>
      <c r="J794">
        <v>24.03</v>
      </c>
      <c r="K794">
        <v>23.17</v>
      </c>
      <c r="L794">
        <v>23.36</v>
      </c>
      <c r="M794">
        <v>24.91</v>
      </c>
      <c r="N794">
        <v>30.11</v>
      </c>
      <c r="O794">
        <v>29.24</v>
      </c>
      <c r="P794">
        <v>29.71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6" spans="1:51" x14ac:dyDescent="0.3">
      <c r="A796" t="s">
        <v>391</v>
      </c>
      <c r="B796">
        <v>0</v>
      </c>
      <c r="C796" t="s">
        <v>400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3">
      <c r="C797" t="s">
        <v>401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9" spans="1:51" x14ac:dyDescent="0.3">
      <c r="A799" t="s">
        <v>392</v>
      </c>
      <c r="B799">
        <v>0</v>
      </c>
      <c r="C799" t="s">
        <v>400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 x14ac:dyDescent="0.3">
      <c r="C800" t="s">
        <v>401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2" spans="1:51" x14ac:dyDescent="0.3">
      <c r="A802" t="s">
        <v>393</v>
      </c>
      <c r="B802">
        <v>22.2</v>
      </c>
      <c r="C802" t="s">
        <v>400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0.36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3">
      <c r="C803" t="s">
        <v>401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5" spans="1:51" x14ac:dyDescent="0.3">
      <c r="A805" t="s">
        <v>394</v>
      </c>
      <c r="B805">
        <v>0</v>
      </c>
      <c r="C805" t="s">
        <v>400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 x14ac:dyDescent="0.3">
      <c r="C806" t="s">
        <v>401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-0.25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8" spans="1:51" x14ac:dyDescent="0.3">
      <c r="A808" t="s">
        <v>395</v>
      </c>
      <c r="B808">
        <v>0</v>
      </c>
      <c r="C808" t="s">
        <v>400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 x14ac:dyDescent="0.3">
      <c r="C809" t="s">
        <v>401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1" spans="1:51" x14ac:dyDescent="0.3">
      <c r="A811" t="s">
        <v>526</v>
      </c>
      <c r="C811" t="s">
        <v>400</v>
      </c>
      <c r="D811">
        <v>25769.991600000001</v>
      </c>
      <c r="E811">
        <v>25584.016930000002</v>
      </c>
      <c r="F811">
        <v>25537.851569999999</v>
      </c>
      <c r="G811">
        <v>25071.245050000001</v>
      </c>
      <c r="H811">
        <v>24736.351910000001</v>
      </c>
      <c r="I811">
        <v>24638.512409999999</v>
      </c>
      <c r="J811">
        <v>24647.777699999999</v>
      </c>
      <c r="K811">
        <v>24753.528780000001</v>
      </c>
      <c r="L811">
        <v>25598.01585</v>
      </c>
      <c r="M811">
        <v>26187.242109999999</v>
      </c>
      <c r="N811">
        <v>26775.360000000001</v>
      </c>
      <c r="O811">
        <v>550.97</v>
      </c>
      <c r="P811">
        <v>559.63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 x14ac:dyDescent="0.3">
      <c r="A812" t="s">
        <v>526</v>
      </c>
      <c r="C812" t="s">
        <v>401</v>
      </c>
      <c r="D812">
        <v>-1223.77736</v>
      </c>
      <c r="E812">
        <v>-1372.61942</v>
      </c>
      <c r="F812">
        <v>-1397.4958200000001</v>
      </c>
      <c r="G812">
        <v>-1487.50756</v>
      </c>
      <c r="H812">
        <v>-1594.82501</v>
      </c>
      <c r="I812">
        <v>-1816.84348</v>
      </c>
      <c r="J812">
        <v>-1826.23731</v>
      </c>
      <c r="K812">
        <v>-1699.6154799999999</v>
      </c>
      <c r="L812">
        <v>-1173.6156100000001</v>
      </c>
      <c r="M812">
        <v>-830.95564000000002</v>
      </c>
      <c r="N812">
        <v>-369.23</v>
      </c>
      <c r="O812">
        <v>107.11</v>
      </c>
      <c r="P812">
        <v>82.51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9"/>
  <sheetViews>
    <sheetView topLeftCell="A3" workbookViewId="0">
      <selection activeCell="C23" sqref="C23"/>
    </sheetView>
  </sheetViews>
  <sheetFormatPr defaultRowHeight="14.4" x14ac:dyDescent="0.3"/>
  <cols>
    <col min="3" max="3" width="14.88671875" customWidth="1"/>
    <col min="4" max="4" width="19.109375" bestFit="1" customWidth="1"/>
  </cols>
  <sheetData>
    <row r="1" spans="1:11" x14ac:dyDescent="0.3">
      <c r="A1" s="4" t="s">
        <v>29</v>
      </c>
      <c r="F1" t="s">
        <v>527</v>
      </c>
      <c r="G1" t="s">
        <v>64</v>
      </c>
      <c r="H1" t="s">
        <v>528</v>
      </c>
    </row>
    <row r="2" spans="1:11" x14ac:dyDescent="0.3">
      <c r="A2" t="s">
        <v>529</v>
      </c>
      <c r="F2" t="s">
        <v>530</v>
      </c>
      <c r="G2" t="s">
        <v>531</v>
      </c>
      <c r="H2" t="s">
        <v>532</v>
      </c>
    </row>
    <row r="3" spans="1:11" x14ac:dyDescent="0.3">
      <c r="F3" t="s">
        <v>533</v>
      </c>
      <c r="G3" t="s">
        <v>534</v>
      </c>
      <c r="H3" t="s">
        <v>535</v>
      </c>
    </row>
    <row r="4" spans="1:11" x14ac:dyDescent="0.3">
      <c r="B4" t="s">
        <v>536</v>
      </c>
      <c r="C4" t="s">
        <v>537</v>
      </c>
      <c r="D4" t="s">
        <v>538</v>
      </c>
    </row>
    <row r="5" spans="1:11" x14ac:dyDescent="0.3">
      <c r="A5">
        <v>0.3</v>
      </c>
      <c r="B5">
        <v>15000</v>
      </c>
      <c r="C5">
        <v>17000</v>
      </c>
      <c r="D5">
        <f>SUM(B5:C5)</f>
        <v>32000</v>
      </c>
      <c r="E5" t="s">
        <v>539</v>
      </c>
    </row>
    <row r="6" spans="1:11" x14ac:dyDescent="0.3">
      <c r="A6">
        <v>1</v>
      </c>
    </row>
    <row r="7" spans="1:11" x14ac:dyDescent="0.3">
      <c r="A7">
        <v>1.7</v>
      </c>
      <c r="G7" t="s">
        <v>540</v>
      </c>
      <c r="H7" t="s">
        <v>541</v>
      </c>
      <c r="I7" t="s">
        <v>542</v>
      </c>
    </row>
    <row r="8" spans="1:11" x14ac:dyDescent="0.3">
      <c r="A8">
        <v>2.4</v>
      </c>
      <c r="G8">
        <f>31*4</f>
        <v>124</v>
      </c>
      <c r="H8">
        <v>17</v>
      </c>
      <c r="I8">
        <f>G8-H8</f>
        <v>107</v>
      </c>
      <c r="J8">
        <f>G8/31</f>
        <v>4</v>
      </c>
      <c r="K8" t="s">
        <v>543</v>
      </c>
    </row>
    <row r="9" spans="1:11" x14ac:dyDescent="0.3">
      <c r="A9">
        <v>3.1</v>
      </c>
      <c r="G9">
        <f>31*3</f>
        <v>93</v>
      </c>
      <c r="H9">
        <v>17</v>
      </c>
      <c r="I9">
        <f>G9-H9</f>
        <v>76</v>
      </c>
      <c r="K9" t="s">
        <v>544</v>
      </c>
    </row>
    <row r="10" spans="1:11" x14ac:dyDescent="0.3">
      <c r="A10">
        <v>3.8</v>
      </c>
      <c r="G10">
        <f>75+17</f>
        <v>92</v>
      </c>
      <c r="H10">
        <f>G10/3</f>
        <v>30.666666666666668</v>
      </c>
    </row>
    <row r="11" spans="1:11" x14ac:dyDescent="0.3">
      <c r="A11">
        <v>4.5</v>
      </c>
    </row>
    <row r="12" spans="1:11" x14ac:dyDescent="0.3">
      <c r="A12">
        <v>5.2</v>
      </c>
    </row>
    <row r="13" spans="1:11" x14ac:dyDescent="0.3">
      <c r="A13">
        <v>5.9</v>
      </c>
    </row>
    <row r="14" spans="1:11" x14ac:dyDescent="0.3">
      <c r="A14">
        <v>6.6</v>
      </c>
    </row>
    <row r="15" spans="1:11" x14ac:dyDescent="0.3">
      <c r="A15" t="s">
        <v>545</v>
      </c>
      <c r="B15">
        <v>18</v>
      </c>
    </row>
    <row r="16" spans="1:11" x14ac:dyDescent="0.3">
      <c r="A16" t="s">
        <v>546</v>
      </c>
    </row>
    <row r="17" spans="1:8" x14ac:dyDescent="0.3">
      <c r="A17" t="s">
        <v>547</v>
      </c>
      <c r="E17" t="s">
        <v>548</v>
      </c>
    </row>
    <row r="18" spans="1:8" x14ac:dyDescent="0.3">
      <c r="A18" t="s">
        <v>549</v>
      </c>
    </row>
    <row r="20" spans="1:8" x14ac:dyDescent="0.3">
      <c r="A20" s="4" t="s">
        <v>550</v>
      </c>
      <c r="B20" t="s">
        <v>551</v>
      </c>
      <c r="C20" t="s">
        <v>552</v>
      </c>
      <c r="D20" t="s">
        <v>553</v>
      </c>
      <c r="F20" t="s">
        <v>554</v>
      </c>
      <c r="G20" t="s">
        <v>555</v>
      </c>
    </row>
    <row r="21" spans="1:8" x14ac:dyDescent="0.3">
      <c r="A21" t="s">
        <v>556</v>
      </c>
      <c r="B21">
        <v>1</v>
      </c>
      <c r="C21">
        <v>14</v>
      </c>
      <c r="D21">
        <f>14*B21</f>
        <v>14</v>
      </c>
      <c r="E21" t="s">
        <v>557</v>
      </c>
      <c r="F21" t="s">
        <v>558</v>
      </c>
      <c r="G21" t="s">
        <v>559</v>
      </c>
    </row>
    <row r="22" spans="1:8" x14ac:dyDescent="0.3">
      <c r="B22">
        <v>2</v>
      </c>
      <c r="C22">
        <v>60</v>
      </c>
      <c r="D22">
        <f>14*B22</f>
        <v>28</v>
      </c>
      <c r="F22">
        <v>72</v>
      </c>
      <c r="G22" t="s">
        <v>560</v>
      </c>
    </row>
    <row r="23" spans="1:8" x14ac:dyDescent="0.3">
      <c r="B23">
        <v>3</v>
      </c>
      <c r="C23">
        <v>120</v>
      </c>
      <c r="D23">
        <f>14*B23</f>
        <v>42</v>
      </c>
      <c r="F23">
        <f>F22+58</f>
        <v>130</v>
      </c>
      <c r="G23" t="s">
        <v>561</v>
      </c>
    </row>
    <row r="24" spans="1:8" x14ac:dyDescent="0.3">
      <c r="B24">
        <v>4</v>
      </c>
      <c r="C24">
        <v>180</v>
      </c>
      <c r="D24">
        <f>14*B24</f>
        <v>56</v>
      </c>
      <c r="F24">
        <f>F23+55</f>
        <v>185</v>
      </c>
      <c r="G24" t="s">
        <v>562</v>
      </c>
    </row>
    <row r="25" spans="1:8" x14ac:dyDescent="0.3">
      <c r="A25" t="s">
        <v>563</v>
      </c>
      <c r="B25" t="s">
        <v>564</v>
      </c>
      <c r="G25" t="s">
        <v>565</v>
      </c>
    </row>
    <row r="27" spans="1:8" x14ac:dyDescent="0.3">
      <c r="A27" s="4" t="s">
        <v>566</v>
      </c>
    </row>
    <row r="28" spans="1:8" x14ac:dyDescent="0.3">
      <c r="A28" t="s">
        <v>556</v>
      </c>
      <c r="B28" t="s">
        <v>567</v>
      </c>
      <c r="C28">
        <v>10</v>
      </c>
      <c r="F28" t="s">
        <v>568</v>
      </c>
      <c r="G28">
        <v>80</v>
      </c>
      <c r="H28">
        <v>125</v>
      </c>
    </row>
    <row r="29" spans="1:8" x14ac:dyDescent="0.3">
      <c r="B29" t="s">
        <v>569</v>
      </c>
      <c r="C29">
        <v>100</v>
      </c>
      <c r="F29" t="s">
        <v>570</v>
      </c>
      <c r="G29">
        <v>150</v>
      </c>
      <c r="H29">
        <v>235</v>
      </c>
    </row>
    <row r="30" spans="1:8" x14ac:dyDescent="0.3">
      <c r="C30" t="s">
        <v>571</v>
      </c>
    </row>
    <row r="31" spans="1:8" x14ac:dyDescent="0.3">
      <c r="A31" t="s">
        <v>572</v>
      </c>
      <c r="C31" t="s">
        <v>573</v>
      </c>
    </row>
    <row r="33" spans="1:5" x14ac:dyDescent="0.3">
      <c r="A33" s="4" t="s">
        <v>574</v>
      </c>
      <c r="C33" t="s">
        <v>575</v>
      </c>
      <c r="D33" t="s">
        <v>576</v>
      </c>
      <c r="E33" t="s">
        <v>557</v>
      </c>
    </row>
    <row r="34" spans="1:5" x14ac:dyDescent="0.3">
      <c r="A34" t="s">
        <v>577</v>
      </c>
      <c r="B34" t="s">
        <v>578</v>
      </c>
      <c r="C34" t="s">
        <v>579</v>
      </c>
      <c r="D34">
        <v>1.03</v>
      </c>
      <c r="E34">
        <f>D34*LEFT(C34,2)</f>
        <v>87.55</v>
      </c>
    </row>
    <row r="35" spans="1:5" x14ac:dyDescent="0.3">
      <c r="A35" t="s">
        <v>580</v>
      </c>
      <c r="B35" t="s">
        <v>581</v>
      </c>
      <c r="C35">
        <v>55</v>
      </c>
      <c r="D35">
        <v>1.03</v>
      </c>
      <c r="E35">
        <f>D35*LEFT(C35,2)</f>
        <v>56.65</v>
      </c>
    </row>
    <row r="36" spans="1:5" x14ac:dyDescent="0.3">
      <c r="A36" t="s">
        <v>582</v>
      </c>
      <c r="B36" t="s">
        <v>583</v>
      </c>
      <c r="C36">
        <v>85</v>
      </c>
      <c r="D36">
        <v>1.03</v>
      </c>
      <c r="E36">
        <f>D36*LEFT(C36,2)</f>
        <v>87.55</v>
      </c>
    </row>
    <row r="39" spans="1:5" x14ac:dyDescent="0.3">
      <c r="A39" t="s">
        <v>584</v>
      </c>
    </row>
    <row r="40" spans="1:5" x14ac:dyDescent="0.3">
      <c r="A40" t="s">
        <v>585</v>
      </c>
    </row>
    <row r="42" spans="1:5" x14ac:dyDescent="0.3">
      <c r="A42" t="s">
        <v>586</v>
      </c>
    </row>
    <row r="43" spans="1:5" x14ac:dyDescent="0.3">
      <c r="A43" t="s">
        <v>587</v>
      </c>
      <c r="B43">
        <v>530</v>
      </c>
    </row>
    <row r="45" spans="1:5" x14ac:dyDescent="0.3">
      <c r="A45" t="s">
        <v>588</v>
      </c>
    </row>
    <row r="46" spans="1:5" x14ac:dyDescent="0.3">
      <c r="A46" t="s">
        <v>589</v>
      </c>
      <c r="B46">
        <v>300</v>
      </c>
      <c r="C46">
        <v>100</v>
      </c>
      <c r="D46">
        <v>50</v>
      </c>
    </row>
    <row r="48" spans="1:5" x14ac:dyDescent="0.3">
      <c r="A48" t="s">
        <v>101</v>
      </c>
    </row>
    <row r="49" spans="1:2" x14ac:dyDescent="0.3">
      <c r="A49" t="s">
        <v>545</v>
      </c>
      <c r="B49">
        <v>16</v>
      </c>
    </row>
    <row r="50" spans="1:2" x14ac:dyDescent="0.3">
      <c r="A50" t="s">
        <v>590</v>
      </c>
    </row>
    <row r="51" spans="1:2" x14ac:dyDescent="0.3">
      <c r="A51" t="s">
        <v>545</v>
      </c>
      <c r="B51">
        <v>24</v>
      </c>
    </row>
    <row r="54" spans="1:2" x14ac:dyDescent="0.3">
      <c r="A54" t="s">
        <v>591</v>
      </c>
      <c r="B54" t="s">
        <v>592</v>
      </c>
    </row>
    <row r="55" spans="1:2" x14ac:dyDescent="0.3">
      <c r="A55" t="s">
        <v>593</v>
      </c>
      <c r="B55" t="s">
        <v>594</v>
      </c>
    </row>
    <row r="56" spans="1:2" x14ac:dyDescent="0.3">
      <c r="A56" t="s">
        <v>595</v>
      </c>
      <c r="B56" t="s">
        <v>596</v>
      </c>
    </row>
    <row r="57" spans="1:2" x14ac:dyDescent="0.3">
      <c r="A57" t="s">
        <v>597</v>
      </c>
      <c r="B57" t="s">
        <v>598</v>
      </c>
    </row>
    <row r="60" spans="1:2" x14ac:dyDescent="0.3">
      <c r="A60" t="s">
        <v>599</v>
      </c>
    </row>
    <row r="61" spans="1:2" x14ac:dyDescent="0.3">
      <c r="A61" t="s">
        <v>600</v>
      </c>
    </row>
    <row r="62" spans="1:2" x14ac:dyDescent="0.3">
      <c r="A62" t="s">
        <v>601</v>
      </c>
    </row>
    <row r="69" spans="9:12" x14ac:dyDescent="0.3">
      <c r="I69">
        <v>760</v>
      </c>
      <c r="K69" t="s">
        <v>602</v>
      </c>
      <c r="L69" t="s">
        <v>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130"/>
  <sheetViews>
    <sheetView workbookViewId="0">
      <selection activeCell="B33" sqref="B33"/>
    </sheetView>
  </sheetViews>
  <sheetFormatPr defaultRowHeight="14.4" x14ac:dyDescent="0.3"/>
  <sheetData>
    <row r="2" spans="1:2" x14ac:dyDescent="0.3">
      <c r="B2" t="str">
        <f>"1. OUTAGE (TOTAL ="&amp;SUM(A4:A30)&amp;") MW"</f>
        <v>1. OUTAGE (TOTAL =5281.1) MW</v>
      </c>
    </row>
    <row r="4" spans="1:2" x14ac:dyDescent="0.3">
      <c r="B4" t="s">
        <v>604</v>
      </c>
    </row>
    <row r="5" spans="1:2" x14ac:dyDescent="0.3">
      <c r="A5">
        <v>1000</v>
      </c>
      <c r="B5" t="s">
        <v>605</v>
      </c>
    </row>
    <row r="7" spans="1:2" x14ac:dyDescent="0.3">
      <c r="B7" t="s">
        <v>606</v>
      </c>
    </row>
    <row r="8" spans="1:2" x14ac:dyDescent="0.3">
      <c r="A8">
        <v>610</v>
      </c>
      <c r="B8" t="s">
        <v>607</v>
      </c>
    </row>
    <row r="10" spans="1:2" x14ac:dyDescent="0.3">
      <c r="B10" t="s">
        <v>78</v>
      </c>
    </row>
    <row r="11" spans="1:2" x14ac:dyDescent="0.3">
      <c r="A11">
        <v>610</v>
      </c>
      <c r="B11" t="s">
        <v>608</v>
      </c>
    </row>
    <row r="13" spans="1:2" x14ac:dyDescent="0.3">
      <c r="B13" t="s">
        <v>609</v>
      </c>
    </row>
    <row r="14" spans="1:2" x14ac:dyDescent="0.3">
      <c r="A14">
        <v>661.1</v>
      </c>
      <c r="B14" t="s">
        <v>610</v>
      </c>
    </row>
    <row r="16" spans="1:2" x14ac:dyDescent="0.3">
      <c r="B16" t="s">
        <v>611</v>
      </c>
    </row>
    <row r="17" spans="1:2" x14ac:dyDescent="0.3">
      <c r="A17">
        <v>280</v>
      </c>
      <c r="B17" t="s">
        <v>612</v>
      </c>
    </row>
    <row r="19" spans="1:2" x14ac:dyDescent="0.3">
      <c r="B19" t="s">
        <v>613</v>
      </c>
    </row>
    <row r="20" spans="1:2" x14ac:dyDescent="0.3">
      <c r="A20">
        <v>281</v>
      </c>
      <c r="B20" t="s">
        <v>614</v>
      </c>
    </row>
    <row r="22" spans="1:2" x14ac:dyDescent="0.3">
      <c r="B22" t="s">
        <v>615</v>
      </c>
    </row>
    <row r="23" spans="1:2" x14ac:dyDescent="0.3">
      <c r="A23">
        <v>614</v>
      </c>
      <c r="B23" t="s">
        <v>616</v>
      </c>
    </row>
    <row r="25" spans="1:2" x14ac:dyDescent="0.3">
      <c r="B25" t="s">
        <v>617</v>
      </c>
    </row>
    <row r="26" spans="1:2" x14ac:dyDescent="0.3">
      <c r="A26">
        <v>615</v>
      </c>
      <c r="B26" t="s">
        <v>618</v>
      </c>
    </row>
    <row r="28" spans="1:2" x14ac:dyDescent="0.3">
      <c r="B28" t="s">
        <v>619</v>
      </c>
    </row>
    <row r="29" spans="1:2" x14ac:dyDescent="0.3">
      <c r="A29">
        <v>610</v>
      </c>
      <c r="B29" t="s">
        <v>620</v>
      </c>
    </row>
    <row r="31" spans="1:2" x14ac:dyDescent="0.3">
      <c r="B31" t="s">
        <v>621</v>
      </c>
    </row>
    <row r="33" spans="1:2" x14ac:dyDescent="0.3">
      <c r="B33" t="s">
        <v>622</v>
      </c>
    </row>
    <row r="34" spans="1:2" x14ac:dyDescent="0.3">
      <c r="A34">
        <f>371.5-150</f>
        <v>221.5</v>
      </c>
      <c r="B34" t="s">
        <v>623</v>
      </c>
    </row>
    <row r="36" spans="1:2" x14ac:dyDescent="0.3">
      <c r="B36" t="s">
        <v>624</v>
      </c>
    </row>
    <row r="37" spans="1:2" x14ac:dyDescent="0.3">
      <c r="A37">
        <f>371.5-130</f>
        <v>241.5</v>
      </c>
      <c r="B37" t="s">
        <v>625</v>
      </c>
    </row>
    <row r="39" spans="1:2" x14ac:dyDescent="0.3">
      <c r="B39" t="s">
        <v>626</v>
      </c>
    </row>
    <row r="40" spans="1:2" x14ac:dyDescent="0.3">
      <c r="A40">
        <f>371.5-206</f>
        <v>165.5</v>
      </c>
      <c r="B40" t="s">
        <v>627</v>
      </c>
    </row>
    <row r="42" spans="1:2" x14ac:dyDescent="0.3">
      <c r="B42" t="s">
        <v>628</v>
      </c>
    </row>
    <row r="43" spans="1:2" x14ac:dyDescent="0.3">
      <c r="A43">
        <f>371.5-281</f>
        <v>90.5</v>
      </c>
      <c r="B43" t="s">
        <v>629</v>
      </c>
    </row>
    <row r="45" spans="1:2" x14ac:dyDescent="0.3">
      <c r="B45" t="s">
        <v>630</v>
      </c>
    </row>
    <row r="46" spans="1:2" x14ac:dyDescent="0.3">
      <c r="A46">
        <f>575.2-300</f>
        <v>275.20000000000005</v>
      </c>
      <c r="B46" t="s">
        <v>631</v>
      </c>
    </row>
    <row r="48" spans="1:2" x14ac:dyDescent="0.3">
      <c r="B48" t="s">
        <v>632</v>
      </c>
    </row>
    <row r="49" spans="1:2" x14ac:dyDescent="0.3">
      <c r="A49">
        <f>575.2-300</f>
        <v>275.20000000000005</v>
      </c>
      <c r="B49" t="s">
        <v>631</v>
      </c>
    </row>
    <row r="51" spans="1:2" x14ac:dyDescent="0.3">
      <c r="B51" t="s">
        <v>633</v>
      </c>
    </row>
    <row r="52" spans="1:2" x14ac:dyDescent="0.3">
      <c r="A52">
        <f>575.2-300</f>
        <v>275.20000000000005</v>
      </c>
      <c r="B52" t="s">
        <v>631</v>
      </c>
    </row>
    <row r="54" spans="1:2" x14ac:dyDescent="0.3">
      <c r="B54" t="s">
        <v>634</v>
      </c>
    </row>
    <row r="55" spans="1:2" x14ac:dyDescent="0.3">
      <c r="A55">
        <f>540-425</f>
        <v>115</v>
      </c>
      <c r="B55" t="s">
        <v>635</v>
      </c>
    </row>
    <row r="57" spans="1:2" x14ac:dyDescent="0.3">
      <c r="B57" t="s">
        <v>66</v>
      </c>
    </row>
    <row r="58" spans="1:2" x14ac:dyDescent="0.3">
      <c r="A58">
        <f>991-955</f>
        <v>36</v>
      </c>
      <c r="B58" t="s">
        <v>636</v>
      </c>
    </row>
    <row r="60" spans="1:2" x14ac:dyDescent="0.3">
      <c r="B60" t="s">
        <v>68</v>
      </c>
    </row>
    <row r="61" spans="1:2" x14ac:dyDescent="0.3">
      <c r="A61">
        <f>991-958</f>
        <v>33</v>
      </c>
      <c r="B61" t="s">
        <v>637</v>
      </c>
    </row>
    <row r="63" spans="1:2" x14ac:dyDescent="0.3">
      <c r="B63" t="s">
        <v>638</v>
      </c>
    </row>
    <row r="64" spans="1:2" x14ac:dyDescent="0.3">
      <c r="A64">
        <f>323-180</f>
        <v>143</v>
      </c>
      <c r="B64" t="s">
        <v>639</v>
      </c>
    </row>
    <row r="66" spans="1:2" x14ac:dyDescent="0.3">
      <c r="B66" t="s">
        <v>640</v>
      </c>
    </row>
    <row r="67" spans="1:2" x14ac:dyDescent="0.3">
      <c r="A67">
        <f>323-180</f>
        <v>143</v>
      </c>
      <c r="B67" t="s">
        <v>639</v>
      </c>
    </row>
    <row r="69" spans="1:2" x14ac:dyDescent="0.3">
      <c r="B69" t="s">
        <v>641</v>
      </c>
    </row>
    <row r="70" spans="1:2" x14ac:dyDescent="0.3">
      <c r="A70">
        <f>323-180</f>
        <v>143</v>
      </c>
      <c r="B70" t="s">
        <v>639</v>
      </c>
    </row>
    <row r="72" spans="1:2" x14ac:dyDescent="0.3">
      <c r="B72" t="s">
        <v>642</v>
      </c>
    </row>
    <row r="73" spans="1:2" x14ac:dyDescent="0.3">
      <c r="A73">
        <v>80</v>
      </c>
      <c r="B73" t="s">
        <v>643</v>
      </c>
    </row>
    <row r="75" spans="1:2" x14ac:dyDescent="0.3">
      <c r="B75" t="s">
        <v>644</v>
      </c>
    </row>
    <row r="76" spans="1:2" x14ac:dyDescent="0.3">
      <c r="A76">
        <v>80</v>
      </c>
      <c r="B76" t="s">
        <v>643</v>
      </c>
    </row>
    <row r="78" spans="1:2" x14ac:dyDescent="0.3">
      <c r="B78" t="s">
        <v>645</v>
      </c>
    </row>
    <row r="79" spans="1:2" x14ac:dyDescent="0.3">
      <c r="A79">
        <f>280-240</f>
        <v>40</v>
      </c>
      <c r="B79" t="s">
        <v>646</v>
      </c>
    </row>
    <row r="81" spans="1:2" x14ac:dyDescent="0.3">
      <c r="B81" t="s">
        <v>647</v>
      </c>
    </row>
    <row r="82" spans="1:2" x14ac:dyDescent="0.3">
      <c r="A82">
        <v>60</v>
      </c>
      <c r="B82" t="s">
        <v>648</v>
      </c>
    </row>
    <row r="84" spans="1:2" x14ac:dyDescent="0.3">
      <c r="B84" t="s">
        <v>649</v>
      </c>
    </row>
    <row r="85" spans="1:2" x14ac:dyDescent="0.3">
      <c r="A85">
        <v>40</v>
      </c>
      <c r="B85" t="s">
        <v>650</v>
      </c>
    </row>
    <row r="87" spans="1:2" x14ac:dyDescent="0.3">
      <c r="B87" t="s">
        <v>651</v>
      </c>
    </row>
    <row r="88" spans="1:2" x14ac:dyDescent="0.3">
      <c r="A88">
        <v>155</v>
      </c>
      <c r="B88" t="s">
        <v>652</v>
      </c>
    </row>
    <row r="90" spans="1:2" x14ac:dyDescent="0.3">
      <c r="B90" t="s">
        <v>653</v>
      </c>
    </row>
    <row r="91" spans="1:2" x14ac:dyDescent="0.3">
      <c r="A91">
        <v>80</v>
      </c>
      <c r="B91" t="s">
        <v>654</v>
      </c>
    </row>
    <row r="93" spans="1:2" x14ac:dyDescent="0.3">
      <c r="B93" t="s">
        <v>655</v>
      </c>
    </row>
    <row r="94" spans="1:2" x14ac:dyDescent="0.3">
      <c r="A94">
        <v>80</v>
      </c>
      <c r="B94" t="s">
        <v>656</v>
      </c>
    </row>
    <row r="96" spans="1:2" x14ac:dyDescent="0.3">
      <c r="B96" t="s">
        <v>657</v>
      </c>
    </row>
    <row r="97" spans="1:2" x14ac:dyDescent="0.3">
      <c r="A97">
        <v>80</v>
      </c>
      <c r="B97" t="s">
        <v>656</v>
      </c>
    </row>
    <row r="99" spans="1:2" x14ac:dyDescent="0.3">
      <c r="B99" t="s">
        <v>658</v>
      </c>
    </row>
    <row r="100" spans="1:2" x14ac:dyDescent="0.3">
      <c r="A100">
        <v>160</v>
      </c>
      <c r="B100" t="s">
        <v>659</v>
      </c>
    </row>
    <row r="102" spans="1:2" x14ac:dyDescent="0.3">
      <c r="B102" t="s">
        <v>53</v>
      </c>
    </row>
    <row r="103" spans="1:2" x14ac:dyDescent="0.3">
      <c r="A103">
        <v>160</v>
      </c>
      <c r="B103" t="s">
        <v>660</v>
      </c>
    </row>
    <row r="105" spans="1:2" x14ac:dyDescent="0.3">
      <c r="B105" t="s">
        <v>661</v>
      </c>
    </row>
    <row r="106" spans="1:2" x14ac:dyDescent="0.3">
      <c r="A106">
        <v>200</v>
      </c>
      <c r="B106" t="s">
        <v>662</v>
      </c>
    </row>
    <row r="108" spans="1:2" x14ac:dyDescent="0.3">
      <c r="B108" t="s">
        <v>663</v>
      </c>
    </row>
    <row r="109" spans="1:2" x14ac:dyDescent="0.3">
      <c r="A109">
        <v>20</v>
      </c>
      <c r="B109" t="s">
        <v>664</v>
      </c>
    </row>
    <row r="111" spans="1:2" x14ac:dyDescent="0.3">
      <c r="B111" t="s">
        <v>665</v>
      </c>
    </row>
    <row r="112" spans="1:2" x14ac:dyDescent="0.3">
      <c r="A112">
        <f>945-750</f>
        <v>195</v>
      </c>
      <c r="B112" t="s">
        <v>666</v>
      </c>
    </row>
    <row r="114" spans="1:2" x14ac:dyDescent="0.3">
      <c r="B114" t="s">
        <v>667</v>
      </c>
    </row>
    <row r="115" spans="1:2" x14ac:dyDescent="0.3">
      <c r="A115">
        <v>145</v>
      </c>
      <c r="B115" t="s">
        <v>668</v>
      </c>
    </row>
    <row r="117" spans="1:2" x14ac:dyDescent="0.3">
      <c r="B117" t="s">
        <v>669</v>
      </c>
    </row>
    <row r="118" spans="1:2" x14ac:dyDescent="0.3">
      <c r="A118">
        <v>145</v>
      </c>
      <c r="B118" t="s">
        <v>668</v>
      </c>
    </row>
    <row r="120" spans="1:2" x14ac:dyDescent="0.3">
      <c r="B120" t="s">
        <v>670</v>
      </c>
    </row>
    <row r="121" spans="1:2" x14ac:dyDescent="0.3">
      <c r="A121">
        <v>80</v>
      </c>
      <c r="B121" t="s">
        <v>671</v>
      </c>
    </row>
    <row r="123" spans="1:2" x14ac:dyDescent="0.3">
      <c r="B123" t="s">
        <v>672</v>
      </c>
    </row>
    <row r="124" spans="1:2" x14ac:dyDescent="0.3">
      <c r="A124">
        <v>80</v>
      </c>
      <c r="B124" t="s">
        <v>671</v>
      </c>
    </row>
    <row r="126" spans="1:2" x14ac:dyDescent="0.3">
      <c r="B126" t="s">
        <v>673</v>
      </c>
    </row>
    <row r="127" spans="1:2" x14ac:dyDescent="0.3">
      <c r="B127" t="s">
        <v>674</v>
      </c>
    </row>
    <row r="129" spans="2:2" x14ac:dyDescent="0.3">
      <c r="B129" t="s">
        <v>675</v>
      </c>
    </row>
    <row r="130" spans="2:2" x14ac:dyDescent="0.3">
      <c r="B130" t="s">
        <v>674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CA8D-FD7E-4D68-A9BE-E73B42B213E7}">
  <dimension ref="A1:AY609"/>
  <sheetViews>
    <sheetView topLeftCell="A94" workbookViewId="0">
      <selection activeCell="D6" sqref="D6"/>
    </sheetView>
  </sheetViews>
  <sheetFormatPr defaultRowHeight="14.4" x14ac:dyDescent="0.3"/>
  <cols>
    <col min="1" max="1" width="14.5546875" bestFit="1" customWidth="1"/>
    <col min="2" max="2" width="26.6640625" bestFit="1" customWidth="1"/>
    <col min="3" max="3" width="10" bestFit="1" customWidth="1"/>
    <col min="4" max="51" width="9" bestFit="1" customWidth="1"/>
    <col min="52" max="52" width="26.6640625" bestFit="1" customWidth="1"/>
    <col min="53" max="53" width="10.6640625" bestFit="1" customWidth="1"/>
    <col min="54" max="54" width="11" bestFit="1" customWidth="1"/>
    <col min="55" max="59" width="12" bestFit="1" customWidth="1"/>
    <col min="60" max="60" width="11" bestFit="1" customWidth="1"/>
    <col min="61" max="65" width="12" bestFit="1" customWidth="1"/>
    <col min="66" max="101" width="11.6640625" bestFit="1" customWidth="1"/>
  </cols>
  <sheetData>
    <row r="1" spans="1:51" x14ac:dyDescent="0.3">
      <c r="A1" t="s">
        <v>676</v>
      </c>
      <c r="B1" t="s">
        <v>203</v>
      </c>
      <c r="C1" t="s">
        <v>131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</row>
    <row r="2" spans="1:51" x14ac:dyDescent="0.3">
      <c r="A2" t="s">
        <v>677</v>
      </c>
      <c r="B2" t="s">
        <v>255</v>
      </c>
      <c r="C2">
        <v>371.5</v>
      </c>
      <c r="D2">
        <v>284.2</v>
      </c>
      <c r="E2">
        <v>284.2</v>
      </c>
      <c r="F2">
        <v>284.2</v>
      </c>
      <c r="G2">
        <v>284.2</v>
      </c>
      <c r="H2">
        <v>284.2</v>
      </c>
      <c r="I2">
        <v>284.2</v>
      </c>
      <c r="J2">
        <v>284.2</v>
      </c>
      <c r="K2">
        <v>284.2</v>
      </c>
      <c r="L2">
        <v>284.2</v>
      </c>
      <c r="M2">
        <v>284.2</v>
      </c>
      <c r="N2">
        <v>284.2</v>
      </c>
      <c r="O2">
        <v>347.4</v>
      </c>
      <c r="P2">
        <v>347.4</v>
      </c>
      <c r="Q2">
        <v>347.4</v>
      </c>
      <c r="R2">
        <v>347.4</v>
      </c>
      <c r="S2">
        <v>308.5</v>
      </c>
      <c r="T2">
        <v>308.5</v>
      </c>
      <c r="U2">
        <v>362.6</v>
      </c>
      <c r="V2">
        <v>362.6</v>
      </c>
      <c r="W2">
        <v>362.6</v>
      </c>
      <c r="X2">
        <v>362.6</v>
      </c>
      <c r="Y2">
        <v>362.6</v>
      </c>
      <c r="Z2">
        <v>362.6</v>
      </c>
      <c r="AA2">
        <v>362.6</v>
      </c>
      <c r="AB2">
        <v>362.6</v>
      </c>
      <c r="AC2">
        <v>362.6</v>
      </c>
      <c r="AD2">
        <v>362.6</v>
      </c>
      <c r="AE2">
        <v>362.6</v>
      </c>
      <c r="AF2">
        <v>362.6</v>
      </c>
      <c r="AG2">
        <v>362.6</v>
      </c>
      <c r="AH2">
        <v>362.6</v>
      </c>
      <c r="AI2">
        <v>362.6</v>
      </c>
      <c r="AJ2">
        <v>362.6</v>
      </c>
      <c r="AK2">
        <v>362.6</v>
      </c>
      <c r="AL2">
        <v>362.6</v>
      </c>
      <c r="AM2">
        <v>362.6</v>
      </c>
      <c r="AN2">
        <v>362.6</v>
      </c>
      <c r="AO2">
        <v>362.6</v>
      </c>
      <c r="AP2">
        <v>362.6</v>
      </c>
      <c r="AQ2">
        <v>362.6</v>
      </c>
      <c r="AR2">
        <v>362.6</v>
      </c>
      <c r="AS2">
        <v>362.6</v>
      </c>
      <c r="AT2">
        <v>362.6</v>
      </c>
      <c r="AU2">
        <v>362.6</v>
      </c>
      <c r="AV2">
        <v>362.6</v>
      </c>
      <c r="AW2">
        <v>362.6</v>
      </c>
      <c r="AX2">
        <v>362.6</v>
      </c>
      <c r="AY2">
        <v>362.6</v>
      </c>
    </row>
    <row r="3" spans="1:51" x14ac:dyDescent="0.3">
      <c r="A3" t="s">
        <v>677</v>
      </c>
      <c r="B3" t="s">
        <v>256</v>
      </c>
      <c r="C3">
        <v>371.5</v>
      </c>
      <c r="D3">
        <v>284.2</v>
      </c>
      <c r="E3">
        <v>284.2</v>
      </c>
      <c r="F3">
        <v>284.2</v>
      </c>
      <c r="G3">
        <v>284.2</v>
      </c>
      <c r="H3">
        <v>284.2</v>
      </c>
      <c r="I3">
        <v>284.2</v>
      </c>
      <c r="J3">
        <v>284.2</v>
      </c>
      <c r="K3">
        <v>284.2</v>
      </c>
      <c r="L3">
        <v>284.2</v>
      </c>
      <c r="M3">
        <v>284.2</v>
      </c>
      <c r="N3">
        <v>284.2</v>
      </c>
      <c r="O3">
        <v>362.6</v>
      </c>
      <c r="P3">
        <v>362.6</v>
      </c>
      <c r="Q3">
        <v>362.6</v>
      </c>
      <c r="R3">
        <v>362.6</v>
      </c>
      <c r="S3">
        <v>320</v>
      </c>
      <c r="T3">
        <v>320</v>
      </c>
      <c r="U3">
        <v>362.6</v>
      </c>
      <c r="V3">
        <v>362.6</v>
      </c>
      <c r="W3">
        <v>362.6</v>
      </c>
      <c r="X3">
        <v>362.6</v>
      </c>
      <c r="Y3">
        <v>362.6</v>
      </c>
      <c r="Z3">
        <v>362.6</v>
      </c>
      <c r="AA3">
        <v>362.6</v>
      </c>
      <c r="AB3">
        <v>362.6</v>
      </c>
      <c r="AC3">
        <v>362.6</v>
      </c>
      <c r="AD3">
        <v>362.6</v>
      </c>
      <c r="AE3">
        <v>362.6</v>
      </c>
      <c r="AF3">
        <v>362.6</v>
      </c>
      <c r="AG3">
        <v>362.6</v>
      </c>
      <c r="AH3">
        <v>362.6</v>
      </c>
      <c r="AI3">
        <v>362.6</v>
      </c>
      <c r="AJ3">
        <v>362.6</v>
      </c>
      <c r="AK3">
        <v>362.6</v>
      </c>
      <c r="AL3">
        <v>362.6</v>
      </c>
      <c r="AM3">
        <v>362.6</v>
      </c>
      <c r="AN3">
        <v>362.6</v>
      </c>
      <c r="AO3">
        <v>362.6</v>
      </c>
      <c r="AP3">
        <v>362.6</v>
      </c>
      <c r="AQ3">
        <v>362.6</v>
      </c>
      <c r="AR3">
        <v>362.6</v>
      </c>
      <c r="AS3">
        <v>362.6</v>
      </c>
      <c r="AT3">
        <v>347.4</v>
      </c>
      <c r="AU3">
        <v>347.4</v>
      </c>
      <c r="AV3">
        <v>347.4</v>
      </c>
      <c r="AW3">
        <v>347.4</v>
      </c>
      <c r="AX3">
        <v>347.4</v>
      </c>
      <c r="AY3">
        <v>347.4</v>
      </c>
    </row>
    <row r="4" spans="1:51" x14ac:dyDescent="0.3">
      <c r="A4" t="s">
        <v>677</v>
      </c>
      <c r="B4" t="s">
        <v>257</v>
      </c>
      <c r="C4">
        <v>371.5</v>
      </c>
      <c r="D4">
        <v>290</v>
      </c>
      <c r="E4">
        <v>290</v>
      </c>
      <c r="F4">
        <v>290</v>
      </c>
      <c r="G4">
        <v>290</v>
      </c>
      <c r="H4">
        <v>290</v>
      </c>
      <c r="I4">
        <v>290</v>
      </c>
      <c r="J4">
        <v>290</v>
      </c>
      <c r="K4">
        <v>290</v>
      </c>
      <c r="L4">
        <v>290</v>
      </c>
      <c r="M4">
        <v>290</v>
      </c>
      <c r="N4">
        <v>290</v>
      </c>
      <c r="O4">
        <v>290</v>
      </c>
      <c r="P4">
        <v>290</v>
      </c>
      <c r="Q4">
        <v>290</v>
      </c>
      <c r="R4">
        <v>290</v>
      </c>
      <c r="S4">
        <v>371.5</v>
      </c>
      <c r="T4">
        <v>371.5</v>
      </c>
      <c r="U4">
        <v>371.5</v>
      </c>
      <c r="V4">
        <v>371.5</v>
      </c>
      <c r="W4">
        <v>371.5</v>
      </c>
      <c r="X4">
        <v>371.5</v>
      </c>
      <c r="Y4">
        <v>371.5</v>
      </c>
      <c r="Z4">
        <v>371.5</v>
      </c>
      <c r="AA4">
        <v>290</v>
      </c>
      <c r="AB4">
        <v>290</v>
      </c>
      <c r="AC4">
        <v>290</v>
      </c>
      <c r="AD4">
        <v>290</v>
      </c>
      <c r="AE4">
        <v>290</v>
      </c>
      <c r="AF4">
        <v>290</v>
      </c>
      <c r="AG4">
        <v>290</v>
      </c>
      <c r="AH4">
        <v>290</v>
      </c>
      <c r="AI4">
        <v>290</v>
      </c>
      <c r="AJ4">
        <v>290</v>
      </c>
      <c r="AK4">
        <v>290</v>
      </c>
      <c r="AL4">
        <v>290</v>
      </c>
      <c r="AM4">
        <v>290</v>
      </c>
      <c r="AN4">
        <v>290</v>
      </c>
      <c r="AO4">
        <v>290</v>
      </c>
      <c r="AP4">
        <v>290</v>
      </c>
      <c r="AQ4">
        <v>290</v>
      </c>
      <c r="AR4">
        <v>290</v>
      </c>
      <c r="AS4">
        <v>290</v>
      </c>
      <c r="AT4">
        <v>290</v>
      </c>
      <c r="AU4">
        <v>290</v>
      </c>
      <c r="AV4">
        <v>290</v>
      </c>
      <c r="AW4">
        <v>290</v>
      </c>
      <c r="AX4">
        <v>290</v>
      </c>
      <c r="AY4">
        <v>290</v>
      </c>
    </row>
    <row r="5" spans="1:51" x14ac:dyDescent="0.3">
      <c r="A5" t="s">
        <v>677</v>
      </c>
      <c r="B5" t="s">
        <v>258</v>
      </c>
      <c r="C5">
        <v>575.20000000000005</v>
      </c>
      <c r="D5">
        <v>320</v>
      </c>
      <c r="E5">
        <v>320</v>
      </c>
      <c r="F5">
        <v>320</v>
      </c>
      <c r="G5">
        <v>320</v>
      </c>
      <c r="H5">
        <v>320</v>
      </c>
      <c r="I5">
        <v>320</v>
      </c>
      <c r="J5">
        <v>320</v>
      </c>
      <c r="K5">
        <v>320</v>
      </c>
      <c r="L5">
        <v>320</v>
      </c>
      <c r="M5">
        <v>320</v>
      </c>
      <c r="N5">
        <v>320</v>
      </c>
      <c r="O5">
        <v>300</v>
      </c>
      <c r="P5">
        <v>300</v>
      </c>
      <c r="Q5">
        <v>300</v>
      </c>
      <c r="R5">
        <v>300</v>
      </c>
      <c r="S5">
        <v>300</v>
      </c>
      <c r="T5">
        <v>300</v>
      </c>
      <c r="U5">
        <v>378.1</v>
      </c>
      <c r="V5">
        <v>378.1</v>
      </c>
      <c r="W5">
        <v>378.1</v>
      </c>
      <c r="X5">
        <v>378.1</v>
      </c>
      <c r="Y5">
        <v>378.1</v>
      </c>
      <c r="Z5">
        <v>378.1</v>
      </c>
      <c r="AA5">
        <v>300</v>
      </c>
      <c r="AB5">
        <v>300</v>
      </c>
      <c r="AC5">
        <v>300</v>
      </c>
      <c r="AD5">
        <v>369.6</v>
      </c>
      <c r="AE5">
        <v>318.60000000000002</v>
      </c>
      <c r="AF5">
        <v>318.60000000000002</v>
      </c>
      <c r="AG5">
        <v>318.60000000000002</v>
      </c>
      <c r="AH5">
        <v>318.60000000000002</v>
      </c>
      <c r="AI5">
        <v>318.60000000000002</v>
      </c>
      <c r="AJ5">
        <v>318.60000000000002</v>
      </c>
      <c r="AK5">
        <v>318.60000000000002</v>
      </c>
      <c r="AL5">
        <v>318.60000000000002</v>
      </c>
      <c r="AM5">
        <v>318.60000000000002</v>
      </c>
      <c r="AN5">
        <v>318.60000000000002</v>
      </c>
      <c r="AO5">
        <v>318.60000000000002</v>
      </c>
      <c r="AP5">
        <v>318.60000000000002</v>
      </c>
      <c r="AQ5">
        <v>318.60000000000002</v>
      </c>
      <c r="AR5">
        <v>318.60000000000002</v>
      </c>
      <c r="AS5">
        <v>369.6</v>
      </c>
      <c r="AT5">
        <v>300</v>
      </c>
      <c r="AU5">
        <v>300</v>
      </c>
      <c r="AV5">
        <v>300</v>
      </c>
      <c r="AW5">
        <v>300</v>
      </c>
      <c r="AX5">
        <v>300</v>
      </c>
      <c r="AY5">
        <v>300</v>
      </c>
    </row>
    <row r="6" spans="1:51" x14ac:dyDescent="0.3">
      <c r="A6" t="s">
        <v>677</v>
      </c>
      <c r="B6" t="s">
        <v>259</v>
      </c>
      <c r="C6">
        <v>575.20000000000005</v>
      </c>
      <c r="D6">
        <v>300</v>
      </c>
      <c r="E6">
        <v>300</v>
      </c>
      <c r="F6">
        <v>300</v>
      </c>
      <c r="G6">
        <v>300</v>
      </c>
      <c r="H6">
        <v>300</v>
      </c>
      <c r="I6">
        <v>300</v>
      </c>
      <c r="J6">
        <v>300</v>
      </c>
      <c r="K6">
        <v>300</v>
      </c>
      <c r="L6">
        <v>300</v>
      </c>
      <c r="M6">
        <v>300</v>
      </c>
      <c r="N6">
        <v>300</v>
      </c>
      <c r="O6">
        <v>300</v>
      </c>
      <c r="P6">
        <v>300</v>
      </c>
      <c r="Q6">
        <v>300</v>
      </c>
      <c r="R6">
        <v>300</v>
      </c>
      <c r="S6">
        <v>300</v>
      </c>
      <c r="T6">
        <v>300</v>
      </c>
      <c r="U6">
        <v>441</v>
      </c>
      <c r="V6">
        <v>441</v>
      </c>
      <c r="W6">
        <v>441</v>
      </c>
      <c r="X6">
        <v>441</v>
      </c>
      <c r="Y6">
        <v>441</v>
      </c>
      <c r="Z6">
        <v>441</v>
      </c>
      <c r="AA6">
        <v>300</v>
      </c>
      <c r="AB6">
        <v>300</v>
      </c>
      <c r="AC6">
        <v>300</v>
      </c>
      <c r="AD6">
        <v>441</v>
      </c>
      <c r="AE6">
        <v>441</v>
      </c>
      <c r="AF6">
        <v>441</v>
      </c>
      <c r="AG6">
        <v>441</v>
      </c>
      <c r="AH6">
        <v>441</v>
      </c>
      <c r="AI6">
        <v>441</v>
      </c>
      <c r="AJ6">
        <v>441</v>
      </c>
      <c r="AK6">
        <v>441</v>
      </c>
      <c r="AL6">
        <v>441</v>
      </c>
      <c r="AM6">
        <v>441</v>
      </c>
      <c r="AN6">
        <v>441</v>
      </c>
      <c r="AO6">
        <v>441</v>
      </c>
      <c r="AP6">
        <v>441</v>
      </c>
      <c r="AQ6">
        <v>441</v>
      </c>
      <c r="AR6">
        <v>441</v>
      </c>
      <c r="AS6">
        <v>441</v>
      </c>
      <c r="AT6">
        <v>300</v>
      </c>
      <c r="AU6">
        <v>300</v>
      </c>
      <c r="AV6">
        <v>300</v>
      </c>
      <c r="AW6">
        <v>300</v>
      </c>
      <c r="AX6">
        <v>300</v>
      </c>
      <c r="AY6">
        <v>300</v>
      </c>
    </row>
    <row r="7" spans="1:51" x14ac:dyDescent="0.3">
      <c r="A7" t="s">
        <v>677</v>
      </c>
      <c r="B7" t="s">
        <v>260</v>
      </c>
      <c r="C7">
        <v>575.20000000000005</v>
      </c>
      <c r="D7">
        <v>337.4</v>
      </c>
      <c r="E7">
        <v>337.4</v>
      </c>
      <c r="F7">
        <v>337.4</v>
      </c>
      <c r="G7">
        <v>337.4</v>
      </c>
      <c r="H7">
        <v>337.4</v>
      </c>
      <c r="I7">
        <v>337.4</v>
      </c>
      <c r="J7">
        <v>337.4</v>
      </c>
      <c r="K7">
        <v>337.4</v>
      </c>
      <c r="L7">
        <v>337.4</v>
      </c>
      <c r="M7">
        <v>337.4</v>
      </c>
      <c r="N7">
        <v>337.4</v>
      </c>
      <c r="O7">
        <v>300</v>
      </c>
      <c r="P7">
        <v>300</v>
      </c>
      <c r="Q7">
        <v>300</v>
      </c>
      <c r="R7">
        <v>300</v>
      </c>
      <c r="S7">
        <v>300</v>
      </c>
      <c r="T7">
        <v>300</v>
      </c>
      <c r="U7">
        <v>300</v>
      </c>
      <c r="V7">
        <v>300</v>
      </c>
      <c r="W7">
        <v>300</v>
      </c>
      <c r="X7">
        <v>300</v>
      </c>
      <c r="Y7">
        <v>300</v>
      </c>
      <c r="Z7">
        <v>300</v>
      </c>
      <c r="AA7">
        <v>300</v>
      </c>
      <c r="AB7">
        <v>300</v>
      </c>
      <c r="AC7">
        <v>300</v>
      </c>
      <c r="AD7">
        <v>390</v>
      </c>
      <c r="AE7">
        <v>441</v>
      </c>
      <c r="AF7">
        <v>441</v>
      </c>
      <c r="AG7">
        <v>441</v>
      </c>
      <c r="AH7">
        <v>441</v>
      </c>
      <c r="AI7">
        <v>441</v>
      </c>
      <c r="AJ7">
        <v>441</v>
      </c>
      <c r="AK7">
        <v>441</v>
      </c>
      <c r="AL7">
        <v>441</v>
      </c>
      <c r="AM7">
        <v>441</v>
      </c>
      <c r="AN7">
        <v>441</v>
      </c>
      <c r="AO7">
        <v>441</v>
      </c>
      <c r="AP7">
        <v>441</v>
      </c>
      <c r="AQ7">
        <v>441</v>
      </c>
      <c r="AR7">
        <v>441</v>
      </c>
      <c r="AS7">
        <v>390</v>
      </c>
      <c r="AT7">
        <v>300</v>
      </c>
      <c r="AU7">
        <v>300</v>
      </c>
      <c r="AV7">
        <v>300</v>
      </c>
      <c r="AW7">
        <v>300</v>
      </c>
      <c r="AX7">
        <v>300</v>
      </c>
      <c r="AY7">
        <v>300</v>
      </c>
    </row>
    <row r="8" spans="1:51" x14ac:dyDescent="0.3">
      <c r="A8" t="s">
        <v>677</v>
      </c>
      <c r="B8" t="s">
        <v>261</v>
      </c>
      <c r="D8">
        <v>300.76</v>
      </c>
      <c r="E8">
        <v>300.76</v>
      </c>
      <c r="F8">
        <v>300.76</v>
      </c>
      <c r="G8">
        <v>296.97000000000003</v>
      </c>
      <c r="H8">
        <v>259.27999999999997</v>
      </c>
      <c r="I8">
        <v>263.77999999999997</v>
      </c>
      <c r="J8">
        <v>234.64</v>
      </c>
      <c r="K8">
        <v>261.48</v>
      </c>
      <c r="L8">
        <v>258.48</v>
      </c>
      <c r="M8">
        <v>253.29</v>
      </c>
      <c r="N8">
        <v>299.77999999999997</v>
      </c>
      <c r="O8">
        <v>300.76</v>
      </c>
      <c r="P8">
        <v>300.76</v>
      </c>
      <c r="Q8">
        <v>300.76</v>
      </c>
      <c r="R8">
        <v>375.31</v>
      </c>
      <c r="S8">
        <v>402.96</v>
      </c>
      <c r="T8">
        <v>402.96</v>
      </c>
      <c r="U8">
        <v>441.89</v>
      </c>
      <c r="V8">
        <v>465.56</v>
      </c>
      <c r="W8">
        <v>487.94</v>
      </c>
      <c r="X8">
        <v>544.71</v>
      </c>
      <c r="Y8">
        <v>517.80999999999995</v>
      </c>
      <c r="Z8">
        <v>515.32000000000005</v>
      </c>
      <c r="AA8">
        <v>515.39</v>
      </c>
      <c r="AB8">
        <v>495.04</v>
      </c>
      <c r="AC8">
        <v>512.11</v>
      </c>
      <c r="AD8">
        <v>547.5</v>
      </c>
      <c r="AE8">
        <v>547.5</v>
      </c>
      <c r="AF8">
        <v>547.5</v>
      </c>
      <c r="AG8">
        <v>547.5</v>
      </c>
      <c r="AH8">
        <v>547.5</v>
      </c>
      <c r="AI8">
        <v>495.17</v>
      </c>
      <c r="AJ8">
        <v>434.9</v>
      </c>
      <c r="AK8">
        <v>404.98</v>
      </c>
      <c r="AL8">
        <v>402.96</v>
      </c>
      <c r="AM8">
        <v>402.96</v>
      </c>
      <c r="AN8">
        <v>402.96</v>
      </c>
      <c r="AO8">
        <v>402.96</v>
      </c>
      <c r="AP8">
        <v>402.96</v>
      </c>
      <c r="AQ8">
        <v>402.96</v>
      </c>
      <c r="AR8">
        <v>402.96</v>
      </c>
      <c r="AS8">
        <v>404.69</v>
      </c>
      <c r="AT8">
        <v>402.96</v>
      </c>
      <c r="AU8">
        <v>402.96</v>
      </c>
      <c r="AV8">
        <v>300.76</v>
      </c>
      <c r="AW8">
        <v>300.76</v>
      </c>
      <c r="AX8">
        <v>300.76</v>
      </c>
      <c r="AY8">
        <v>300.76</v>
      </c>
    </row>
    <row r="9" spans="1:51" x14ac:dyDescent="0.3">
      <c r="A9" t="s">
        <v>677</v>
      </c>
      <c r="B9" t="s">
        <v>262</v>
      </c>
      <c r="D9">
        <v>150.38</v>
      </c>
      <c r="E9">
        <v>144.63</v>
      </c>
      <c r="F9">
        <v>150.38</v>
      </c>
      <c r="G9">
        <v>150.38</v>
      </c>
      <c r="H9">
        <v>150.38</v>
      </c>
      <c r="I9">
        <v>150.38</v>
      </c>
      <c r="J9">
        <v>150.38</v>
      </c>
      <c r="K9">
        <v>150.38</v>
      </c>
      <c r="L9">
        <v>150.38</v>
      </c>
      <c r="M9">
        <v>150.38</v>
      </c>
      <c r="N9">
        <v>150.38</v>
      </c>
      <c r="O9">
        <v>150.32</v>
      </c>
      <c r="P9">
        <v>166.01</v>
      </c>
      <c r="Q9">
        <v>197.26</v>
      </c>
      <c r="R9">
        <v>247.24</v>
      </c>
      <c r="S9">
        <v>252.58</v>
      </c>
      <c r="T9">
        <v>252.58</v>
      </c>
      <c r="U9">
        <v>278.86</v>
      </c>
      <c r="V9">
        <v>307.88</v>
      </c>
      <c r="W9">
        <v>332.88</v>
      </c>
      <c r="X9">
        <v>363.88</v>
      </c>
      <c r="Y9">
        <v>358.4</v>
      </c>
      <c r="Z9">
        <v>354.05</v>
      </c>
      <c r="AA9">
        <v>338.36</v>
      </c>
      <c r="AB9">
        <v>332.88</v>
      </c>
      <c r="AC9">
        <v>350.05</v>
      </c>
      <c r="AD9">
        <v>365</v>
      </c>
      <c r="AE9">
        <v>365</v>
      </c>
      <c r="AF9">
        <v>365</v>
      </c>
      <c r="AG9">
        <v>365</v>
      </c>
      <c r="AH9">
        <v>365</v>
      </c>
      <c r="AI9">
        <v>332.88</v>
      </c>
      <c r="AJ9">
        <v>278.86</v>
      </c>
      <c r="AK9">
        <v>252.58</v>
      </c>
      <c r="AL9">
        <v>252.58</v>
      </c>
      <c r="AM9">
        <v>252.58</v>
      </c>
      <c r="AN9">
        <v>252.58</v>
      </c>
      <c r="AO9">
        <v>252.58</v>
      </c>
      <c r="AP9">
        <v>252.58</v>
      </c>
      <c r="AQ9">
        <v>252.58</v>
      </c>
      <c r="AR9">
        <v>252.58</v>
      </c>
      <c r="AS9">
        <v>252.58</v>
      </c>
      <c r="AT9">
        <v>252.58</v>
      </c>
      <c r="AU9">
        <v>252.58</v>
      </c>
      <c r="AV9">
        <v>252.58</v>
      </c>
      <c r="AW9">
        <v>252.58</v>
      </c>
      <c r="AX9">
        <v>252.58</v>
      </c>
      <c r="AY9">
        <v>252.58</v>
      </c>
    </row>
    <row r="10" spans="1:51" x14ac:dyDescent="0.3">
      <c r="A10" t="s">
        <v>677</v>
      </c>
      <c r="B10" t="s">
        <v>263</v>
      </c>
      <c r="D10">
        <v>576.16999999999996</v>
      </c>
      <c r="E10">
        <v>566.09</v>
      </c>
      <c r="F10">
        <v>560.85</v>
      </c>
      <c r="G10">
        <v>539.23</v>
      </c>
      <c r="H10">
        <v>539.23</v>
      </c>
      <c r="I10">
        <v>539.23</v>
      </c>
      <c r="J10">
        <v>539.23</v>
      </c>
      <c r="K10">
        <v>539.23</v>
      </c>
      <c r="L10">
        <v>539.23</v>
      </c>
      <c r="M10">
        <v>539.23</v>
      </c>
      <c r="N10">
        <v>567.91</v>
      </c>
      <c r="O10">
        <v>565.02</v>
      </c>
      <c r="P10">
        <v>579.26</v>
      </c>
      <c r="Q10">
        <v>605.29</v>
      </c>
      <c r="R10">
        <v>584.99</v>
      </c>
      <c r="S10">
        <v>628.5</v>
      </c>
      <c r="T10">
        <v>704.71</v>
      </c>
      <c r="U10">
        <v>720</v>
      </c>
      <c r="V10">
        <v>720</v>
      </c>
      <c r="W10">
        <v>720</v>
      </c>
      <c r="X10">
        <v>720</v>
      </c>
      <c r="Y10">
        <v>720</v>
      </c>
      <c r="Z10">
        <v>720</v>
      </c>
      <c r="AA10">
        <v>720</v>
      </c>
      <c r="AB10">
        <v>720</v>
      </c>
      <c r="AC10">
        <v>720</v>
      </c>
      <c r="AD10">
        <v>720</v>
      </c>
      <c r="AE10">
        <v>720</v>
      </c>
      <c r="AF10">
        <v>720</v>
      </c>
      <c r="AG10">
        <v>720</v>
      </c>
      <c r="AH10">
        <v>720</v>
      </c>
      <c r="AI10">
        <v>720</v>
      </c>
      <c r="AJ10">
        <v>720</v>
      </c>
      <c r="AK10">
        <v>720</v>
      </c>
      <c r="AL10">
        <v>645.73</v>
      </c>
      <c r="AM10">
        <v>713.87</v>
      </c>
      <c r="AN10">
        <v>713.87</v>
      </c>
      <c r="AO10">
        <v>646.59</v>
      </c>
      <c r="AP10">
        <v>621.44000000000005</v>
      </c>
      <c r="AQ10">
        <v>660.41</v>
      </c>
      <c r="AR10">
        <v>707.68</v>
      </c>
      <c r="AS10">
        <v>720</v>
      </c>
      <c r="AT10">
        <v>713.87</v>
      </c>
      <c r="AU10">
        <v>648.49</v>
      </c>
      <c r="AV10">
        <v>680.58</v>
      </c>
      <c r="AW10">
        <v>649.01</v>
      </c>
      <c r="AX10">
        <v>604.30999999999995</v>
      </c>
      <c r="AY10">
        <v>575.54</v>
      </c>
    </row>
    <row r="11" spans="1:51" x14ac:dyDescent="0.3">
      <c r="A11" t="s">
        <v>677</v>
      </c>
      <c r="B11" t="s">
        <v>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53.74</v>
      </c>
      <c r="AJ11">
        <v>150</v>
      </c>
      <c r="AK11">
        <v>150</v>
      </c>
      <c r="AL11">
        <v>150</v>
      </c>
      <c r="AM11">
        <v>150</v>
      </c>
      <c r="AN11">
        <v>150</v>
      </c>
      <c r="AO11">
        <v>150</v>
      </c>
      <c r="AP11">
        <v>150</v>
      </c>
      <c r="AQ11">
        <v>75</v>
      </c>
      <c r="AR11">
        <v>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3">
      <c r="A12" t="s">
        <v>677</v>
      </c>
      <c r="B12" t="s">
        <v>265</v>
      </c>
      <c r="C12">
        <v>56.5</v>
      </c>
      <c r="D12">
        <v>56.5</v>
      </c>
      <c r="E12">
        <v>56.5</v>
      </c>
      <c r="F12">
        <v>56.5</v>
      </c>
      <c r="G12">
        <v>56.5</v>
      </c>
      <c r="H12">
        <v>56.5</v>
      </c>
      <c r="I12">
        <v>56.5</v>
      </c>
      <c r="J12">
        <v>56.5</v>
      </c>
      <c r="K12">
        <v>56.5</v>
      </c>
      <c r="L12">
        <v>56.5</v>
      </c>
      <c r="M12">
        <v>56.5</v>
      </c>
      <c r="N12">
        <v>56.5</v>
      </c>
      <c r="O12">
        <v>56.5</v>
      </c>
      <c r="P12">
        <v>56.5</v>
      </c>
      <c r="Q12">
        <v>56.5</v>
      </c>
      <c r="R12">
        <v>56.5</v>
      </c>
      <c r="S12">
        <v>56.5</v>
      </c>
      <c r="T12">
        <v>56.5</v>
      </c>
      <c r="U12">
        <v>56.5</v>
      </c>
      <c r="V12">
        <v>56.5</v>
      </c>
      <c r="W12">
        <v>56.5</v>
      </c>
      <c r="X12">
        <v>56.5</v>
      </c>
      <c r="Y12">
        <v>56.5</v>
      </c>
      <c r="Z12">
        <v>56.5</v>
      </c>
      <c r="AA12">
        <v>56.5</v>
      </c>
      <c r="AB12">
        <v>56.5</v>
      </c>
      <c r="AC12">
        <v>56.5</v>
      </c>
      <c r="AD12">
        <v>56.5</v>
      </c>
      <c r="AE12">
        <v>56.5</v>
      </c>
      <c r="AF12">
        <v>56.5</v>
      </c>
      <c r="AG12">
        <v>56.5</v>
      </c>
      <c r="AH12">
        <v>56.5</v>
      </c>
      <c r="AI12">
        <v>56.5</v>
      </c>
      <c r="AJ12">
        <v>56.5</v>
      </c>
      <c r="AK12">
        <v>56.5</v>
      </c>
      <c r="AL12">
        <v>56.5</v>
      </c>
      <c r="AM12">
        <v>56.5</v>
      </c>
      <c r="AN12">
        <v>56.5</v>
      </c>
      <c r="AO12">
        <v>56.5</v>
      </c>
      <c r="AP12">
        <v>56.5</v>
      </c>
      <c r="AQ12">
        <v>56.5</v>
      </c>
      <c r="AR12">
        <v>56.5</v>
      </c>
      <c r="AS12">
        <v>56.5</v>
      </c>
      <c r="AT12">
        <v>56.5</v>
      </c>
      <c r="AU12">
        <v>56.5</v>
      </c>
      <c r="AV12">
        <v>56.5</v>
      </c>
      <c r="AW12">
        <v>56.5</v>
      </c>
      <c r="AX12">
        <v>56.5</v>
      </c>
      <c r="AY12">
        <v>56.5</v>
      </c>
    </row>
    <row r="13" spans="1:51" x14ac:dyDescent="0.3">
      <c r="A13" t="s">
        <v>677</v>
      </c>
      <c r="B13" t="s">
        <v>266</v>
      </c>
      <c r="C13">
        <v>56.5</v>
      </c>
      <c r="D13">
        <v>56.5</v>
      </c>
      <c r="E13">
        <v>56.5</v>
      </c>
      <c r="F13">
        <v>56.5</v>
      </c>
      <c r="G13">
        <v>56.5</v>
      </c>
      <c r="H13">
        <v>56.5</v>
      </c>
      <c r="I13">
        <v>56.5</v>
      </c>
      <c r="J13">
        <v>56.5</v>
      </c>
      <c r="K13">
        <v>56.5</v>
      </c>
      <c r="L13">
        <v>56.5</v>
      </c>
      <c r="M13">
        <v>56.5</v>
      </c>
      <c r="N13">
        <v>56.5</v>
      </c>
      <c r="O13">
        <v>56.5</v>
      </c>
      <c r="P13">
        <v>56.5</v>
      </c>
      <c r="Q13">
        <v>56.5</v>
      </c>
      <c r="R13">
        <v>56.5</v>
      </c>
      <c r="S13">
        <v>46.5</v>
      </c>
      <c r="T13">
        <v>46.5</v>
      </c>
      <c r="U13">
        <v>46.5</v>
      </c>
      <c r="V13">
        <v>46.5</v>
      </c>
      <c r="W13">
        <v>46.5</v>
      </c>
      <c r="X13">
        <v>46.5</v>
      </c>
      <c r="Y13">
        <v>56.5</v>
      </c>
      <c r="Z13">
        <v>56.5</v>
      </c>
      <c r="AA13">
        <v>56.5</v>
      </c>
      <c r="AB13">
        <v>56.5</v>
      </c>
      <c r="AC13">
        <v>56.5</v>
      </c>
      <c r="AD13">
        <v>56.5</v>
      </c>
      <c r="AE13">
        <v>56.5</v>
      </c>
      <c r="AF13">
        <v>56.5</v>
      </c>
      <c r="AG13">
        <v>56.5</v>
      </c>
      <c r="AH13">
        <v>56.5</v>
      </c>
      <c r="AI13">
        <v>56.5</v>
      </c>
      <c r="AJ13">
        <v>56.5</v>
      </c>
      <c r="AK13">
        <v>56.5</v>
      </c>
      <c r="AL13">
        <v>56.5</v>
      </c>
      <c r="AM13">
        <v>56.5</v>
      </c>
      <c r="AN13">
        <v>56.5</v>
      </c>
      <c r="AO13">
        <v>56.5</v>
      </c>
      <c r="AP13">
        <v>56.5</v>
      </c>
      <c r="AQ13">
        <v>56.5</v>
      </c>
      <c r="AR13">
        <v>56.5</v>
      </c>
      <c r="AS13">
        <v>56.5</v>
      </c>
      <c r="AT13">
        <v>56.5</v>
      </c>
      <c r="AU13">
        <v>56.5</v>
      </c>
      <c r="AV13">
        <v>56.5</v>
      </c>
      <c r="AW13">
        <v>56.5</v>
      </c>
      <c r="AX13">
        <v>56.5</v>
      </c>
      <c r="AY13">
        <v>56.5</v>
      </c>
    </row>
    <row r="14" spans="1:51" x14ac:dyDescent="0.3">
      <c r="A14" t="s">
        <v>677</v>
      </c>
      <c r="B14" t="s">
        <v>267</v>
      </c>
      <c r="C14">
        <v>57</v>
      </c>
      <c r="D14">
        <v>57</v>
      </c>
      <c r="E14">
        <v>57</v>
      </c>
      <c r="F14">
        <v>57</v>
      </c>
      <c r="G14">
        <v>57</v>
      </c>
      <c r="H14">
        <v>57</v>
      </c>
      <c r="I14">
        <v>57</v>
      </c>
      <c r="J14">
        <v>57</v>
      </c>
      <c r="K14">
        <v>57</v>
      </c>
      <c r="L14">
        <v>57</v>
      </c>
      <c r="M14">
        <v>57</v>
      </c>
      <c r="N14">
        <v>57</v>
      </c>
      <c r="O14">
        <v>57</v>
      </c>
      <c r="P14">
        <v>57</v>
      </c>
      <c r="Q14">
        <v>57</v>
      </c>
      <c r="R14">
        <v>57</v>
      </c>
      <c r="S14">
        <v>57</v>
      </c>
      <c r="T14">
        <v>57</v>
      </c>
      <c r="U14">
        <v>57</v>
      </c>
      <c r="V14">
        <v>57</v>
      </c>
      <c r="W14">
        <v>57</v>
      </c>
      <c r="X14">
        <v>57</v>
      </c>
      <c r="Y14">
        <v>57</v>
      </c>
      <c r="Z14">
        <v>57</v>
      </c>
      <c r="AA14">
        <v>57</v>
      </c>
      <c r="AB14">
        <v>57</v>
      </c>
      <c r="AC14">
        <v>57</v>
      </c>
      <c r="AD14">
        <v>57</v>
      </c>
      <c r="AE14">
        <v>57</v>
      </c>
      <c r="AF14">
        <v>57</v>
      </c>
      <c r="AG14">
        <v>57</v>
      </c>
      <c r="AH14">
        <v>57</v>
      </c>
      <c r="AI14">
        <v>57</v>
      </c>
      <c r="AJ14">
        <v>57</v>
      </c>
      <c r="AK14">
        <v>57</v>
      </c>
      <c r="AL14">
        <v>57</v>
      </c>
      <c r="AM14">
        <v>57</v>
      </c>
      <c r="AN14">
        <v>57</v>
      </c>
      <c r="AO14">
        <v>57</v>
      </c>
      <c r="AP14">
        <v>57</v>
      </c>
      <c r="AQ14">
        <v>57</v>
      </c>
      <c r="AR14">
        <v>57</v>
      </c>
      <c r="AS14">
        <v>57</v>
      </c>
      <c r="AT14">
        <v>57</v>
      </c>
      <c r="AU14">
        <v>57</v>
      </c>
      <c r="AV14">
        <v>57</v>
      </c>
      <c r="AW14">
        <v>57</v>
      </c>
      <c r="AX14">
        <v>57</v>
      </c>
      <c r="AY14">
        <v>57</v>
      </c>
    </row>
    <row r="15" spans="1:51" x14ac:dyDescent="0.3">
      <c r="A15" t="s">
        <v>677</v>
      </c>
      <c r="B15" t="s">
        <v>268</v>
      </c>
      <c r="C15">
        <v>17.02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3">
      <c r="A16" t="s">
        <v>677</v>
      </c>
      <c r="B16" t="s">
        <v>269</v>
      </c>
      <c r="C16">
        <v>17.02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3">
      <c r="A17" t="s">
        <v>677</v>
      </c>
      <c r="B17" t="s">
        <v>270</v>
      </c>
      <c r="C17">
        <v>17.02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3">
      <c r="A18" t="s">
        <v>677</v>
      </c>
      <c r="B18" t="s">
        <v>271</v>
      </c>
      <c r="C18">
        <v>17.02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3">
      <c r="A19" t="s">
        <v>677</v>
      </c>
      <c r="B19" t="s">
        <v>272</v>
      </c>
      <c r="C19">
        <v>17.02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t="s">
        <v>677</v>
      </c>
      <c r="B20" t="s">
        <v>273</v>
      </c>
      <c r="C20">
        <v>17.02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A21" t="s">
        <v>677</v>
      </c>
      <c r="B21" t="s">
        <v>274</v>
      </c>
      <c r="D21">
        <v>140.09</v>
      </c>
      <c r="E21">
        <v>140.09</v>
      </c>
      <c r="F21">
        <v>140.09</v>
      </c>
      <c r="G21">
        <v>140.09</v>
      </c>
      <c r="H21">
        <v>140.09</v>
      </c>
      <c r="I21">
        <v>140.09</v>
      </c>
      <c r="J21">
        <v>140.09</v>
      </c>
      <c r="K21">
        <v>140.09</v>
      </c>
      <c r="L21">
        <v>140.09</v>
      </c>
      <c r="M21">
        <v>140.09</v>
      </c>
      <c r="N21">
        <v>140.09</v>
      </c>
      <c r="O21">
        <v>140.09</v>
      </c>
      <c r="P21">
        <v>140.09</v>
      </c>
      <c r="Q21">
        <v>140.09</v>
      </c>
      <c r="R21">
        <v>140.09</v>
      </c>
      <c r="S21">
        <v>140.09</v>
      </c>
      <c r="T21">
        <v>140.09</v>
      </c>
      <c r="U21">
        <v>140.09</v>
      </c>
      <c r="V21">
        <v>140.09</v>
      </c>
      <c r="W21">
        <v>233.49</v>
      </c>
      <c r="X21">
        <v>233.49</v>
      </c>
      <c r="Y21">
        <v>233.49</v>
      </c>
      <c r="Z21">
        <v>233.49</v>
      </c>
      <c r="AA21">
        <v>233.49</v>
      </c>
      <c r="AB21">
        <v>233.49</v>
      </c>
      <c r="AC21">
        <v>233.49</v>
      </c>
      <c r="AD21">
        <v>233.49</v>
      </c>
      <c r="AE21">
        <v>233.49</v>
      </c>
      <c r="AF21">
        <v>233.49</v>
      </c>
      <c r="AG21">
        <v>233.49</v>
      </c>
      <c r="AH21">
        <v>233.49</v>
      </c>
      <c r="AI21">
        <v>233.49</v>
      </c>
      <c r="AJ21">
        <v>233.49</v>
      </c>
      <c r="AK21">
        <v>233.49</v>
      </c>
      <c r="AL21">
        <v>233.49</v>
      </c>
      <c r="AM21">
        <v>233.49</v>
      </c>
      <c r="AN21">
        <v>233.49</v>
      </c>
      <c r="AO21">
        <v>233.49</v>
      </c>
      <c r="AP21">
        <v>140.09</v>
      </c>
      <c r="AQ21">
        <v>140.09</v>
      </c>
      <c r="AR21">
        <v>140.09</v>
      </c>
      <c r="AS21">
        <v>140.09</v>
      </c>
      <c r="AT21">
        <v>140.09</v>
      </c>
      <c r="AU21">
        <v>140.09</v>
      </c>
      <c r="AV21">
        <v>140.09</v>
      </c>
      <c r="AW21">
        <v>140.09</v>
      </c>
      <c r="AX21">
        <v>140.09</v>
      </c>
      <c r="AY21">
        <v>140.09</v>
      </c>
    </row>
    <row r="22" spans="1:51" x14ac:dyDescent="0.3">
      <c r="A22" t="s">
        <v>677</v>
      </c>
      <c r="B22" t="s">
        <v>275</v>
      </c>
      <c r="C22">
        <v>280</v>
      </c>
      <c r="D22">
        <v>250</v>
      </c>
      <c r="E22">
        <v>250</v>
      </c>
      <c r="F22">
        <v>250</v>
      </c>
      <c r="G22">
        <v>250</v>
      </c>
      <c r="H22">
        <v>250</v>
      </c>
      <c r="I22">
        <v>250</v>
      </c>
      <c r="J22">
        <v>250</v>
      </c>
      <c r="K22">
        <v>250</v>
      </c>
      <c r="L22">
        <v>250</v>
      </c>
      <c r="M22">
        <v>250</v>
      </c>
      <c r="N22">
        <v>250</v>
      </c>
      <c r="O22">
        <v>250</v>
      </c>
      <c r="P22">
        <v>250</v>
      </c>
      <c r="Q22">
        <v>250</v>
      </c>
      <c r="R22">
        <v>250</v>
      </c>
      <c r="S22">
        <v>250</v>
      </c>
      <c r="T22">
        <v>250</v>
      </c>
      <c r="U22">
        <v>250</v>
      </c>
      <c r="V22">
        <v>250</v>
      </c>
      <c r="W22">
        <v>250</v>
      </c>
      <c r="X22">
        <v>250</v>
      </c>
      <c r="Y22">
        <v>250</v>
      </c>
      <c r="Z22">
        <v>250</v>
      </c>
      <c r="AA22">
        <v>250</v>
      </c>
      <c r="AB22">
        <v>250</v>
      </c>
      <c r="AC22">
        <v>260</v>
      </c>
      <c r="AD22">
        <v>260</v>
      </c>
      <c r="AE22">
        <v>260</v>
      </c>
      <c r="AF22">
        <v>260</v>
      </c>
      <c r="AG22">
        <v>260</v>
      </c>
      <c r="AH22">
        <v>260</v>
      </c>
      <c r="AI22">
        <v>260</v>
      </c>
      <c r="AJ22">
        <v>260</v>
      </c>
      <c r="AK22">
        <v>260</v>
      </c>
      <c r="AL22">
        <v>260</v>
      </c>
      <c r="AM22">
        <v>260</v>
      </c>
      <c r="AN22">
        <v>260</v>
      </c>
      <c r="AO22">
        <v>260</v>
      </c>
      <c r="AP22">
        <v>260</v>
      </c>
      <c r="AQ22">
        <v>260</v>
      </c>
      <c r="AR22">
        <v>260</v>
      </c>
      <c r="AS22">
        <v>260</v>
      </c>
      <c r="AT22">
        <v>260</v>
      </c>
      <c r="AU22">
        <v>260</v>
      </c>
      <c r="AV22">
        <v>240</v>
      </c>
      <c r="AW22">
        <v>240</v>
      </c>
      <c r="AX22">
        <v>240</v>
      </c>
      <c r="AY22">
        <v>240</v>
      </c>
    </row>
    <row r="23" spans="1:51" x14ac:dyDescent="0.3">
      <c r="A23" t="s">
        <v>677</v>
      </c>
      <c r="B23" t="s">
        <v>276</v>
      </c>
      <c r="C23">
        <v>280</v>
      </c>
      <c r="D23">
        <v>250</v>
      </c>
      <c r="E23">
        <v>250</v>
      </c>
      <c r="F23">
        <v>250</v>
      </c>
      <c r="G23">
        <v>250</v>
      </c>
      <c r="H23">
        <v>250</v>
      </c>
      <c r="I23">
        <v>250</v>
      </c>
      <c r="J23">
        <v>250</v>
      </c>
      <c r="K23">
        <v>250</v>
      </c>
      <c r="L23">
        <v>250</v>
      </c>
      <c r="M23">
        <v>250</v>
      </c>
      <c r="N23">
        <v>250</v>
      </c>
      <c r="O23">
        <v>250</v>
      </c>
      <c r="P23">
        <v>250</v>
      </c>
      <c r="Q23">
        <v>250</v>
      </c>
      <c r="R23">
        <v>250</v>
      </c>
      <c r="S23">
        <v>250</v>
      </c>
      <c r="T23">
        <v>250</v>
      </c>
      <c r="U23">
        <v>250</v>
      </c>
      <c r="V23">
        <v>250</v>
      </c>
      <c r="W23">
        <v>250</v>
      </c>
      <c r="X23">
        <v>250</v>
      </c>
      <c r="Y23">
        <v>250</v>
      </c>
      <c r="Z23">
        <v>250</v>
      </c>
      <c r="AA23">
        <v>250</v>
      </c>
      <c r="AB23">
        <v>250</v>
      </c>
      <c r="AC23">
        <v>260</v>
      </c>
      <c r="AD23">
        <v>260</v>
      </c>
      <c r="AE23">
        <v>260</v>
      </c>
      <c r="AF23">
        <v>260</v>
      </c>
      <c r="AG23">
        <v>260</v>
      </c>
      <c r="AH23">
        <v>260</v>
      </c>
      <c r="AI23">
        <v>260</v>
      </c>
      <c r="AJ23">
        <v>260</v>
      </c>
      <c r="AK23">
        <v>260</v>
      </c>
      <c r="AL23">
        <v>260</v>
      </c>
      <c r="AM23">
        <v>260</v>
      </c>
      <c r="AN23">
        <v>260</v>
      </c>
      <c r="AO23">
        <v>260</v>
      </c>
      <c r="AP23">
        <v>260</v>
      </c>
      <c r="AQ23">
        <v>260</v>
      </c>
      <c r="AR23">
        <v>260</v>
      </c>
      <c r="AS23">
        <v>260</v>
      </c>
      <c r="AT23">
        <v>260</v>
      </c>
      <c r="AU23">
        <v>260</v>
      </c>
      <c r="AV23">
        <v>240</v>
      </c>
      <c r="AW23">
        <v>240</v>
      </c>
      <c r="AX23">
        <v>240</v>
      </c>
      <c r="AY23">
        <v>240</v>
      </c>
    </row>
    <row r="24" spans="1:51" x14ac:dyDescent="0.3">
      <c r="A24" t="s">
        <v>677</v>
      </c>
      <c r="B24" t="s">
        <v>83</v>
      </c>
      <c r="C24">
        <v>540</v>
      </c>
      <c r="D24">
        <v>430</v>
      </c>
      <c r="E24">
        <v>430</v>
      </c>
      <c r="F24">
        <v>430</v>
      </c>
      <c r="G24">
        <v>430</v>
      </c>
      <c r="H24">
        <v>430</v>
      </c>
      <c r="I24">
        <v>430</v>
      </c>
      <c r="J24">
        <v>430</v>
      </c>
      <c r="K24">
        <v>430</v>
      </c>
      <c r="L24">
        <v>430</v>
      </c>
      <c r="M24">
        <v>430</v>
      </c>
      <c r="N24">
        <v>430</v>
      </c>
      <c r="O24">
        <v>430</v>
      </c>
      <c r="P24">
        <v>430</v>
      </c>
      <c r="Q24">
        <v>430</v>
      </c>
      <c r="R24">
        <v>430</v>
      </c>
      <c r="S24">
        <v>430</v>
      </c>
      <c r="T24">
        <v>430</v>
      </c>
      <c r="U24">
        <v>430</v>
      </c>
      <c r="V24">
        <v>430</v>
      </c>
      <c r="W24">
        <v>430</v>
      </c>
      <c r="X24">
        <v>430</v>
      </c>
      <c r="Y24">
        <v>430</v>
      </c>
      <c r="Z24">
        <v>430</v>
      </c>
      <c r="AA24">
        <v>430</v>
      </c>
      <c r="AB24">
        <v>430</v>
      </c>
      <c r="AC24">
        <v>430</v>
      </c>
      <c r="AD24">
        <v>430</v>
      </c>
      <c r="AE24">
        <v>430</v>
      </c>
      <c r="AF24">
        <v>430</v>
      </c>
      <c r="AG24">
        <v>430</v>
      </c>
      <c r="AH24">
        <v>430</v>
      </c>
      <c r="AI24">
        <v>430</v>
      </c>
      <c r="AJ24">
        <v>430</v>
      </c>
      <c r="AK24">
        <v>430</v>
      </c>
      <c r="AL24">
        <v>430</v>
      </c>
      <c r="AM24">
        <v>430</v>
      </c>
      <c r="AN24">
        <v>430</v>
      </c>
      <c r="AO24">
        <v>430</v>
      </c>
      <c r="AP24">
        <v>430</v>
      </c>
      <c r="AQ24">
        <v>430</v>
      </c>
      <c r="AR24">
        <v>430</v>
      </c>
      <c r="AS24">
        <v>430</v>
      </c>
      <c r="AT24">
        <v>430</v>
      </c>
      <c r="AU24">
        <v>430</v>
      </c>
      <c r="AV24">
        <v>430</v>
      </c>
      <c r="AW24">
        <v>430</v>
      </c>
      <c r="AX24">
        <v>430</v>
      </c>
      <c r="AY24">
        <v>430</v>
      </c>
    </row>
    <row r="25" spans="1:51" x14ac:dyDescent="0.3">
      <c r="A25" t="s">
        <v>677</v>
      </c>
      <c r="B25" t="s">
        <v>80</v>
      </c>
      <c r="C25">
        <v>323</v>
      </c>
      <c r="D25">
        <v>268.19</v>
      </c>
      <c r="E25">
        <v>268.19</v>
      </c>
      <c r="F25">
        <v>268.19</v>
      </c>
      <c r="G25">
        <v>268.19</v>
      </c>
      <c r="H25">
        <v>268.19</v>
      </c>
      <c r="I25">
        <v>254.95</v>
      </c>
      <c r="J25">
        <v>254.95</v>
      </c>
      <c r="K25">
        <v>254.95</v>
      </c>
      <c r="L25">
        <v>254.95</v>
      </c>
      <c r="M25">
        <v>268.19</v>
      </c>
      <c r="N25">
        <v>268.19</v>
      </c>
      <c r="O25">
        <v>268.19</v>
      </c>
      <c r="P25">
        <v>254.95</v>
      </c>
      <c r="Q25">
        <v>254.95</v>
      </c>
      <c r="R25">
        <v>254.95</v>
      </c>
      <c r="S25">
        <v>261.29000000000002</v>
      </c>
      <c r="T25">
        <v>268.19</v>
      </c>
      <c r="U25">
        <v>268.19</v>
      </c>
      <c r="V25">
        <v>268.19</v>
      </c>
      <c r="W25">
        <v>268.19</v>
      </c>
      <c r="X25">
        <v>268.19</v>
      </c>
      <c r="Y25">
        <v>268.19</v>
      </c>
      <c r="Z25">
        <v>268.19</v>
      </c>
      <c r="AA25">
        <v>254.95</v>
      </c>
      <c r="AB25">
        <v>254.95</v>
      </c>
      <c r="AC25">
        <v>254.95</v>
      </c>
      <c r="AD25">
        <v>261.38</v>
      </c>
      <c r="AE25">
        <v>261.38</v>
      </c>
      <c r="AF25">
        <v>261.38</v>
      </c>
      <c r="AG25">
        <v>261.38</v>
      </c>
      <c r="AH25">
        <v>261.38</v>
      </c>
      <c r="AI25">
        <v>261.38</v>
      </c>
      <c r="AJ25">
        <v>261.38</v>
      </c>
      <c r="AK25">
        <v>261.38</v>
      </c>
      <c r="AL25">
        <v>261.38</v>
      </c>
      <c r="AM25">
        <v>261.38</v>
      </c>
      <c r="AN25">
        <v>261.38</v>
      </c>
      <c r="AO25">
        <v>261.38</v>
      </c>
      <c r="AP25">
        <v>261.38</v>
      </c>
      <c r="AQ25">
        <v>261.38</v>
      </c>
      <c r="AR25">
        <v>261.38</v>
      </c>
      <c r="AS25">
        <v>261.38</v>
      </c>
      <c r="AT25">
        <v>261.38</v>
      </c>
      <c r="AU25">
        <v>261.38</v>
      </c>
      <c r="AV25">
        <v>261.38</v>
      </c>
      <c r="AW25">
        <v>261.38</v>
      </c>
      <c r="AX25">
        <v>254.95</v>
      </c>
      <c r="AY25">
        <v>254.95</v>
      </c>
    </row>
    <row r="26" spans="1:51" x14ac:dyDescent="0.3">
      <c r="A26" t="s">
        <v>677</v>
      </c>
      <c r="B26" t="s">
        <v>81</v>
      </c>
      <c r="C26">
        <v>323</v>
      </c>
      <c r="D26">
        <v>254.95</v>
      </c>
      <c r="E26">
        <v>254.95</v>
      </c>
      <c r="F26">
        <v>254.95</v>
      </c>
      <c r="G26">
        <v>254.95</v>
      </c>
      <c r="H26">
        <v>254.95</v>
      </c>
      <c r="I26">
        <v>254.95</v>
      </c>
      <c r="J26">
        <v>254.95</v>
      </c>
      <c r="K26">
        <v>254.95</v>
      </c>
      <c r="L26">
        <v>254.95</v>
      </c>
      <c r="M26">
        <v>254.95</v>
      </c>
      <c r="N26">
        <v>254.95</v>
      </c>
      <c r="O26">
        <v>254.95</v>
      </c>
      <c r="P26">
        <v>254.95</v>
      </c>
      <c r="Q26">
        <v>254.95</v>
      </c>
      <c r="R26">
        <v>254.95</v>
      </c>
      <c r="S26">
        <v>276.86</v>
      </c>
      <c r="T26">
        <v>276.86</v>
      </c>
      <c r="U26">
        <v>276.86</v>
      </c>
      <c r="V26">
        <v>276.86</v>
      </c>
      <c r="W26">
        <v>276.86</v>
      </c>
      <c r="X26">
        <v>276.86</v>
      </c>
      <c r="Y26">
        <v>276.86</v>
      </c>
      <c r="Z26">
        <v>276.86</v>
      </c>
      <c r="AA26">
        <v>254.95</v>
      </c>
      <c r="AB26">
        <v>254.95</v>
      </c>
      <c r="AC26">
        <v>276.86</v>
      </c>
      <c r="AD26">
        <v>276.86</v>
      </c>
      <c r="AE26">
        <v>276.86</v>
      </c>
      <c r="AF26">
        <v>276.86</v>
      </c>
      <c r="AG26">
        <v>276.86</v>
      </c>
      <c r="AH26">
        <v>276.86</v>
      </c>
      <c r="AI26">
        <v>276.86</v>
      </c>
      <c r="AJ26">
        <v>276.86</v>
      </c>
      <c r="AK26">
        <v>276.86</v>
      </c>
      <c r="AL26">
        <v>276.86</v>
      </c>
      <c r="AM26">
        <v>276.86</v>
      </c>
      <c r="AN26">
        <v>276.86</v>
      </c>
      <c r="AO26">
        <v>276.86</v>
      </c>
      <c r="AP26">
        <v>276.86</v>
      </c>
      <c r="AQ26">
        <v>276.86</v>
      </c>
      <c r="AR26">
        <v>276.86</v>
      </c>
      <c r="AS26">
        <v>276.86</v>
      </c>
      <c r="AT26">
        <v>276.86</v>
      </c>
      <c r="AU26">
        <v>276.86</v>
      </c>
      <c r="AV26">
        <v>276.86</v>
      </c>
      <c r="AW26">
        <v>276.86</v>
      </c>
      <c r="AX26">
        <v>257.16000000000003</v>
      </c>
      <c r="AY26">
        <v>254.95</v>
      </c>
    </row>
    <row r="27" spans="1:51" x14ac:dyDescent="0.3">
      <c r="A27" t="s">
        <v>677</v>
      </c>
      <c r="B27" t="s">
        <v>82</v>
      </c>
      <c r="C27">
        <v>323</v>
      </c>
      <c r="D27">
        <v>276.86</v>
      </c>
      <c r="E27">
        <v>276.86</v>
      </c>
      <c r="F27">
        <v>276.86</v>
      </c>
      <c r="G27">
        <v>276.86</v>
      </c>
      <c r="H27">
        <v>276.86</v>
      </c>
      <c r="I27">
        <v>254.95</v>
      </c>
      <c r="J27">
        <v>254.95</v>
      </c>
      <c r="K27">
        <v>254.95</v>
      </c>
      <c r="L27">
        <v>254.95</v>
      </c>
      <c r="M27">
        <v>276.86</v>
      </c>
      <c r="N27">
        <v>276.86</v>
      </c>
      <c r="O27">
        <v>276.86</v>
      </c>
      <c r="P27">
        <v>254.95</v>
      </c>
      <c r="Q27">
        <v>254.95</v>
      </c>
      <c r="R27">
        <v>254.95</v>
      </c>
      <c r="S27">
        <v>254.95</v>
      </c>
      <c r="T27">
        <v>254.95</v>
      </c>
      <c r="U27">
        <v>254.95</v>
      </c>
      <c r="V27">
        <v>254.95</v>
      </c>
      <c r="W27">
        <v>254.95</v>
      </c>
      <c r="X27">
        <v>254.95</v>
      </c>
      <c r="Y27">
        <v>254.95</v>
      </c>
      <c r="Z27">
        <v>254.95</v>
      </c>
      <c r="AA27">
        <v>254.95</v>
      </c>
      <c r="AB27">
        <v>254.95</v>
      </c>
      <c r="AC27">
        <v>261.76</v>
      </c>
      <c r="AD27">
        <v>261.76</v>
      </c>
      <c r="AE27">
        <v>261.76</v>
      </c>
      <c r="AF27">
        <v>261.76</v>
      </c>
      <c r="AG27">
        <v>261.76</v>
      </c>
      <c r="AH27">
        <v>261.76</v>
      </c>
      <c r="AI27">
        <v>261.76</v>
      </c>
      <c r="AJ27">
        <v>261.76</v>
      </c>
      <c r="AK27">
        <v>261.76</v>
      </c>
      <c r="AL27">
        <v>261.76</v>
      </c>
      <c r="AM27">
        <v>261.76</v>
      </c>
      <c r="AN27">
        <v>261.76</v>
      </c>
      <c r="AO27">
        <v>261.76</v>
      </c>
      <c r="AP27">
        <v>261.76</v>
      </c>
      <c r="AQ27">
        <v>261.76</v>
      </c>
      <c r="AR27">
        <v>261.76</v>
      </c>
      <c r="AS27">
        <v>261.76</v>
      </c>
      <c r="AT27">
        <v>261.76</v>
      </c>
      <c r="AU27">
        <v>261.76</v>
      </c>
      <c r="AV27">
        <v>261.76</v>
      </c>
      <c r="AW27">
        <v>261.76</v>
      </c>
      <c r="AX27">
        <v>261.76</v>
      </c>
      <c r="AY27">
        <v>254.95</v>
      </c>
    </row>
    <row r="28" spans="1:51" x14ac:dyDescent="0.3">
      <c r="A28" t="s">
        <v>677</v>
      </c>
      <c r="B28" t="s">
        <v>277</v>
      </c>
      <c r="C28">
        <v>280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3">
      <c r="A29" t="s">
        <v>677</v>
      </c>
      <c r="B29" t="s">
        <v>278</v>
      </c>
      <c r="C29">
        <v>280</v>
      </c>
      <c r="D29">
        <v>270</v>
      </c>
      <c r="E29">
        <v>270</v>
      </c>
      <c r="F29">
        <v>270</v>
      </c>
      <c r="G29">
        <v>270</v>
      </c>
      <c r="H29">
        <v>270</v>
      </c>
      <c r="I29">
        <v>270</v>
      </c>
      <c r="J29">
        <v>270</v>
      </c>
      <c r="K29">
        <v>270</v>
      </c>
      <c r="L29">
        <v>270</v>
      </c>
      <c r="M29">
        <v>270</v>
      </c>
      <c r="N29">
        <v>270</v>
      </c>
      <c r="O29">
        <v>270</v>
      </c>
      <c r="P29">
        <v>270</v>
      </c>
      <c r="Q29">
        <v>275</v>
      </c>
      <c r="R29">
        <v>275</v>
      </c>
      <c r="S29">
        <v>280</v>
      </c>
      <c r="T29">
        <v>280</v>
      </c>
      <c r="U29">
        <v>280</v>
      </c>
      <c r="V29">
        <v>280</v>
      </c>
      <c r="W29">
        <v>280</v>
      </c>
      <c r="X29">
        <v>280</v>
      </c>
      <c r="Y29">
        <v>280</v>
      </c>
      <c r="Z29">
        <v>280</v>
      </c>
      <c r="AA29">
        <v>280</v>
      </c>
      <c r="AB29">
        <v>280</v>
      </c>
      <c r="AC29">
        <v>280</v>
      </c>
      <c r="AD29">
        <v>280</v>
      </c>
      <c r="AE29">
        <v>280</v>
      </c>
      <c r="AF29">
        <v>280</v>
      </c>
      <c r="AG29">
        <v>280</v>
      </c>
      <c r="AH29">
        <v>280</v>
      </c>
      <c r="AI29">
        <v>280</v>
      </c>
      <c r="AJ29">
        <v>280</v>
      </c>
      <c r="AK29">
        <v>280</v>
      </c>
      <c r="AL29">
        <v>280</v>
      </c>
      <c r="AM29">
        <v>280</v>
      </c>
      <c r="AN29">
        <v>280</v>
      </c>
      <c r="AO29">
        <v>280</v>
      </c>
      <c r="AP29">
        <v>280</v>
      </c>
      <c r="AQ29">
        <v>280</v>
      </c>
      <c r="AR29">
        <v>280</v>
      </c>
      <c r="AS29">
        <v>275</v>
      </c>
      <c r="AT29">
        <v>275</v>
      </c>
      <c r="AU29">
        <v>250</v>
      </c>
      <c r="AV29">
        <v>250</v>
      </c>
      <c r="AW29">
        <v>250</v>
      </c>
      <c r="AX29">
        <v>250</v>
      </c>
      <c r="AY29">
        <v>250</v>
      </c>
    </row>
    <row r="30" spans="1:51" x14ac:dyDescent="0.3">
      <c r="A30" t="s">
        <v>677</v>
      </c>
      <c r="B30" t="s">
        <v>279</v>
      </c>
      <c r="C30">
        <v>280</v>
      </c>
      <c r="D30">
        <v>270</v>
      </c>
      <c r="E30">
        <v>270</v>
      </c>
      <c r="F30">
        <v>270</v>
      </c>
      <c r="G30">
        <v>270</v>
      </c>
      <c r="H30">
        <v>270</v>
      </c>
      <c r="I30">
        <v>270</v>
      </c>
      <c r="J30">
        <v>270</v>
      </c>
      <c r="K30">
        <v>270</v>
      </c>
      <c r="L30">
        <v>270</v>
      </c>
      <c r="M30">
        <v>270</v>
      </c>
      <c r="N30">
        <v>270</v>
      </c>
      <c r="O30">
        <v>270</v>
      </c>
      <c r="P30">
        <v>270</v>
      </c>
      <c r="Q30">
        <v>275</v>
      </c>
      <c r="R30">
        <v>275</v>
      </c>
      <c r="S30">
        <v>280</v>
      </c>
      <c r="T30">
        <v>280</v>
      </c>
      <c r="U30">
        <v>280</v>
      </c>
      <c r="V30">
        <v>280</v>
      </c>
      <c r="W30">
        <v>280</v>
      </c>
      <c r="X30">
        <v>280</v>
      </c>
      <c r="Y30">
        <v>280</v>
      </c>
      <c r="Z30">
        <v>280</v>
      </c>
      <c r="AA30">
        <v>280</v>
      </c>
      <c r="AB30">
        <v>280</v>
      </c>
      <c r="AC30">
        <v>280</v>
      </c>
      <c r="AD30">
        <v>280</v>
      </c>
      <c r="AE30">
        <v>280</v>
      </c>
      <c r="AF30">
        <v>280</v>
      </c>
      <c r="AG30">
        <v>280</v>
      </c>
      <c r="AH30">
        <v>280</v>
      </c>
      <c r="AI30">
        <v>280</v>
      </c>
      <c r="AJ30">
        <v>280</v>
      </c>
      <c r="AK30">
        <v>280</v>
      </c>
      <c r="AL30">
        <v>280</v>
      </c>
      <c r="AM30">
        <v>280</v>
      </c>
      <c r="AN30">
        <v>280</v>
      </c>
      <c r="AO30">
        <v>280</v>
      </c>
      <c r="AP30">
        <v>280</v>
      </c>
      <c r="AQ30">
        <v>280</v>
      </c>
      <c r="AR30">
        <v>280</v>
      </c>
      <c r="AS30">
        <v>275</v>
      </c>
      <c r="AT30">
        <v>275</v>
      </c>
      <c r="AU30">
        <v>250</v>
      </c>
      <c r="AV30">
        <v>250</v>
      </c>
      <c r="AW30">
        <v>250</v>
      </c>
      <c r="AX30">
        <v>250</v>
      </c>
      <c r="AY30">
        <v>250</v>
      </c>
    </row>
    <row r="31" spans="1:51" x14ac:dyDescent="0.3">
      <c r="A31" t="s">
        <v>677</v>
      </c>
      <c r="B31" t="s">
        <v>280</v>
      </c>
      <c r="C31">
        <v>293</v>
      </c>
      <c r="D31">
        <v>230</v>
      </c>
      <c r="E31">
        <v>230</v>
      </c>
      <c r="F31">
        <v>230</v>
      </c>
      <c r="G31">
        <v>230</v>
      </c>
      <c r="H31">
        <v>230</v>
      </c>
      <c r="I31">
        <v>230</v>
      </c>
      <c r="J31">
        <v>230</v>
      </c>
      <c r="K31">
        <v>230</v>
      </c>
      <c r="L31">
        <v>230</v>
      </c>
      <c r="M31">
        <v>230</v>
      </c>
      <c r="N31">
        <v>230</v>
      </c>
      <c r="O31">
        <v>230</v>
      </c>
      <c r="P31">
        <v>230</v>
      </c>
      <c r="Q31">
        <v>230</v>
      </c>
      <c r="R31">
        <v>230</v>
      </c>
      <c r="S31">
        <v>230</v>
      </c>
      <c r="T31">
        <v>230</v>
      </c>
      <c r="U31">
        <v>230</v>
      </c>
      <c r="V31">
        <v>230</v>
      </c>
      <c r="W31">
        <v>230</v>
      </c>
      <c r="X31">
        <v>230</v>
      </c>
      <c r="Y31">
        <v>230</v>
      </c>
      <c r="Z31">
        <v>230</v>
      </c>
      <c r="AA31">
        <v>230</v>
      </c>
      <c r="AB31">
        <v>230</v>
      </c>
      <c r="AC31">
        <v>230</v>
      </c>
      <c r="AD31">
        <v>230</v>
      </c>
      <c r="AE31">
        <v>230</v>
      </c>
      <c r="AF31">
        <v>230</v>
      </c>
      <c r="AG31">
        <v>230</v>
      </c>
      <c r="AH31">
        <v>230</v>
      </c>
      <c r="AI31">
        <v>230</v>
      </c>
      <c r="AJ31">
        <v>230</v>
      </c>
      <c r="AK31">
        <v>230</v>
      </c>
      <c r="AL31">
        <v>230</v>
      </c>
      <c r="AM31">
        <v>230</v>
      </c>
      <c r="AN31">
        <v>230</v>
      </c>
      <c r="AO31">
        <v>230</v>
      </c>
      <c r="AP31">
        <v>230</v>
      </c>
      <c r="AQ31">
        <v>230</v>
      </c>
      <c r="AR31">
        <v>230</v>
      </c>
      <c r="AS31">
        <v>230</v>
      </c>
      <c r="AT31">
        <v>230</v>
      </c>
      <c r="AU31">
        <v>230</v>
      </c>
      <c r="AV31">
        <v>230</v>
      </c>
      <c r="AW31">
        <v>230</v>
      </c>
      <c r="AX31">
        <v>230</v>
      </c>
      <c r="AY31">
        <v>230</v>
      </c>
    </row>
    <row r="32" spans="1:51" x14ac:dyDescent="0.3">
      <c r="A32" t="s">
        <v>677</v>
      </c>
      <c r="B32" t="s">
        <v>281</v>
      </c>
      <c r="C32">
        <v>371.5</v>
      </c>
      <c r="D32">
        <v>284.2</v>
      </c>
      <c r="E32">
        <v>284.2</v>
      </c>
      <c r="F32">
        <v>284.2</v>
      </c>
      <c r="G32">
        <v>284.2</v>
      </c>
      <c r="H32">
        <v>284.2</v>
      </c>
      <c r="I32">
        <v>284.2</v>
      </c>
      <c r="J32">
        <v>284.2</v>
      </c>
      <c r="K32">
        <v>284.2</v>
      </c>
      <c r="L32">
        <v>284.2</v>
      </c>
      <c r="M32">
        <v>284.2</v>
      </c>
      <c r="N32">
        <v>284.2</v>
      </c>
      <c r="O32">
        <v>200</v>
      </c>
      <c r="P32">
        <v>200</v>
      </c>
      <c r="Q32">
        <v>200</v>
      </c>
      <c r="R32">
        <v>200</v>
      </c>
      <c r="S32">
        <v>200</v>
      </c>
      <c r="T32">
        <v>200</v>
      </c>
      <c r="U32">
        <v>284.2</v>
      </c>
      <c r="V32">
        <v>284.2</v>
      </c>
      <c r="W32">
        <v>284.2</v>
      </c>
      <c r="X32">
        <v>284.2</v>
      </c>
      <c r="Y32">
        <v>284.2</v>
      </c>
      <c r="Z32">
        <v>284.2</v>
      </c>
      <c r="AA32">
        <v>284.2</v>
      </c>
      <c r="AB32">
        <v>206.89</v>
      </c>
      <c r="AC32">
        <v>284.2</v>
      </c>
      <c r="AD32">
        <v>284.2</v>
      </c>
      <c r="AE32">
        <v>284.2</v>
      </c>
      <c r="AF32">
        <v>284.2</v>
      </c>
      <c r="AG32">
        <v>284.2</v>
      </c>
      <c r="AH32">
        <v>284.2</v>
      </c>
      <c r="AI32">
        <v>284.2</v>
      </c>
      <c r="AJ32">
        <v>284.2</v>
      </c>
      <c r="AK32">
        <v>284.2</v>
      </c>
      <c r="AL32">
        <v>284.2</v>
      </c>
      <c r="AM32">
        <v>284.2</v>
      </c>
      <c r="AN32">
        <v>284.2</v>
      </c>
      <c r="AO32">
        <v>284.2</v>
      </c>
      <c r="AP32">
        <v>284.2</v>
      </c>
      <c r="AQ32">
        <v>284.2</v>
      </c>
      <c r="AR32">
        <v>284.2</v>
      </c>
      <c r="AS32">
        <v>284.2</v>
      </c>
      <c r="AT32">
        <v>200</v>
      </c>
      <c r="AU32">
        <v>200</v>
      </c>
      <c r="AV32">
        <v>200</v>
      </c>
      <c r="AW32">
        <v>200</v>
      </c>
      <c r="AX32">
        <v>200</v>
      </c>
      <c r="AY32">
        <v>200</v>
      </c>
    </row>
    <row r="33" spans="1:51" x14ac:dyDescent="0.3">
      <c r="A33" t="s">
        <v>677</v>
      </c>
      <c r="B33" t="s">
        <v>283</v>
      </c>
      <c r="C33">
        <v>162</v>
      </c>
      <c r="D33">
        <v>90</v>
      </c>
      <c r="E33">
        <v>90</v>
      </c>
      <c r="F33">
        <v>90</v>
      </c>
      <c r="G33">
        <v>90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90</v>
      </c>
      <c r="N33">
        <v>90</v>
      </c>
      <c r="O33">
        <v>90</v>
      </c>
      <c r="P33">
        <v>90</v>
      </c>
      <c r="Q33">
        <v>90</v>
      </c>
      <c r="R33">
        <v>90</v>
      </c>
      <c r="S33">
        <v>90</v>
      </c>
      <c r="T33">
        <v>90</v>
      </c>
      <c r="U33">
        <v>90</v>
      </c>
      <c r="V33">
        <v>90</v>
      </c>
      <c r="W33">
        <v>90</v>
      </c>
      <c r="X33">
        <v>90</v>
      </c>
      <c r="Y33">
        <v>90</v>
      </c>
      <c r="Z33">
        <v>90</v>
      </c>
      <c r="AA33">
        <v>90</v>
      </c>
      <c r="AB33">
        <v>90</v>
      </c>
      <c r="AC33">
        <v>90</v>
      </c>
      <c r="AD33">
        <v>90</v>
      </c>
      <c r="AE33">
        <v>90</v>
      </c>
      <c r="AF33">
        <v>90</v>
      </c>
      <c r="AG33">
        <v>90</v>
      </c>
      <c r="AH33">
        <v>90</v>
      </c>
      <c r="AI33">
        <v>90</v>
      </c>
      <c r="AJ33">
        <v>90</v>
      </c>
      <c r="AK33">
        <v>90</v>
      </c>
      <c r="AL33">
        <v>90</v>
      </c>
      <c r="AM33">
        <v>90</v>
      </c>
      <c r="AN33">
        <v>90</v>
      </c>
      <c r="AO33">
        <v>90</v>
      </c>
      <c r="AP33">
        <v>90</v>
      </c>
      <c r="AQ33">
        <v>90</v>
      </c>
      <c r="AR33">
        <v>90</v>
      </c>
      <c r="AS33">
        <v>90</v>
      </c>
      <c r="AT33">
        <v>90</v>
      </c>
      <c r="AU33">
        <v>90</v>
      </c>
      <c r="AV33">
        <v>90</v>
      </c>
      <c r="AW33">
        <v>90</v>
      </c>
      <c r="AX33">
        <v>90</v>
      </c>
      <c r="AY33">
        <v>90</v>
      </c>
    </row>
    <row r="34" spans="1:51" x14ac:dyDescent="0.3">
      <c r="A34" t="s">
        <v>677</v>
      </c>
      <c r="B34" t="s">
        <v>284</v>
      </c>
      <c r="C34">
        <v>162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3">
      <c r="A35" t="s">
        <v>677</v>
      </c>
      <c r="B35" t="s">
        <v>285</v>
      </c>
      <c r="D35">
        <v>82.5</v>
      </c>
      <c r="E35">
        <v>114.03</v>
      </c>
      <c r="F35">
        <v>122.28</v>
      </c>
      <c r="G35">
        <v>122.28</v>
      </c>
      <c r="H35">
        <v>122.28</v>
      </c>
      <c r="I35">
        <v>122.28</v>
      </c>
      <c r="J35">
        <v>122.28</v>
      </c>
      <c r="K35">
        <v>122.28</v>
      </c>
      <c r="L35">
        <v>122.28</v>
      </c>
      <c r="M35">
        <v>122.28</v>
      </c>
      <c r="N35">
        <v>122.28</v>
      </c>
      <c r="O35">
        <v>122.28</v>
      </c>
      <c r="P35">
        <v>122.28</v>
      </c>
      <c r="Q35">
        <v>122.28</v>
      </c>
      <c r="R35">
        <v>122.28</v>
      </c>
      <c r="S35">
        <v>151.25</v>
      </c>
      <c r="T35">
        <v>187.57</v>
      </c>
      <c r="U35">
        <v>400</v>
      </c>
      <c r="V35">
        <v>400</v>
      </c>
      <c r="W35">
        <v>400</v>
      </c>
      <c r="X35">
        <v>400</v>
      </c>
      <c r="Y35">
        <v>400</v>
      </c>
      <c r="Z35">
        <v>400</v>
      </c>
      <c r="AA35">
        <v>281.36</v>
      </c>
      <c r="AB35">
        <v>281.36</v>
      </c>
      <c r="AC35">
        <v>281.36</v>
      </c>
      <c r="AD35">
        <v>281.36</v>
      </c>
      <c r="AE35">
        <v>281.36</v>
      </c>
      <c r="AF35">
        <v>281.36</v>
      </c>
      <c r="AG35">
        <v>281.36</v>
      </c>
      <c r="AH35">
        <v>281.36</v>
      </c>
      <c r="AI35">
        <v>281.36</v>
      </c>
      <c r="AJ35">
        <v>281.36</v>
      </c>
      <c r="AK35">
        <v>281.36</v>
      </c>
      <c r="AL35">
        <v>281.36</v>
      </c>
      <c r="AM35">
        <v>281.36</v>
      </c>
      <c r="AN35">
        <v>281.36</v>
      </c>
      <c r="AO35">
        <v>281.36</v>
      </c>
      <c r="AP35">
        <v>281.36</v>
      </c>
      <c r="AQ35">
        <v>270.72000000000003</v>
      </c>
      <c r="AR35">
        <v>187.57</v>
      </c>
      <c r="AS35">
        <v>176.94</v>
      </c>
      <c r="AT35">
        <v>122.28</v>
      </c>
      <c r="AU35">
        <v>122.28</v>
      </c>
      <c r="AV35">
        <v>122.28</v>
      </c>
      <c r="AW35">
        <v>122.28</v>
      </c>
      <c r="AX35">
        <v>122.28</v>
      </c>
      <c r="AY35">
        <v>122.28</v>
      </c>
    </row>
    <row r="36" spans="1:51" x14ac:dyDescent="0.3">
      <c r="A36" t="s">
        <v>677</v>
      </c>
      <c r="B36" t="s">
        <v>286</v>
      </c>
      <c r="D36">
        <v>236.15</v>
      </c>
      <c r="E36">
        <v>180.85</v>
      </c>
      <c r="F36">
        <v>195.22</v>
      </c>
      <c r="G36">
        <v>180.85</v>
      </c>
      <c r="H36">
        <v>180.85</v>
      </c>
      <c r="I36">
        <v>180.85</v>
      </c>
      <c r="J36">
        <v>180.85</v>
      </c>
      <c r="K36">
        <v>180.85</v>
      </c>
      <c r="L36">
        <v>180.85</v>
      </c>
      <c r="M36">
        <v>180.85</v>
      </c>
      <c r="N36">
        <v>244.71</v>
      </c>
      <c r="O36">
        <v>180.85</v>
      </c>
      <c r="P36">
        <v>180.85</v>
      </c>
      <c r="Q36">
        <v>180.85</v>
      </c>
      <c r="R36">
        <v>180.85</v>
      </c>
      <c r="S36">
        <v>180.85</v>
      </c>
      <c r="T36">
        <v>180.85</v>
      </c>
      <c r="U36">
        <v>180.85</v>
      </c>
      <c r="V36">
        <v>242.11</v>
      </c>
      <c r="W36">
        <v>180.85</v>
      </c>
      <c r="X36">
        <v>180.85</v>
      </c>
      <c r="Y36">
        <v>180.85</v>
      </c>
      <c r="Z36">
        <v>180.85</v>
      </c>
      <c r="AA36">
        <v>191.93</v>
      </c>
      <c r="AB36">
        <v>180.85</v>
      </c>
      <c r="AC36">
        <v>180.85</v>
      </c>
      <c r="AD36">
        <v>218.76</v>
      </c>
      <c r="AE36">
        <v>214.83</v>
      </c>
      <c r="AF36">
        <v>240.04</v>
      </c>
      <c r="AG36">
        <v>199.83</v>
      </c>
      <c r="AH36">
        <v>204.19</v>
      </c>
      <c r="AI36">
        <v>211.64</v>
      </c>
      <c r="AJ36">
        <v>201.53</v>
      </c>
      <c r="AK36">
        <v>180.85</v>
      </c>
      <c r="AL36">
        <v>180.85</v>
      </c>
      <c r="AM36">
        <v>328.29</v>
      </c>
      <c r="AN36">
        <v>251.74</v>
      </c>
      <c r="AO36">
        <v>180.85</v>
      </c>
      <c r="AP36">
        <v>180.85</v>
      </c>
      <c r="AQ36">
        <v>226.01</v>
      </c>
      <c r="AR36">
        <v>242.53</v>
      </c>
      <c r="AS36">
        <v>180.85</v>
      </c>
      <c r="AT36">
        <v>251.74</v>
      </c>
      <c r="AU36">
        <v>180.85</v>
      </c>
      <c r="AV36">
        <v>180.85</v>
      </c>
      <c r="AW36">
        <v>207.63</v>
      </c>
      <c r="AX36">
        <v>200.99</v>
      </c>
      <c r="AY36">
        <v>180.85</v>
      </c>
    </row>
    <row r="37" spans="1:51" x14ac:dyDescent="0.3">
      <c r="A37" t="s">
        <v>677</v>
      </c>
      <c r="B37" t="s">
        <v>287</v>
      </c>
      <c r="C37">
        <v>165</v>
      </c>
      <c r="D37">
        <v>164.55</v>
      </c>
      <c r="E37">
        <v>122.89</v>
      </c>
      <c r="F37">
        <v>82.5</v>
      </c>
      <c r="G37">
        <v>82.5</v>
      </c>
      <c r="H37">
        <v>82.5</v>
      </c>
      <c r="I37">
        <v>82.5</v>
      </c>
      <c r="J37">
        <v>82.5</v>
      </c>
      <c r="K37">
        <v>82.5</v>
      </c>
      <c r="L37">
        <v>82.5</v>
      </c>
      <c r="M37">
        <v>82.5</v>
      </c>
      <c r="N37">
        <v>165</v>
      </c>
      <c r="O37">
        <v>82.5</v>
      </c>
      <c r="P37">
        <v>95.3</v>
      </c>
      <c r="Q37">
        <v>115.64</v>
      </c>
      <c r="R37">
        <v>149.94999999999999</v>
      </c>
      <c r="S37">
        <v>164.14</v>
      </c>
      <c r="T37">
        <v>165</v>
      </c>
      <c r="U37">
        <v>96.15</v>
      </c>
      <c r="V37">
        <v>165</v>
      </c>
      <c r="W37">
        <v>165</v>
      </c>
      <c r="X37">
        <v>165</v>
      </c>
      <c r="Y37">
        <v>165</v>
      </c>
      <c r="Z37">
        <v>164.89</v>
      </c>
      <c r="AA37">
        <v>165</v>
      </c>
      <c r="AB37">
        <v>162.1</v>
      </c>
      <c r="AC37">
        <v>159.63999999999999</v>
      </c>
      <c r="AD37">
        <v>165</v>
      </c>
      <c r="AE37">
        <v>165</v>
      </c>
      <c r="AF37">
        <v>165</v>
      </c>
      <c r="AG37">
        <v>165</v>
      </c>
      <c r="AH37">
        <v>165</v>
      </c>
      <c r="AI37">
        <v>165</v>
      </c>
      <c r="AJ37">
        <v>165</v>
      </c>
      <c r="AK37">
        <v>165</v>
      </c>
      <c r="AL37">
        <v>165</v>
      </c>
      <c r="AM37">
        <v>165</v>
      </c>
      <c r="AN37">
        <v>165</v>
      </c>
      <c r="AO37">
        <v>165</v>
      </c>
      <c r="AP37">
        <v>125.67</v>
      </c>
      <c r="AQ37">
        <v>165</v>
      </c>
      <c r="AR37">
        <v>165</v>
      </c>
      <c r="AS37">
        <v>165</v>
      </c>
      <c r="AT37">
        <v>165</v>
      </c>
      <c r="AU37">
        <v>165</v>
      </c>
      <c r="AV37">
        <v>165</v>
      </c>
      <c r="AW37">
        <v>82.5</v>
      </c>
      <c r="AX37">
        <v>82.5</v>
      </c>
      <c r="AY37">
        <v>122.39</v>
      </c>
    </row>
    <row r="38" spans="1:51" x14ac:dyDescent="0.3">
      <c r="A38" t="s">
        <v>677</v>
      </c>
      <c r="B38" t="s">
        <v>288</v>
      </c>
      <c r="C38">
        <v>330</v>
      </c>
      <c r="D38">
        <v>329.1</v>
      </c>
      <c r="E38">
        <v>245.78</v>
      </c>
      <c r="F38">
        <v>165</v>
      </c>
      <c r="G38">
        <v>165</v>
      </c>
      <c r="H38">
        <v>165</v>
      </c>
      <c r="I38">
        <v>165</v>
      </c>
      <c r="J38">
        <v>165</v>
      </c>
      <c r="K38">
        <v>165</v>
      </c>
      <c r="L38">
        <v>165</v>
      </c>
      <c r="M38">
        <v>165</v>
      </c>
      <c r="N38">
        <v>330</v>
      </c>
      <c r="O38">
        <v>165</v>
      </c>
      <c r="P38">
        <v>190.59</v>
      </c>
      <c r="Q38">
        <v>231.28</v>
      </c>
      <c r="R38">
        <v>299.91000000000003</v>
      </c>
      <c r="S38">
        <v>328.27</v>
      </c>
      <c r="T38">
        <v>330</v>
      </c>
      <c r="U38">
        <v>192.3</v>
      </c>
      <c r="V38">
        <v>330</v>
      </c>
      <c r="W38">
        <v>330</v>
      </c>
      <c r="X38">
        <v>330</v>
      </c>
      <c r="Y38">
        <v>330</v>
      </c>
      <c r="Z38">
        <v>329.77</v>
      </c>
      <c r="AA38">
        <v>330</v>
      </c>
      <c r="AB38">
        <v>324.2</v>
      </c>
      <c r="AC38">
        <v>319.27999999999997</v>
      </c>
      <c r="AD38">
        <v>330</v>
      </c>
      <c r="AE38">
        <v>330</v>
      </c>
      <c r="AF38">
        <v>330</v>
      </c>
      <c r="AG38">
        <v>330</v>
      </c>
      <c r="AH38">
        <v>330</v>
      </c>
      <c r="AI38">
        <v>330</v>
      </c>
      <c r="AJ38">
        <v>330</v>
      </c>
      <c r="AK38">
        <v>330</v>
      </c>
      <c r="AL38">
        <v>330</v>
      </c>
      <c r="AM38">
        <v>330</v>
      </c>
      <c r="AN38">
        <v>330</v>
      </c>
      <c r="AO38">
        <v>330</v>
      </c>
      <c r="AP38">
        <v>251.34</v>
      </c>
      <c r="AQ38">
        <v>330</v>
      </c>
      <c r="AR38">
        <v>330</v>
      </c>
      <c r="AS38">
        <v>330</v>
      </c>
      <c r="AT38">
        <v>330</v>
      </c>
      <c r="AU38">
        <v>330</v>
      </c>
      <c r="AV38">
        <v>330</v>
      </c>
      <c r="AW38">
        <v>165</v>
      </c>
      <c r="AX38">
        <v>165</v>
      </c>
      <c r="AY38">
        <v>244.78</v>
      </c>
    </row>
    <row r="39" spans="1:51" x14ac:dyDescent="0.3">
      <c r="A39" t="s">
        <v>677</v>
      </c>
      <c r="B39" t="s">
        <v>290</v>
      </c>
      <c r="D39">
        <v>188.19</v>
      </c>
      <c r="E39">
        <v>188.19</v>
      </c>
      <c r="F39">
        <v>188.19</v>
      </c>
      <c r="G39">
        <v>188.19</v>
      </c>
      <c r="H39">
        <v>188.19</v>
      </c>
      <c r="I39">
        <v>188.19</v>
      </c>
      <c r="J39">
        <v>188.19</v>
      </c>
      <c r="K39">
        <v>188.19</v>
      </c>
      <c r="L39">
        <v>188.19</v>
      </c>
      <c r="M39">
        <v>188.19</v>
      </c>
      <c r="N39">
        <v>188.19</v>
      </c>
      <c r="O39">
        <v>188.19</v>
      </c>
      <c r="P39">
        <v>188.19</v>
      </c>
      <c r="Q39">
        <v>188.19</v>
      </c>
      <c r="R39">
        <v>188.19</v>
      </c>
      <c r="S39">
        <v>188.19</v>
      </c>
      <c r="T39">
        <v>188.19</v>
      </c>
      <c r="U39">
        <v>173.77</v>
      </c>
      <c r="V39">
        <v>188.19</v>
      </c>
      <c r="W39">
        <v>188.19</v>
      </c>
      <c r="X39">
        <v>188.19</v>
      </c>
      <c r="Y39">
        <v>188.19</v>
      </c>
      <c r="Z39">
        <v>188.19</v>
      </c>
      <c r="AA39">
        <v>188.19</v>
      </c>
      <c r="AB39">
        <v>188.19</v>
      </c>
      <c r="AC39">
        <v>188.19</v>
      </c>
      <c r="AD39">
        <v>188.19</v>
      </c>
      <c r="AE39">
        <v>188.19</v>
      </c>
      <c r="AF39">
        <v>188.19</v>
      </c>
      <c r="AG39">
        <v>188.19</v>
      </c>
      <c r="AH39">
        <v>188.19</v>
      </c>
      <c r="AI39">
        <v>188.19</v>
      </c>
      <c r="AJ39">
        <v>188.19</v>
      </c>
      <c r="AK39">
        <v>188.19</v>
      </c>
      <c r="AL39">
        <v>188.19</v>
      </c>
      <c r="AM39">
        <v>188.19</v>
      </c>
      <c r="AN39">
        <v>188.19</v>
      </c>
      <c r="AO39">
        <v>188.19</v>
      </c>
      <c r="AP39">
        <v>188.19</v>
      </c>
      <c r="AQ39">
        <v>188.19</v>
      </c>
      <c r="AR39">
        <v>188.19</v>
      </c>
      <c r="AS39">
        <v>188.19</v>
      </c>
      <c r="AT39">
        <v>188.19</v>
      </c>
      <c r="AU39">
        <v>188.19</v>
      </c>
      <c r="AV39">
        <v>188.19</v>
      </c>
      <c r="AW39">
        <v>188.19</v>
      </c>
      <c r="AX39">
        <v>188.19</v>
      </c>
      <c r="AY39">
        <v>188.19</v>
      </c>
    </row>
    <row r="40" spans="1:51" x14ac:dyDescent="0.3">
      <c r="A40" t="s">
        <v>677</v>
      </c>
      <c r="B40" t="s">
        <v>291</v>
      </c>
    </row>
    <row r="41" spans="1:51" x14ac:dyDescent="0.3">
      <c r="A41" t="s">
        <v>677</v>
      </c>
      <c r="B41" t="s">
        <v>31</v>
      </c>
      <c r="C41">
        <v>625</v>
      </c>
      <c r="D41">
        <v>550</v>
      </c>
      <c r="E41">
        <v>550</v>
      </c>
      <c r="F41">
        <v>550</v>
      </c>
      <c r="G41">
        <v>550</v>
      </c>
      <c r="H41">
        <v>550</v>
      </c>
      <c r="I41">
        <v>550</v>
      </c>
      <c r="J41">
        <v>550</v>
      </c>
      <c r="K41">
        <v>603</v>
      </c>
      <c r="L41">
        <v>603</v>
      </c>
      <c r="M41">
        <v>603</v>
      </c>
      <c r="N41">
        <v>603</v>
      </c>
      <c r="O41">
        <v>603</v>
      </c>
      <c r="P41">
        <v>603</v>
      </c>
      <c r="Q41">
        <v>603</v>
      </c>
      <c r="R41">
        <v>603</v>
      </c>
      <c r="S41">
        <v>603</v>
      </c>
      <c r="T41">
        <v>603</v>
      </c>
      <c r="U41">
        <v>603</v>
      </c>
      <c r="V41">
        <v>603</v>
      </c>
      <c r="W41">
        <v>603</v>
      </c>
      <c r="X41">
        <v>603</v>
      </c>
      <c r="Y41">
        <v>603</v>
      </c>
      <c r="Z41">
        <v>603</v>
      </c>
      <c r="AA41">
        <v>603</v>
      </c>
      <c r="AB41">
        <v>603</v>
      </c>
      <c r="AC41">
        <v>603</v>
      </c>
      <c r="AD41">
        <v>612.5</v>
      </c>
      <c r="AE41">
        <v>612.5</v>
      </c>
      <c r="AF41">
        <v>612.5</v>
      </c>
      <c r="AG41">
        <v>612.5</v>
      </c>
      <c r="AH41">
        <v>612.5</v>
      </c>
      <c r="AI41">
        <v>612.5</v>
      </c>
      <c r="AJ41">
        <v>612.5</v>
      </c>
      <c r="AK41">
        <v>612.5</v>
      </c>
      <c r="AL41">
        <v>612.5</v>
      </c>
      <c r="AM41">
        <v>612.5</v>
      </c>
      <c r="AN41">
        <v>612.5</v>
      </c>
      <c r="AO41">
        <v>612.5</v>
      </c>
      <c r="AP41">
        <v>612.5</v>
      </c>
      <c r="AQ41">
        <v>612.5</v>
      </c>
      <c r="AR41">
        <v>612.5</v>
      </c>
      <c r="AS41">
        <v>612.5</v>
      </c>
      <c r="AT41">
        <v>612.5</v>
      </c>
      <c r="AU41">
        <v>612.5</v>
      </c>
      <c r="AV41">
        <v>612.5</v>
      </c>
      <c r="AW41">
        <v>612.5</v>
      </c>
      <c r="AX41">
        <v>612.5</v>
      </c>
      <c r="AY41">
        <v>612.5</v>
      </c>
    </row>
    <row r="42" spans="1:51" x14ac:dyDescent="0.3">
      <c r="A42" t="s">
        <v>677</v>
      </c>
      <c r="B42" t="s">
        <v>66</v>
      </c>
      <c r="C42">
        <v>991</v>
      </c>
      <c r="D42">
        <v>926.1</v>
      </c>
      <c r="E42">
        <v>926.1</v>
      </c>
      <c r="F42">
        <v>926.1</v>
      </c>
      <c r="G42">
        <v>926.1</v>
      </c>
      <c r="H42">
        <v>926.1</v>
      </c>
      <c r="I42">
        <v>926.1</v>
      </c>
      <c r="J42">
        <v>926.1</v>
      </c>
      <c r="K42">
        <v>926.1</v>
      </c>
      <c r="L42">
        <v>926.1</v>
      </c>
      <c r="M42">
        <v>926.1</v>
      </c>
      <c r="N42">
        <v>926.1</v>
      </c>
      <c r="O42">
        <v>926.1</v>
      </c>
      <c r="P42">
        <v>926.1</v>
      </c>
      <c r="Q42">
        <v>926.1</v>
      </c>
      <c r="R42">
        <v>926.1</v>
      </c>
      <c r="S42">
        <v>926.1</v>
      </c>
      <c r="T42">
        <v>926.1</v>
      </c>
      <c r="U42">
        <v>926.1</v>
      </c>
      <c r="V42">
        <v>926.1</v>
      </c>
      <c r="W42">
        <v>926.1</v>
      </c>
      <c r="X42">
        <v>926.1</v>
      </c>
      <c r="Y42">
        <v>926.1</v>
      </c>
      <c r="Z42">
        <v>926.1</v>
      </c>
      <c r="AA42">
        <v>926.1</v>
      </c>
      <c r="AB42">
        <v>926.1</v>
      </c>
      <c r="AC42">
        <v>926.1</v>
      </c>
      <c r="AD42">
        <v>926.1</v>
      </c>
      <c r="AE42">
        <v>926.1</v>
      </c>
      <c r="AF42">
        <v>926.1</v>
      </c>
      <c r="AG42">
        <v>926.1</v>
      </c>
      <c r="AH42">
        <v>926.1</v>
      </c>
      <c r="AI42">
        <v>926.1</v>
      </c>
      <c r="AJ42">
        <v>926.1</v>
      </c>
      <c r="AK42">
        <v>926.1</v>
      </c>
      <c r="AL42">
        <v>926.1</v>
      </c>
      <c r="AM42">
        <v>926.1</v>
      </c>
      <c r="AN42">
        <v>926.1</v>
      </c>
      <c r="AO42">
        <v>926.1</v>
      </c>
      <c r="AP42">
        <v>926.1</v>
      </c>
      <c r="AQ42">
        <v>926.1</v>
      </c>
      <c r="AR42">
        <v>926.1</v>
      </c>
      <c r="AS42">
        <v>926.1</v>
      </c>
      <c r="AT42">
        <v>926.1</v>
      </c>
      <c r="AU42">
        <v>926.1</v>
      </c>
      <c r="AV42">
        <v>926.1</v>
      </c>
      <c r="AW42">
        <v>926.1</v>
      </c>
      <c r="AX42">
        <v>926.1</v>
      </c>
      <c r="AY42">
        <v>926.1</v>
      </c>
    </row>
    <row r="43" spans="1:51" x14ac:dyDescent="0.3">
      <c r="A43" t="s">
        <v>677</v>
      </c>
      <c r="B43" t="s">
        <v>68</v>
      </c>
      <c r="C43">
        <v>991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">
      <c r="A44" t="s">
        <v>677</v>
      </c>
      <c r="B44" t="s">
        <v>41</v>
      </c>
      <c r="C44">
        <v>1000</v>
      </c>
      <c r="D44">
        <v>920</v>
      </c>
      <c r="E44">
        <v>920</v>
      </c>
      <c r="F44">
        <v>920</v>
      </c>
      <c r="G44">
        <v>920</v>
      </c>
      <c r="H44">
        <v>920</v>
      </c>
      <c r="I44">
        <v>920</v>
      </c>
      <c r="J44">
        <v>920</v>
      </c>
      <c r="K44">
        <v>920</v>
      </c>
      <c r="L44">
        <v>920</v>
      </c>
      <c r="M44">
        <v>920</v>
      </c>
      <c r="N44">
        <v>920</v>
      </c>
      <c r="O44">
        <v>920</v>
      </c>
      <c r="P44">
        <v>980</v>
      </c>
      <c r="Q44">
        <v>980</v>
      </c>
      <c r="R44">
        <v>980</v>
      </c>
      <c r="S44">
        <v>980</v>
      </c>
      <c r="T44">
        <v>980</v>
      </c>
      <c r="U44">
        <v>980</v>
      </c>
      <c r="V44">
        <v>980</v>
      </c>
      <c r="W44">
        <v>980</v>
      </c>
      <c r="X44">
        <v>980</v>
      </c>
      <c r="Y44">
        <v>980</v>
      </c>
      <c r="Z44">
        <v>980</v>
      </c>
      <c r="AA44">
        <v>980</v>
      </c>
      <c r="AB44">
        <v>980</v>
      </c>
      <c r="AC44">
        <v>980</v>
      </c>
      <c r="AD44">
        <v>980</v>
      </c>
      <c r="AE44">
        <v>980</v>
      </c>
      <c r="AF44">
        <v>980</v>
      </c>
      <c r="AG44">
        <v>980</v>
      </c>
      <c r="AH44">
        <v>980</v>
      </c>
      <c r="AI44">
        <v>980</v>
      </c>
      <c r="AJ44">
        <v>980</v>
      </c>
      <c r="AK44">
        <v>980</v>
      </c>
      <c r="AL44">
        <v>980</v>
      </c>
      <c r="AM44">
        <v>980</v>
      </c>
      <c r="AN44">
        <v>980</v>
      </c>
      <c r="AO44">
        <v>980</v>
      </c>
      <c r="AP44">
        <v>980</v>
      </c>
      <c r="AQ44">
        <v>980</v>
      </c>
      <c r="AR44">
        <v>980</v>
      </c>
      <c r="AS44">
        <v>980</v>
      </c>
      <c r="AT44">
        <v>980</v>
      </c>
      <c r="AU44">
        <v>980</v>
      </c>
      <c r="AV44">
        <v>980</v>
      </c>
      <c r="AW44">
        <v>980</v>
      </c>
      <c r="AX44">
        <v>980</v>
      </c>
      <c r="AY44">
        <v>980</v>
      </c>
    </row>
    <row r="45" spans="1:51" x14ac:dyDescent="0.3">
      <c r="A45" t="s">
        <v>677</v>
      </c>
      <c r="B45" t="s">
        <v>45</v>
      </c>
      <c r="C45">
        <v>1000</v>
      </c>
      <c r="D45">
        <v>920</v>
      </c>
      <c r="E45">
        <v>920</v>
      </c>
      <c r="F45">
        <v>920</v>
      </c>
      <c r="G45">
        <v>920</v>
      </c>
      <c r="H45">
        <v>920</v>
      </c>
      <c r="I45">
        <v>920</v>
      </c>
      <c r="J45">
        <v>920</v>
      </c>
      <c r="K45">
        <v>920</v>
      </c>
      <c r="L45">
        <v>920</v>
      </c>
      <c r="M45">
        <v>920</v>
      </c>
      <c r="N45">
        <v>920</v>
      </c>
      <c r="O45">
        <v>920</v>
      </c>
      <c r="P45">
        <v>980</v>
      </c>
      <c r="Q45">
        <v>980</v>
      </c>
      <c r="R45">
        <v>980</v>
      </c>
      <c r="S45">
        <v>980</v>
      </c>
      <c r="T45">
        <v>980</v>
      </c>
      <c r="U45">
        <v>980</v>
      </c>
      <c r="V45">
        <v>980</v>
      </c>
      <c r="W45">
        <v>980</v>
      </c>
      <c r="X45">
        <v>980</v>
      </c>
      <c r="Y45">
        <v>980</v>
      </c>
      <c r="Z45">
        <v>980</v>
      </c>
      <c r="AA45">
        <v>980</v>
      </c>
      <c r="AB45">
        <v>980</v>
      </c>
      <c r="AC45">
        <v>980</v>
      </c>
      <c r="AD45">
        <v>980</v>
      </c>
      <c r="AE45">
        <v>980</v>
      </c>
      <c r="AF45">
        <v>980</v>
      </c>
      <c r="AG45">
        <v>980</v>
      </c>
      <c r="AH45">
        <v>980</v>
      </c>
      <c r="AI45">
        <v>980</v>
      </c>
      <c r="AJ45">
        <v>980</v>
      </c>
      <c r="AK45">
        <v>980</v>
      </c>
      <c r="AL45">
        <v>980</v>
      </c>
      <c r="AM45">
        <v>980</v>
      </c>
      <c r="AN45">
        <v>980</v>
      </c>
      <c r="AO45">
        <v>980</v>
      </c>
      <c r="AP45">
        <v>980</v>
      </c>
      <c r="AQ45">
        <v>980</v>
      </c>
      <c r="AR45">
        <v>980</v>
      </c>
      <c r="AS45">
        <v>980</v>
      </c>
      <c r="AT45">
        <v>980</v>
      </c>
      <c r="AU45">
        <v>980</v>
      </c>
      <c r="AV45">
        <v>980</v>
      </c>
      <c r="AW45">
        <v>980</v>
      </c>
      <c r="AX45">
        <v>980</v>
      </c>
      <c r="AY45">
        <v>980</v>
      </c>
    </row>
    <row r="46" spans="1:51" x14ac:dyDescent="0.3">
      <c r="A46" t="s">
        <v>677</v>
      </c>
      <c r="B46" t="s">
        <v>292</v>
      </c>
      <c r="C46">
        <v>14.48911</v>
      </c>
      <c r="D46">
        <v>13</v>
      </c>
      <c r="E46">
        <v>13</v>
      </c>
      <c r="F46">
        <v>13</v>
      </c>
      <c r="G46">
        <v>13</v>
      </c>
      <c r="H46">
        <v>13</v>
      </c>
      <c r="I46">
        <v>13</v>
      </c>
      <c r="J46">
        <v>13</v>
      </c>
      <c r="K46">
        <v>13</v>
      </c>
      <c r="L46">
        <v>13</v>
      </c>
      <c r="M46">
        <v>13</v>
      </c>
      <c r="N46">
        <v>13</v>
      </c>
      <c r="O46">
        <v>13</v>
      </c>
      <c r="P46">
        <v>13</v>
      </c>
      <c r="Q46">
        <v>13</v>
      </c>
      <c r="R46">
        <v>13</v>
      </c>
      <c r="S46">
        <v>13</v>
      </c>
      <c r="T46">
        <v>13</v>
      </c>
      <c r="U46">
        <v>13</v>
      </c>
      <c r="V46">
        <v>13</v>
      </c>
      <c r="W46">
        <v>13</v>
      </c>
      <c r="X46">
        <v>13</v>
      </c>
      <c r="Y46">
        <v>13</v>
      </c>
      <c r="Z46">
        <v>13</v>
      </c>
      <c r="AA46">
        <v>13</v>
      </c>
      <c r="AB46">
        <v>13</v>
      </c>
      <c r="AC46">
        <v>13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13</v>
      </c>
    </row>
    <row r="47" spans="1:51" x14ac:dyDescent="0.3">
      <c r="A47" t="s">
        <v>677</v>
      </c>
      <c r="B47" t="s">
        <v>297</v>
      </c>
      <c r="C47">
        <v>174.6</v>
      </c>
      <c r="D47">
        <v>100</v>
      </c>
      <c r="E47">
        <v>120</v>
      </c>
      <c r="F47">
        <v>90</v>
      </c>
      <c r="G47">
        <v>100</v>
      </c>
      <c r="H47">
        <v>110</v>
      </c>
      <c r="I47">
        <v>100</v>
      </c>
      <c r="J47">
        <v>120</v>
      </c>
      <c r="K47">
        <v>120</v>
      </c>
      <c r="L47">
        <v>100</v>
      </c>
      <c r="M47">
        <v>130</v>
      </c>
      <c r="N47">
        <v>130</v>
      </c>
      <c r="O47">
        <v>130</v>
      </c>
      <c r="P47">
        <v>100</v>
      </c>
      <c r="Q47">
        <v>0</v>
      </c>
      <c r="R47">
        <v>150</v>
      </c>
      <c r="S47">
        <v>112.5</v>
      </c>
      <c r="T47">
        <v>150</v>
      </c>
      <c r="U47">
        <v>112.5</v>
      </c>
      <c r="V47">
        <v>112.5</v>
      </c>
      <c r="W47">
        <v>100</v>
      </c>
      <c r="X47">
        <v>110</v>
      </c>
      <c r="Y47">
        <v>110</v>
      </c>
      <c r="Z47">
        <v>110</v>
      </c>
      <c r="AA47">
        <v>100</v>
      </c>
      <c r="AB47">
        <v>100</v>
      </c>
      <c r="AC47">
        <v>100</v>
      </c>
      <c r="AD47">
        <v>100</v>
      </c>
      <c r="AE47">
        <v>112.5</v>
      </c>
      <c r="AF47">
        <v>112.5</v>
      </c>
      <c r="AG47">
        <v>112.5</v>
      </c>
      <c r="AH47">
        <v>112.5</v>
      </c>
      <c r="AI47">
        <v>100</v>
      </c>
      <c r="AJ47">
        <v>112.5</v>
      </c>
      <c r="AK47">
        <v>100</v>
      </c>
      <c r="AL47">
        <v>100</v>
      </c>
      <c r="AM47">
        <v>100</v>
      </c>
      <c r="AN47">
        <v>100</v>
      </c>
      <c r="AO47">
        <v>100</v>
      </c>
      <c r="AP47">
        <v>100</v>
      </c>
      <c r="AQ47">
        <v>100</v>
      </c>
      <c r="AR47">
        <v>100</v>
      </c>
      <c r="AS47">
        <v>100</v>
      </c>
      <c r="AT47">
        <v>100</v>
      </c>
      <c r="AU47">
        <v>100</v>
      </c>
      <c r="AV47">
        <v>100</v>
      </c>
      <c r="AW47">
        <v>130</v>
      </c>
      <c r="AX47">
        <v>130</v>
      </c>
      <c r="AY47">
        <v>0</v>
      </c>
    </row>
    <row r="48" spans="1:51" x14ac:dyDescent="0.3">
      <c r="A48" t="s">
        <v>677</v>
      </c>
      <c r="B48" t="s">
        <v>298</v>
      </c>
      <c r="C48">
        <v>174.6</v>
      </c>
      <c r="D48">
        <v>100</v>
      </c>
      <c r="E48">
        <v>120</v>
      </c>
      <c r="F48">
        <v>90</v>
      </c>
      <c r="G48">
        <v>100</v>
      </c>
      <c r="H48">
        <v>110</v>
      </c>
      <c r="I48">
        <v>100</v>
      </c>
      <c r="J48">
        <v>0</v>
      </c>
      <c r="K48">
        <v>0</v>
      </c>
      <c r="L48">
        <v>100</v>
      </c>
      <c r="M48">
        <v>130</v>
      </c>
      <c r="N48">
        <v>130</v>
      </c>
      <c r="O48">
        <v>130</v>
      </c>
      <c r="P48">
        <v>0</v>
      </c>
      <c r="Q48">
        <v>0</v>
      </c>
      <c r="R48">
        <v>0</v>
      </c>
      <c r="S48">
        <v>112.5</v>
      </c>
      <c r="T48">
        <v>150</v>
      </c>
      <c r="U48">
        <v>112.5</v>
      </c>
      <c r="V48">
        <v>112.5</v>
      </c>
      <c r="W48">
        <v>100</v>
      </c>
      <c r="X48">
        <v>110</v>
      </c>
      <c r="Y48">
        <v>110</v>
      </c>
      <c r="Z48">
        <v>110</v>
      </c>
      <c r="AA48">
        <v>100</v>
      </c>
      <c r="AB48">
        <v>100</v>
      </c>
      <c r="AC48">
        <v>100</v>
      </c>
      <c r="AD48">
        <v>100</v>
      </c>
      <c r="AE48">
        <v>112.5</v>
      </c>
      <c r="AF48">
        <v>112.5</v>
      </c>
      <c r="AG48">
        <v>112.5</v>
      </c>
      <c r="AH48">
        <v>112.5</v>
      </c>
      <c r="AI48">
        <v>100</v>
      </c>
      <c r="AJ48">
        <v>112.5</v>
      </c>
      <c r="AK48">
        <v>100</v>
      </c>
      <c r="AL48">
        <v>100</v>
      </c>
      <c r="AM48">
        <v>100</v>
      </c>
      <c r="AN48">
        <v>100</v>
      </c>
      <c r="AO48">
        <v>100</v>
      </c>
      <c r="AP48">
        <v>100</v>
      </c>
      <c r="AQ48">
        <v>100</v>
      </c>
      <c r="AR48">
        <v>100</v>
      </c>
      <c r="AS48">
        <v>100</v>
      </c>
      <c r="AT48">
        <v>100</v>
      </c>
      <c r="AU48">
        <v>100</v>
      </c>
      <c r="AV48">
        <v>100</v>
      </c>
      <c r="AW48">
        <v>130</v>
      </c>
      <c r="AX48">
        <v>130</v>
      </c>
      <c r="AY48">
        <v>0</v>
      </c>
    </row>
    <row r="49" spans="1:51" x14ac:dyDescent="0.3">
      <c r="A49" t="s">
        <v>677</v>
      </c>
      <c r="B49" t="s">
        <v>299</v>
      </c>
      <c r="C49">
        <v>174.6</v>
      </c>
      <c r="D49">
        <v>0</v>
      </c>
      <c r="E49">
        <v>0</v>
      </c>
      <c r="F49">
        <v>90</v>
      </c>
      <c r="G49">
        <v>100</v>
      </c>
      <c r="H49">
        <v>110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112.5</v>
      </c>
      <c r="T49">
        <v>150</v>
      </c>
      <c r="U49">
        <v>112.5</v>
      </c>
      <c r="V49">
        <v>112.5</v>
      </c>
      <c r="W49">
        <v>100</v>
      </c>
      <c r="X49">
        <v>110</v>
      </c>
      <c r="Y49">
        <v>110</v>
      </c>
      <c r="Z49">
        <v>110</v>
      </c>
      <c r="AA49">
        <v>100</v>
      </c>
      <c r="AB49">
        <v>100</v>
      </c>
      <c r="AC49">
        <v>100</v>
      </c>
      <c r="AD49">
        <v>100</v>
      </c>
      <c r="AE49">
        <v>112.5</v>
      </c>
      <c r="AF49">
        <v>112.5</v>
      </c>
      <c r="AG49">
        <v>112.5</v>
      </c>
      <c r="AH49">
        <v>112.5</v>
      </c>
      <c r="AI49">
        <v>100</v>
      </c>
      <c r="AJ49">
        <v>112.5</v>
      </c>
      <c r="AK49">
        <v>100</v>
      </c>
      <c r="AL49">
        <v>100</v>
      </c>
      <c r="AM49">
        <v>100</v>
      </c>
      <c r="AN49">
        <v>100</v>
      </c>
      <c r="AO49">
        <v>100</v>
      </c>
      <c r="AP49">
        <v>100</v>
      </c>
      <c r="AQ49">
        <v>100</v>
      </c>
      <c r="AR49">
        <v>100</v>
      </c>
      <c r="AS49">
        <v>100</v>
      </c>
      <c r="AT49">
        <v>100</v>
      </c>
      <c r="AU49">
        <v>100</v>
      </c>
      <c r="AV49">
        <v>100</v>
      </c>
      <c r="AW49">
        <v>130</v>
      </c>
      <c r="AX49">
        <v>130</v>
      </c>
      <c r="AY49">
        <v>0</v>
      </c>
    </row>
    <row r="50" spans="1:51" x14ac:dyDescent="0.3">
      <c r="A50" t="s">
        <v>677</v>
      </c>
      <c r="B50" t="s">
        <v>300</v>
      </c>
      <c r="C50">
        <v>174.6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112.5</v>
      </c>
      <c r="T50">
        <v>150</v>
      </c>
      <c r="U50">
        <v>112.5</v>
      </c>
      <c r="V50">
        <v>112.5</v>
      </c>
      <c r="W50">
        <v>100</v>
      </c>
      <c r="X50">
        <v>0</v>
      </c>
      <c r="Y50">
        <v>0</v>
      </c>
      <c r="Z50">
        <v>0</v>
      </c>
      <c r="AA50">
        <v>100</v>
      </c>
      <c r="AB50">
        <v>0</v>
      </c>
      <c r="AC50">
        <v>100</v>
      </c>
      <c r="AD50">
        <v>100</v>
      </c>
      <c r="AE50">
        <v>112.5</v>
      </c>
      <c r="AF50">
        <v>112.5</v>
      </c>
      <c r="AG50">
        <v>112.5</v>
      </c>
      <c r="AH50">
        <v>112.5</v>
      </c>
      <c r="AI50">
        <v>100</v>
      </c>
      <c r="AJ50">
        <v>112.5</v>
      </c>
      <c r="AK50">
        <v>100</v>
      </c>
      <c r="AL50">
        <v>100</v>
      </c>
      <c r="AM50">
        <v>100</v>
      </c>
      <c r="AN50">
        <v>100</v>
      </c>
      <c r="AO50">
        <v>100</v>
      </c>
      <c r="AP50">
        <v>100</v>
      </c>
      <c r="AQ50">
        <v>100</v>
      </c>
      <c r="AR50">
        <v>100</v>
      </c>
      <c r="AS50">
        <v>100</v>
      </c>
      <c r="AT50">
        <v>100</v>
      </c>
      <c r="AU50">
        <v>100</v>
      </c>
      <c r="AV50">
        <v>100</v>
      </c>
      <c r="AW50">
        <v>0</v>
      </c>
      <c r="AX50">
        <v>0</v>
      </c>
      <c r="AY50">
        <v>0</v>
      </c>
    </row>
    <row r="51" spans="1:51" x14ac:dyDescent="0.3">
      <c r="A51" t="s">
        <v>677</v>
      </c>
      <c r="B51" t="s">
        <v>301</v>
      </c>
      <c r="C51">
        <v>30</v>
      </c>
      <c r="D51">
        <v>30</v>
      </c>
      <c r="E51">
        <v>30</v>
      </c>
      <c r="F51">
        <v>30</v>
      </c>
      <c r="G51">
        <v>30</v>
      </c>
      <c r="H51">
        <v>30</v>
      </c>
      <c r="I51">
        <v>30</v>
      </c>
      <c r="J51">
        <v>30</v>
      </c>
      <c r="K51">
        <v>30</v>
      </c>
      <c r="L51">
        <v>30</v>
      </c>
      <c r="M51">
        <v>30</v>
      </c>
      <c r="N51">
        <v>30</v>
      </c>
      <c r="O51">
        <v>30</v>
      </c>
      <c r="P51">
        <v>30</v>
      </c>
      <c r="Q51">
        <v>30</v>
      </c>
      <c r="R51">
        <v>30</v>
      </c>
      <c r="S51">
        <v>30</v>
      </c>
      <c r="T51">
        <v>30</v>
      </c>
      <c r="U51">
        <v>30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30</v>
      </c>
      <c r="AB51">
        <v>30</v>
      </c>
      <c r="AC51">
        <v>30</v>
      </c>
      <c r="AD51">
        <v>30</v>
      </c>
      <c r="AE51">
        <v>30</v>
      </c>
      <c r="AF51">
        <v>30</v>
      </c>
      <c r="AG51">
        <v>30</v>
      </c>
      <c r="AH51">
        <v>30</v>
      </c>
      <c r="AI51">
        <v>30</v>
      </c>
      <c r="AJ51">
        <v>30</v>
      </c>
      <c r="AK51">
        <v>30</v>
      </c>
      <c r="AL51">
        <v>30</v>
      </c>
      <c r="AM51">
        <v>30</v>
      </c>
      <c r="AN51">
        <v>30</v>
      </c>
      <c r="AO51">
        <v>30</v>
      </c>
      <c r="AP51">
        <v>30</v>
      </c>
      <c r="AQ51">
        <v>30</v>
      </c>
      <c r="AR51">
        <v>30</v>
      </c>
      <c r="AS51">
        <v>30</v>
      </c>
      <c r="AT51">
        <v>30</v>
      </c>
      <c r="AU51">
        <v>30</v>
      </c>
      <c r="AV51">
        <v>30</v>
      </c>
      <c r="AW51">
        <v>30</v>
      </c>
      <c r="AX51">
        <v>30</v>
      </c>
      <c r="AY51">
        <v>30</v>
      </c>
    </row>
    <row r="52" spans="1:51" x14ac:dyDescent="0.3">
      <c r="A52" t="s">
        <v>677</v>
      </c>
      <c r="B52" t="s">
        <v>302</v>
      </c>
      <c r="C52">
        <v>52.3</v>
      </c>
      <c r="D52">
        <v>52.3</v>
      </c>
      <c r="E52">
        <v>52.3</v>
      </c>
      <c r="F52">
        <v>52.3</v>
      </c>
      <c r="G52">
        <v>52.3</v>
      </c>
      <c r="H52">
        <v>52.3</v>
      </c>
      <c r="I52">
        <v>52.3</v>
      </c>
      <c r="J52">
        <v>52.3</v>
      </c>
      <c r="K52">
        <v>52.3</v>
      </c>
      <c r="L52">
        <v>52.3</v>
      </c>
      <c r="M52">
        <v>52.3</v>
      </c>
      <c r="N52">
        <v>52.3</v>
      </c>
      <c r="O52">
        <v>52.3</v>
      </c>
      <c r="P52">
        <v>52.3</v>
      </c>
      <c r="Q52">
        <v>52.3</v>
      </c>
      <c r="R52">
        <v>52.3</v>
      </c>
      <c r="S52">
        <v>52.3</v>
      </c>
      <c r="T52">
        <v>52.3</v>
      </c>
      <c r="U52">
        <v>52.3</v>
      </c>
      <c r="V52">
        <v>52.3</v>
      </c>
      <c r="W52">
        <v>52.3</v>
      </c>
      <c r="X52">
        <v>52.3</v>
      </c>
      <c r="Y52">
        <v>52.3</v>
      </c>
      <c r="Z52">
        <v>52.3</v>
      </c>
      <c r="AA52">
        <v>52.3</v>
      </c>
      <c r="AB52">
        <v>52.3</v>
      </c>
      <c r="AC52">
        <v>52.3</v>
      </c>
      <c r="AD52">
        <v>52.3</v>
      </c>
      <c r="AE52">
        <v>52.3</v>
      </c>
      <c r="AF52">
        <v>52.3</v>
      </c>
      <c r="AG52">
        <v>52.3</v>
      </c>
      <c r="AH52">
        <v>52.3</v>
      </c>
      <c r="AI52">
        <v>52.3</v>
      </c>
      <c r="AJ52">
        <v>52.3</v>
      </c>
      <c r="AK52">
        <v>52.3</v>
      </c>
      <c r="AL52">
        <v>52.3</v>
      </c>
      <c r="AM52">
        <v>52.3</v>
      </c>
      <c r="AN52">
        <v>52.3</v>
      </c>
      <c r="AO52">
        <v>52.3</v>
      </c>
      <c r="AP52">
        <v>52.3</v>
      </c>
      <c r="AQ52">
        <v>52.3</v>
      </c>
      <c r="AR52">
        <v>52.3</v>
      </c>
      <c r="AS52">
        <v>52.3</v>
      </c>
      <c r="AT52">
        <v>52.3</v>
      </c>
      <c r="AU52">
        <v>52.3</v>
      </c>
      <c r="AV52">
        <v>52.3</v>
      </c>
      <c r="AW52">
        <v>52.3</v>
      </c>
      <c r="AX52">
        <v>52.3</v>
      </c>
      <c r="AY52">
        <v>52.3</v>
      </c>
    </row>
    <row r="53" spans="1:51" x14ac:dyDescent="0.3">
      <c r="A53" t="s">
        <v>677</v>
      </c>
      <c r="B53" t="s">
        <v>303</v>
      </c>
      <c r="C53">
        <v>52.3</v>
      </c>
      <c r="D53">
        <v>52.3</v>
      </c>
      <c r="E53">
        <v>52.3</v>
      </c>
      <c r="F53">
        <v>52.3</v>
      </c>
      <c r="G53">
        <v>52.3</v>
      </c>
      <c r="H53">
        <v>52.3</v>
      </c>
      <c r="I53">
        <v>52.3</v>
      </c>
      <c r="J53">
        <v>52.3</v>
      </c>
      <c r="K53">
        <v>52.3</v>
      </c>
      <c r="L53">
        <v>52.3</v>
      </c>
      <c r="M53">
        <v>52.3</v>
      </c>
      <c r="N53">
        <v>52.3</v>
      </c>
      <c r="O53">
        <v>52.3</v>
      </c>
      <c r="P53">
        <v>52.3</v>
      </c>
      <c r="Q53">
        <v>52.3</v>
      </c>
      <c r="R53">
        <v>52.3</v>
      </c>
      <c r="S53">
        <v>52.3</v>
      </c>
      <c r="T53">
        <v>52.3</v>
      </c>
      <c r="U53">
        <v>52.3</v>
      </c>
      <c r="V53">
        <v>52.3</v>
      </c>
      <c r="W53">
        <v>52.3</v>
      </c>
      <c r="X53">
        <v>52.3</v>
      </c>
      <c r="Y53">
        <v>52.3</v>
      </c>
      <c r="Z53">
        <v>52.3</v>
      </c>
      <c r="AA53">
        <v>52.3</v>
      </c>
      <c r="AB53">
        <v>52.3</v>
      </c>
      <c r="AC53">
        <v>52.3</v>
      </c>
      <c r="AD53">
        <v>52.3</v>
      </c>
      <c r="AE53">
        <v>52.3</v>
      </c>
      <c r="AF53">
        <v>52.3</v>
      </c>
      <c r="AG53">
        <v>52.3</v>
      </c>
      <c r="AH53">
        <v>52.3</v>
      </c>
      <c r="AI53">
        <v>52.3</v>
      </c>
      <c r="AJ53">
        <v>52.3</v>
      </c>
      <c r="AK53">
        <v>52.3</v>
      </c>
      <c r="AL53">
        <v>52.3</v>
      </c>
      <c r="AM53">
        <v>52.3</v>
      </c>
      <c r="AN53">
        <v>52.3</v>
      </c>
      <c r="AO53">
        <v>52.3</v>
      </c>
      <c r="AP53">
        <v>52.3</v>
      </c>
      <c r="AQ53">
        <v>52.3</v>
      </c>
      <c r="AR53">
        <v>52.3</v>
      </c>
      <c r="AS53">
        <v>52.3</v>
      </c>
      <c r="AT53">
        <v>52.3</v>
      </c>
      <c r="AU53">
        <v>52.3</v>
      </c>
      <c r="AV53">
        <v>52.3</v>
      </c>
      <c r="AW53">
        <v>52.3</v>
      </c>
      <c r="AX53">
        <v>52.3</v>
      </c>
      <c r="AY53">
        <v>52.3</v>
      </c>
    </row>
    <row r="54" spans="1:51" x14ac:dyDescent="0.3">
      <c r="A54" t="s">
        <v>677</v>
      </c>
      <c r="B54" t="s">
        <v>304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52</v>
      </c>
      <c r="I54">
        <v>52</v>
      </c>
      <c r="J54">
        <v>52</v>
      </c>
      <c r="K54">
        <v>52</v>
      </c>
      <c r="L54">
        <v>52</v>
      </c>
      <c r="M54">
        <v>52</v>
      </c>
      <c r="N54">
        <v>52</v>
      </c>
      <c r="O54">
        <v>52</v>
      </c>
      <c r="P54">
        <v>52</v>
      </c>
      <c r="Q54">
        <v>52</v>
      </c>
      <c r="R54">
        <v>52</v>
      </c>
      <c r="S54">
        <v>52</v>
      </c>
      <c r="T54">
        <v>52</v>
      </c>
      <c r="U54">
        <v>52</v>
      </c>
      <c r="V54">
        <v>52</v>
      </c>
      <c r="W54">
        <v>52</v>
      </c>
      <c r="X54">
        <v>52</v>
      </c>
      <c r="Y54">
        <v>52</v>
      </c>
      <c r="Z54">
        <v>52</v>
      </c>
      <c r="AA54">
        <v>52</v>
      </c>
      <c r="AB54">
        <v>52</v>
      </c>
      <c r="AC54">
        <v>52</v>
      </c>
      <c r="AD54">
        <v>52</v>
      </c>
      <c r="AE54">
        <v>52</v>
      </c>
      <c r="AF54">
        <v>52</v>
      </c>
      <c r="AG54">
        <v>52</v>
      </c>
      <c r="AH54">
        <v>52</v>
      </c>
      <c r="AI54">
        <v>52</v>
      </c>
      <c r="AJ54">
        <v>52</v>
      </c>
      <c r="AK54">
        <v>52</v>
      </c>
      <c r="AL54">
        <v>52</v>
      </c>
      <c r="AM54">
        <v>52</v>
      </c>
      <c r="AN54">
        <v>52</v>
      </c>
      <c r="AO54">
        <v>52</v>
      </c>
      <c r="AP54">
        <v>52</v>
      </c>
      <c r="AQ54">
        <v>52</v>
      </c>
      <c r="AR54">
        <v>52</v>
      </c>
      <c r="AS54">
        <v>52</v>
      </c>
      <c r="AT54">
        <v>52</v>
      </c>
      <c r="AU54">
        <v>52</v>
      </c>
      <c r="AV54">
        <v>52</v>
      </c>
      <c r="AW54">
        <v>52</v>
      </c>
      <c r="AX54">
        <v>52</v>
      </c>
      <c r="AY54">
        <v>52</v>
      </c>
    </row>
    <row r="55" spans="1:51" x14ac:dyDescent="0.3">
      <c r="A55" t="s">
        <v>677</v>
      </c>
      <c r="B55" t="s">
        <v>305</v>
      </c>
      <c r="C55">
        <v>55</v>
      </c>
      <c r="D55">
        <v>42</v>
      </c>
      <c r="E55">
        <v>42</v>
      </c>
      <c r="F55">
        <v>42</v>
      </c>
      <c r="G55">
        <v>42</v>
      </c>
      <c r="H55">
        <v>42</v>
      </c>
      <c r="I55">
        <v>42</v>
      </c>
      <c r="J55">
        <v>42</v>
      </c>
      <c r="K55">
        <v>42</v>
      </c>
      <c r="L55">
        <v>42</v>
      </c>
      <c r="M55">
        <v>42</v>
      </c>
      <c r="N55">
        <v>42</v>
      </c>
      <c r="O55">
        <v>42</v>
      </c>
      <c r="P55">
        <v>42</v>
      </c>
      <c r="Q55">
        <v>42</v>
      </c>
      <c r="R55">
        <v>42</v>
      </c>
      <c r="S55">
        <v>42</v>
      </c>
      <c r="T55">
        <v>42</v>
      </c>
      <c r="U55">
        <v>42</v>
      </c>
      <c r="V55">
        <v>42</v>
      </c>
      <c r="W55">
        <v>42</v>
      </c>
      <c r="X55">
        <v>42</v>
      </c>
      <c r="Y55">
        <v>42</v>
      </c>
      <c r="Z55">
        <v>42</v>
      </c>
      <c r="AA55">
        <v>42</v>
      </c>
      <c r="AB55">
        <v>42</v>
      </c>
      <c r="AC55">
        <v>42</v>
      </c>
      <c r="AD55">
        <v>42</v>
      </c>
      <c r="AE55">
        <v>42</v>
      </c>
      <c r="AF55">
        <v>42</v>
      </c>
      <c r="AG55">
        <v>42</v>
      </c>
      <c r="AH55">
        <v>42</v>
      </c>
      <c r="AI55">
        <v>52</v>
      </c>
      <c r="AJ55">
        <v>52</v>
      </c>
      <c r="AK55">
        <v>52</v>
      </c>
      <c r="AL55">
        <v>52</v>
      </c>
      <c r="AM55">
        <v>52</v>
      </c>
      <c r="AN55">
        <v>52</v>
      </c>
      <c r="AO55">
        <v>52</v>
      </c>
      <c r="AP55">
        <v>52</v>
      </c>
      <c r="AQ55">
        <v>52</v>
      </c>
      <c r="AR55">
        <v>52</v>
      </c>
      <c r="AS55">
        <v>45</v>
      </c>
      <c r="AT55">
        <v>45</v>
      </c>
      <c r="AU55">
        <v>45</v>
      </c>
      <c r="AV55">
        <v>45</v>
      </c>
      <c r="AW55">
        <v>45</v>
      </c>
      <c r="AX55">
        <v>45</v>
      </c>
      <c r="AY55">
        <v>45</v>
      </c>
    </row>
    <row r="56" spans="1:51" x14ac:dyDescent="0.3">
      <c r="A56" t="s">
        <v>677</v>
      </c>
      <c r="B56" t="s">
        <v>306</v>
      </c>
      <c r="C56">
        <v>55</v>
      </c>
      <c r="D56">
        <v>42</v>
      </c>
      <c r="E56">
        <v>42</v>
      </c>
      <c r="F56">
        <v>42</v>
      </c>
      <c r="G56">
        <v>42</v>
      </c>
      <c r="H56">
        <v>42</v>
      </c>
      <c r="I56">
        <v>42</v>
      </c>
      <c r="J56">
        <v>42</v>
      </c>
      <c r="K56">
        <v>42</v>
      </c>
      <c r="L56">
        <v>42</v>
      </c>
      <c r="M56">
        <v>42</v>
      </c>
      <c r="N56">
        <v>42</v>
      </c>
      <c r="O56">
        <v>42</v>
      </c>
      <c r="P56">
        <v>42</v>
      </c>
      <c r="Q56">
        <v>42</v>
      </c>
      <c r="R56">
        <v>42</v>
      </c>
      <c r="S56">
        <v>42</v>
      </c>
      <c r="T56">
        <v>42</v>
      </c>
      <c r="U56">
        <v>42</v>
      </c>
      <c r="V56">
        <v>42</v>
      </c>
      <c r="W56">
        <v>42</v>
      </c>
      <c r="X56">
        <v>42</v>
      </c>
      <c r="Y56">
        <v>42</v>
      </c>
      <c r="Z56">
        <v>42</v>
      </c>
      <c r="AA56">
        <v>42</v>
      </c>
      <c r="AB56">
        <v>42</v>
      </c>
      <c r="AC56">
        <v>42</v>
      </c>
      <c r="AD56">
        <v>42</v>
      </c>
      <c r="AE56">
        <v>42</v>
      </c>
      <c r="AF56">
        <v>42</v>
      </c>
      <c r="AG56">
        <v>42</v>
      </c>
      <c r="AH56">
        <v>42</v>
      </c>
      <c r="AI56">
        <v>52</v>
      </c>
      <c r="AJ56">
        <v>52</v>
      </c>
      <c r="AK56">
        <v>52</v>
      </c>
      <c r="AL56">
        <v>52</v>
      </c>
      <c r="AM56">
        <v>52</v>
      </c>
      <c r="AN56">
        <v>52</v>
      </c>
      <c r="AO56">
        <v>52</v>
      </c>
      <c r="AP56">
        <v>52</v>
      </c>
      <c r="AQ56">
        <v>52</v>
      </c>
      <c r="AR56">
        <v>52</v>
      </c>
      <c r="AS56">
        <v>45</v>
      </c>
      <c r="AT56">
        <v>45</v>
      </c>
      <c r="AU56">
        <v>45</v>
      </c>
      <c r="AV56">
        <v>45</v>
      </c>
      <c r="AW56">
        <v>45</v>
      </c>
      <c r="AX56">
        <v>45</v>
      </c>
      <c r="AY56">
        <v>45</v>
      </c>
    </row>
    <row r="57" spans="1:51" x14ac:dyDescent="0.3">
      <c r="A57" t="s">
        <v>677</v>
      </c>
      <c r="B57" t="s">
        <v>307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44</v>
      </c>
      <c r="T57">
        <v>88</v>
      </c>
      <c r="U57">
        <v>88</v>
      </c>
      <c r="V57">
        <v>88</v>
      </c>
      <c r="W57">
        <v>88</v>
      </c>
      <c r="X57">
        <v>88</v>
      </c>
      <c r="Y57">
        <v>88</v>
      </c>
      <c r="Z57">
        <v>88</v>
      </c>
      <c r="AA57">
        <v>88</v>
      </c>
      <c r="AB57">
        <v>88</v>
      </c>
      <c r="AC57">
        <v>88</v>
      </c>
      <c r="AD57">
        <v>88</v>
      </c>
      <c r="AE57">
        <v>88</v>
      </c>
      <c r="AF57">
        <v>88</v>
      </c>
      <c r="AG57">
        <v>88</v>
      </c>
      <c r="AH57">
        <v>132</v>
      </c>
      <c r="AI57">
        <v>176</v>
      </c>
      <c r="AJ57">
        <v>176</v>
      </c>
      <c r="AK57">
        <v>176</v>
      </c>
      <c r="AL57">
        <v>176</v>
      </c>
      <c r="AM57">
        <v>176</v>
      </c>
      <c r="AN57">
        <v>176</v>
      </c>
      <c r="AO57">
        <v>176</v>
      </c>
      <c r="AP57">
        <v>176</v>
      </c>
      <c r="AQ57">
        <v>176</v>
      </c>
      <c r="AR57">
        <v>30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 x14ac:dyDescent="0.3">
      <c r="A58" t="s">
        <v>677</v>
      </c>
      <c r="B58" t="s">
        <v>308</v>
      </c>
      <c r="C58">
        <v>144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3">
      <c r="A59" t="s">
        <v>677</v>
      </c>
      <c r="B59" t="s">
        <v>309</v>
      </c>
      <c r="C59">
        <v>137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3">
      <c r="A60" t="s">
        <v>677</v>
      </c>
      <c r="B60" t="s">
        <v>310</v>
      </c>
      <c r="C60">
        <v>137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3">
      <c r="A61" t="s">
        <v>677</v>
      </c>
      <c r="B61" t="s">
        <v>311</v>
      </c>
      <c r="C61">
        <v>123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86.63</v>
      </c>
      <c r="N61">
        <v>100</v>
      </c>
      <c r="O61">
        <v>100</v>
      </c>
      <c r="P61">
        <v>0</v>
      </c>
      <c r="Q61">
        <v>0</v>
      </c>
      <c r="R61">
        <v>80</v>
      </c>
      <c r="S61">
        <v>0</v>
      </c>
      <c r="T61">
        <v>100</v>
      </c>
      <c r="U61">
        <v>100</v>
      </c>
      <c r="V61">
        <v>100</v>
      </c>
      <c r="W61">
        <v>100</v>
      </c>
      <c r="X61">
        <v>120</v>
      </c>
      <c r="Y61">
        <v>120</v>
      </c>
      <c r="Z61">
        <v>110</v>
      </c>
      <c r="AA61">
        <v>0</v>
      </c>
      <c r="AB61">
        <v>0</v>
      </c>
      <c r="AC61">
        <v>0</v>
      </c>
      <c r="AD61">
        <v>100</v>
      </c>
      <c r="AE61">
        <v>100</v>
      </c>
      <c r="AF61">
        <v>110</v>
      </c>
      <c r="AG61">
        <v>105</v>
      </c>
      <c r="AH61">
        <v>105</v>
      </c>
      <c r="AI61">
        <v>105</v>
      </c>
      <c r="AJ61">
        <v>57.67</v>
      </c>
      <c r="AK61">
        <v>4.75</v>
      </c>
      <c r="AL61">
        <v>94.2</v>
      </c>
      <c r="AM61">
        <v>100</v>
      </c>
      <c r="AN61">
        <v>100</v>
      </c>
      <c r="AO61">
        <v>100</v>
      </c>
      <c r="AP61">
        <v>100</v>
      </c>
      <c r="AQ61">
        <v>100</v>
      </c>
      <c r="AR61">
        <v>100</v>
      </c>
      <c r="AS61">
        <v>100</v>
      </c>
      <c r="AT61">
        <v>100</v>
      </c>
      <c r="AU61">
        <v>93.97</v>
      </c>
      <c r="AV61">
        <v>100</v>
      </c>
      <c r="AW61">
        <v>0</v>
      </c>
      <c r="AX61">
        <v>0</v>
      </c>
      <c r="AY61">
        <v>0</v>
      </c>
    </row>
    <row r="62" spans="1:51" x14ac:dyDescent="0.3">
      <c r="A62" t="s">
        <v>677</v>
      </c>
      <c r="B62" t="s">
        <v>312</v>
      </c>
      <c r="C62">
        <v>123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86.63</v>
      </c>
      <c r="N62">
        <v>100</v>
      </c>
      <c r="O62">
        <v>100</v>
      </c>
      <c r="P62">
        <v>0</v>
      </c>
      <c r="Q62">
        <v>0</v>
      </c>
      <c r="R62">
        <v>0</v>
      </c>
      <c r="S62">
        <v>0</v>
      </c>
      <c r="T62">
        <v>100</v>
      </c>
      <c r="U62">
        <v>100</v>
      </c>
      <c r="V62">
        <v>100</v>
      </c>
      <c r="W62">
        <v>100</v>
      </c>
      <c r="X62">
        <v>120</v>
      </c>
      <c r="Y62">
        <v>120</v>
      </c>
      <c r="Z62">
        <v>110</v>
      </c>
      <c r="AA62">
        <v>0</v>
      </c>
      <c r="AB62">
        <v>0</v>
      </c>
      <c r="AC62">
        <v>0</v>
      </c>
      <c r="AD62">
        <v>100</v>
      </c>
      <c r="AE62">
        <v>100</v>
      </c>
      <c r="AF62">
        <v>110</v>
      </c>
      <c r="AG62">
        <v>105</v>
      </c>
      <c r="AH62">
        <v>105</v>
      </c>
      <c r="AI62">
        <v>105</v>
      </c>
      <c r="AJ62">
        <v>0</v>
      </c>
      <c r="AK62">
        <v>0</v>
      </c>
      <c r="AL62">
        <v>94.2</v>
      </c>
      <c r="AM62">
        <v>100</v>
      </c>
      <c r="AN62">
        <v>100</v>
      </c>
      <c r="AO62">
        <v>100</v>
      </c>
      <c r="AP62">
        <v>100</v>
      </c>
      <c r="AQ62">
        <v>100</v>
      </c>
      <c r="AR62">
        <v>100</v>
      </c>
      <c r="AS62">
        <v>100</v>
      </c>
      <c r="AT62">
        <v>100</v>
      </c>
      <c r="AU62">
        <v>93.97</v>
      </c>
      <c r="AV62">
        <v>100</v>
      </c>
      <c r="AW62">
        <v>0</v>
      </c>
      <c r="AX62">
        <v>0</v>
      </c>
      <c r="AY62">
        <v>0</v>
      </c>
    </row>
    <row r="63" spans="1:51" x14ac:dyDescent="0.3">
      <c r="A63" t="s">
        <v>677</v>
      </c>
      <c r="B63" t="s">
        <v>313</v>
      </c>
      <c r="C63">
        <v>123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100</v>
      </c>
      <c r="U63">
        <v>100</v>
      </c>
      <c r="V63">
        <v>100</v>
      </c>
      <c r="W63">
        <v>100</v>
      </c>
      <c r="X63">
        <v>120</v>
      </c>
      <c r="Y63">
        <v>120</v>
      </c>
      <c r="Z63">
        <v>110</v>
      </c>
      <c r="AA63">
        <v>0</v>
      </c>
      <c r="AB63">
        <v>0</v>
      </c>
      <c r="AC63">
        <v>0</v>
      </c>
      <c r="AD63">
        <v>100</v>
      </c>
      <c r="AE63">
        <v>100</v>
      </c>
      <c r="AF63">
        <v>110</v>
      </c>
      <c r="AG63">
        <v>105</v>
      </c>
      <c r="AH63">
        <v>105</v>
      </c>
      <c r="AI63">
        <v>105</v>
      </c>
      <c r="AJ63">
        <v>0</v>
      </c>
      <c r="AK63">
        <v>0</v>
      </c>
      <c r="AL63">
        <v>94.2</v>
      </c>
      <c r="AM63">
        <v>100</v>
      </c>
      <c r="AN63">
        <v>100</v>
      </c>
      <c r="AO63">
        <v>100</v>
      </c>
      <c r="AP63">
        <v>100</v>
      </c>
      <c r="AQ63">
        <v>100</v>
      </c>
      <c r="AR63">
        <v>100</v>
      </c>
      <c r="AS63">
        <v>100</v>
      </c>
      <c r="AT63">
        <v>100</v>
      </c>
      <c r="AU63">
        <v>93.97</v>
      </c>
      <c r="AV63">
        <v>100</v>
      </c>
      <c r="AW63">
        <v>0</v>
      </c>
      <c r="AX63">
        <v>0</v>
      </c>
      <c r="AY63">
        <v>0</v>
      </c>
    </row>
    <row r="64" spans="1:51" x14ac:dyDescent="0.3">
      <c r="A64" t="s">
        <v>677</v>
      </c>
      <c r="B64" t="s">
        <v>314</v>
      </c>
      <c r="C64">
        <v>123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100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100</v>
      </c>
      <c r="AE64">
        <v>100</v>
      </c>
      <c r="AF64">
        <v>110</v>
      </c>
      <c r="AG64">
        <v>105</v>
      </c>
      <c r="AH64">
        <v>105</v>
      </c>
      <c r="AI64">
        <v>0</v>
      </c>
      <c r="AJ64">
        <v>0</v>
      </c>
      <c r="AK64">
        <v>0</v>
      </c>
      <c r="AL64">
        <v>94.2</v>
      </c>
      <c r="AM64">
        <v>100</v>
      </c>
      <c r="AN64">
        <v>100</v>
      </c>
      <c r="AO64">
        <v>100</v>
      </c>
      <c r="AP64">
        <v>100</v>
      </c>
      <c r="AQ64">
        <v>100</v>
      </c>
      <c r="AR64">
        <v>100</v>
      </c>
      <c r="AS64">
        <v>100</v>
      </c>
      <c r="AT64">
        <v>100</v>
      </c>
      <c r="AU64">
        <v>93.97</v>
      </c>
      <c r="AV64">
        <v>100</v>
      </c>
      <c r="AW64">
        <v>0</v>
      </c>
      <c r="AX64">
        <v>0</v>
      </c>
      <c r="AY64">
        <v>0</v>
      </c>
    </row>
    <row r="65" spans="1:51" x14ac:dyDescent="0.3">
      <c r="A65" t="s">
        <v>677</v>
      </c>
      <c r="B65" t="s">
        <v>315</v>
      </c>
      <c r="C65">
        <v>123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100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100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94.2</v>
      </c>
      <c r="AM65">
        <v>100</v>
      </c>
      <c r="AN65">
        <v>100</v>
      </c>
      <c r="AO65">
        <v>100</v>
      </c>
      <c r="AP65">
        <v>100</v>
      </c>
      <c r="AQ65">
        <v>100</v>
      </c>
      <c r="AR65">
        <v>100</v>
      </c>
      <c r="AS65">
        <v>100</v>
      </c>
      <c r="AT65">
        <v>100</v>
      </c>
      <c r="AU65">
        <v>93.97</v>
      </c>
      <c r="AV65">
        <v>100</v>
      </c>
      <c r="AW65">
        <v>0</v>
      </c>
      <c r="AX65">
        <v>0</v>
      </c>
      <c r="AY65">
        <v>0</v>
      </c>
    </row>
    <row r="66" spans="1:51" x14ac:dyDescent="0.3">
      <c r="A66" t="s">
        <v>677</v>
      </c>
      <c r="B66" t="s">
        <v>316</v>
      </c>
      <c r="C66">
        <v>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 x14ac:dyDescent="0.3">
      <c r="A67" t="s">
        <v>677</v>
      </c>
      <c r="B67" t="s">
        <v>317</v>
      </c>
      <c r="C67">
        <v>123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3">
      <c r="A68" t="s">
        <v>677</v>
      </c>
      <c r="B68" t="s">
        <v>318</v>
      </c>
      <c r="C68">
        <v>123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 x14ac:dyDescent="0.3">
      <c r="A69" t="s">
        <v>677</v>
      </c>
      <c r="B69" t="s">
        <v>319</v>
      </c>
      <c r="C69">
        <v>239.55</v>
      </c>
      <c r="D69">
        <v>60.67</v>
      </c>
      <c r="E69">
        <v>60.09</v>
      </c>
      <c r="F69">
        <v>60.09</v>
      </c>
      <c r="G69">
        <v>57.14</v>
      </c>
      <c r="H69">
        <v>57.14</v>
      </c>
      <c r="I69">
        <v>57.14</v>
      </c>
      <c r="J69">
        <v>57.14</v>
      </c>
      <c r="K69">
        <v>57.14</v>
      </c>
      <c r="L69">
        <v>57.14</v>
      </c>
      <c r="M69">
        <v>57.14</v>
      </c>
      <c r="N69">
        <v>60.61</v>
      </c>
      <c r="O69">
        <v>57.14</v>
      </c>
      <c r="P69">
        <v>57.14</v>
      </c>
      <c r="Q69">
        <v>57.14</v>
      </c>
      <c r="R69">
        <v>57.14</v>
      </c>
      <c r="S69">
        <v>57.14</v>
      </c>
      <c r="T69">
        <v>57.14</v>
      </c>
      <c r="U69">
        <v>57.14</v>
      </c>
      <c r="V69">
        <v>60.67</v>
      </c>
      <c r="W69">
        <v>114.29</v>
      </c>
      <c r="X69">
        <v>114.29</v>
      </c>
      <c r="Y69">
        <v>114.29</v>
      </c>
      <c r="Z69">
        <v>114.29</v>
      </c>
      <c r="AA69">
        <v>114.29</v>
      </c>
      <c r="AB69">
        <v>114.29</v>
      </c>
      <c r="AC69">
        <v>171.43</v>
      </c>
      <c r="AD69">
        <v>171.43</v>
      </c>
      <c r="AE69">
        <v>171.43</v>
      </c>
      <c r="AF69">
        <v>171.43</v>
      </c>
      <c r="AG69">
        <v>171.43</v>
      </c>
      <c r="AH69">
        <v>171.43</v>
      </c>
      <c r="AI69">
        <v>171.43</v>
      </c>
      <c r="AJ69">
        <v>171.43</v>
      </c>
      <c r="AK69">
        <v>171.43</v>
      </c>
      <c r="AL69">
        <v>171.43</v>
      </c>
      <c r="AM69">
        <v>193.91</v>
      </c>
      <c r="AN69">
        <v>193.91</v>
      </c>
      <c r="AO69">
        <v>171.43</v>
      </c>
      <c r="AP69">
        <v>171.43</v>
      </c>
      <c r="AQ69">
        <v>174.37</v>
      </c>
      <c r="AR69">
        <v>174.37</v>
      </c>
      <c r="AS69">
        <v>171.43</v>
      </c>
      <c r="AT69">
        <v>136.77000000000001</v>
      </c>
      <c r="AU69">
        <v>114.29</v>
      </c>
      <c r="AV69">
        <v>57.14</v>
      </c>
      <c r="AW69">
        <v>57.14</v>
      </c>
      <c r="AX69">
        <v>57.14</v>
      </c>
      <c r="AY69">
        <v>57.14</v>
      </c>
    </row>
    <row r="70" spans="1:51" x14ac:dyDescent="0.3">
      <c r="A70" t="s">
        <v>677</v>
      </c>
      <c r="B70" t="s">
        <v>320</v>
      </c>
      <c r="C70">
        <v>140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>
        <v>100</v>
      </c>
      <c r="AJ70">
        <v>100</v>
      </c>
      <c r="AK70">
        <v>100</v>
      </c>
      <c r="AL70">
        <v>100</v>
      </c>
      <c r="AM70">
        <v>100</v>
      </c>
      <c r="AN70">
        <v>100</v>
      </c>
      <c r="AO70">
        <v>100</v>
      </c>
      <c r="AP70">
        <v>100</v>
      </c>
      <c r="AQ70">
        <v>100</v>
      </c>
      <c r="AR70">
        <v>100</v>
      </c>
      <c r="AS70">
        <v>100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3">
      <c r="A71" t="s">
        <v>677</v>
      </c>
      <c r="B71" t="s">
        <v>321</v>
      </c>
      <c r="C71">
        <v>140</v>
      </c>
      <c r="D71">
        <v>106.18</v>
      </c>
      <c r="E71">
        <v>105.15</v>
      </c>
      <c r="F71">
        <v>105.15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106.07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106.18</v>
      </c>
      <c r="W71">
        <v>100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  <c r="AH71">
        <v>100</v>
      </c>
      <c r="AI71">
        <v>100</v>
      </c>
      <c r="AJ71">
        <v>100</v>
      </c>
      <c r="AK71">
        <v>100</v>
      </c>
      <c r="AL71">
        <v>100</v>
      </c>
      <c r="AM71">
        <v>139.34</v>
      </c>
      <c r="AN71">
        <v>139.34</v>
      </c>
      <c r="AO71">
        <v>100</v>
      </c>
      <c r="AP71">
        <v>100</v>
      </c>
      <c r="AQ71">
        <v>105.15</v>
      </c>
      <c r="AR71">
        <v>105.15</v>
      </c>
      <c r="AS71">
        <v>100</v>
      </c>
      <c r="AT71">
        <v>139.34</v>
      </c>
      <c r="AU71">
        <v>100</v>
      </c>
      <c r="AV71">
        <v>100</v>
      </c>
      <c r="AW71">
        <v>100</v>
      </c>
      <c r="AX71">
        <v>100</v>
      </c>
      <c r="AY71">
        <v>100</v>
      </c>
    </row>
    <row r="72" spans="1:51" x14ac:dyDescent="0.3">
      <c r="A72" t="s">
        <v>677</v>
      </c>
      <c r="B72" t="s">
        <v>322</v>
      </c>
      <c r="C72">
        <v>140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  <c r="AK72">
        <v>100</v>
      </c>
      <c r="AL72">
        <v>100</v>
      </c>
      <c r="AM72">
        <v>100</v>
      </c>
      <c r="AN72">
        <v>100</v>
      </c>
      <c r="AO72">
        <v>100</v>
      </c>
      <c r="AP72">
        <v>100</v>
      </c>
      <c r="AQ72">
        <v>100</v>
      </c>
      <c r="AR72">
        <v>100</v>
      </c>
      <c r="AS72">
        <v>100</v>
      </c>
      <c r="AT72">
        <v>100</v>
      </c>
      <c r="AU72">
        <v>100</v>
      </c>
      <c r="AV72">
        <v>0</v>
      </c>
      <c r="AW72">
        <v>0</v>
      </c>
      <c r="AX72">
        <v>0</v>
      </c>
      <c r="AY72">
        <v>0</v>
      </c>
    </row>
    <row r="73" spans="1:51" x14ac:dyDescent="0.3">
      <c r="A73" t="s">
        <v>677</v>
      </c>
      <c r="B73" t="s">
        <v>323</v>
      </c>
      <c r="C73">
        <v>232.79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3">
      <c r="A74" t="s">
        <v>677</v>
      </c>
      <c r="B74" t="s">
        <v>324</v>
      </c>
      <c r="C74">
        <v>140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">
      <c r="A75" t="s">
        <v>677</v>
      </c>
      <c r="B75" t="s">
        <v>325</v>
      </c>
      <c r="C75">
        <v>140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">
      <c r="A76" t="s">
        <v>677</v>
      </c>
      <c r="B76" t="s">
        <v>326</v>
      </c>
      <c r="C76">
        <v>140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3">
      <c r="A77" t="s">
        <v>677</v>
      </c>
      <c r="B77" t="s">
        <v>327</v>
      </c>
      <c r="C77">
        <v>71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A78" t="s">
        <v>677</v>
      </c>
      <c r="B78" t="s">
        <v>328</v>
      </c>
      <c r="C78">
        <v>143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">
      <c r="A79" t="s">
        <v>677</v>
      </c>
      <c r="B79" t="s">
        <v>89</v>
      </c>
      <c r="C79">
        <v>290</v>
      </c>
      <c r="D79">
        <v>180</v>
      </c>
      <c r="E79">
        <v>180</v>
      </c>
      <c r="F79">
        <v>180</v>
      </c>
      <c r="G79">
        <v>180</v>
      </c>
      <c r="H79">
        <v>180</v>
      </c>
      <c r="I79">
        <v>180</v>
      </c>
      <c r="J79">
        <v>180</v>
      </c>
      <c r="K79">
        <v>180</v>
      </c>
      <c r="L79">
        <v>200</v>
      </c>
      <c r="M79">
        <v>200</v>
      </c>
      <c r="N79">
        <v>200</v>
      </c>
      <c r="O79">
        <v>200</v>
      </c>
      <c r="P79">
        <v>200</v>
      </c>
      <c r="Q79">
        <v>200</v>
      </c>
      <c r="R79">
        <v>240</v>
      </c>
      <c r="S79">
        <v>290</v>
      </c>
      <c r="T79">
        <v>290</v>
      </c>
      <c r="U79">
        <v>290</v>
      </c>
      <c r="V79">
        <v>290</v>
      </c>
      <c r="W79">
        <v>290</v>
      </c>
      <c r="X79">
        <v>290</v>
      </c>
      <c r="Y79">
        <v>290</v>
      </c>
      <c r="Z79">
        <v>290</v>
      </c>
      <c r="AA79">
        <v>290</v>
      </c>
      <c r="AB79">
        <v>290</v>
      </c>
      <c r="AC79">
        <v>290</v>
      </c>
      <c r="AD79">
        <v>290</v>
      </c>
      <c r="AE79">
        <v>290</v>
      </c>
      <c r="AF79">
        <v>290</v>
      </c>
      <c r="AG79">
        <v>290</v>
      </c>
      <c r="AH79">
        <v>290</v>
      </c>
      <c r="AI79">
        <v>290</v>
      </c>
      <c r="AJ79">
        <v>290</v>
      </c>
      <c r="AK79">
        <v>290</v>
      </c>
      <c r="AL79">
        <v>290</v>
      </c>
      <c r="AM79">
        <v>290</v>
      </c>
      <c r="AN79">
        <v>290</v>
      </c>
      <c r="AO79">
        <v>290</v>
      </c>
      <c r="AP79">
        <v>290</v>
      </c>
      <c r="AQ79">
        <v>290</v>
      </c>
      <c r="AR79">
        <v>290</v>
      </c>
      <c r="AS79">
        <v>290</v>
      </c>
      <c r="AT79">
        <v>290</v>
      </c>
      <c r="AU79">
        <v>290</v>
      </c>
      <c r="AV79">
        <v>290</v>
      </c>
      <c r="AW79">
        <v>290</v>
      </c>
      <c r="AX79">
        <v>249.25</v>
      </c>
      <c r="AY79">
        <v>249.25</v>
      </c>
    </row>
    <row r="80" spans="1:51" x14ac:dyDescent="0.3">
      <c r="A80" t="s">
        <v>677</v>
      </c>
      <c r="B80" t="s">
        <v>90</v>
      </c>
      <c r="C80">
        <v>290</v>
      </c>
      <c r="D80">
        <v>180</v>
      </c>
      <c r="E80">
        <v>180</v>
      </c>
      <c r="F80">
        <v>180</v>
      </c>
      <c r="G80">
        <v>180</v>
      </c>
      <c r="H80">
        <v>180</v>
      </c>
      <c r="I80">
        <v>180</v>
      </c>
      <c r="J80">
        <v>180</v>
      </c>
      <c r="K80">
        <v>180</v>
      </c>
      <c r="L80">
        <v>200</v>
      </c>
      <c r="M80">
        <v>200</v>
      </c>
      <c r="N80">
        <v>200</v>
      </c>
      <c r="O80">
        <v>200</v>
      </c>
      <c r="P80">
        <v>200</v>
      </c>
      <c r="Q80">
        <v>200</v>
      </c>
      <c r="R80">
        <v>240</v>
      </c>
      <c r="S80">
        <v>290</v>
      </c>
      <c r="T80">
        <v>290</v>
      </c>
      <c r="U80">
        <v>290</v>
      </c>
      <c r="V80">
        <v>290</v>
      </c>
      <c r="W80">
        <v>290</v>
      </c>
      <c r="X80">
        <v>290</v>
      </c>
      <c r="Y80">
        <v>290</v>
      </c>
      <c r="Z80">
        <v>290</v>
      </c>
      <c r="AA80">
        <v>290</v>
      </c>
      <c r="AB80">
        <v>290</v>
      </c>
      <c r="AC80">
        <v>290</v>
      </c>
      <c r="AD80">
        <v>290</v>
      </c>
      <c r="AE80">
        <v>290</v>
      </c>
      <c r="AF80">
        <v>290</v>
      </c>
      <c r="AG80">
        <v>290</v>
      </c>
      <c r="AH80">
        <v>290</v>
      </c>
      <c r="AI80">
        <v>290</v>
      </c>
      <c r="AJ80">
        <v>290</v>
      </c>
      <c r="AK80">
        <v>290</v>
      </c>
      <c r="AL80">
        <v>290</v>
      </c>
      <c r="AM80">
        <v>290</v>
      </c>
      <c r="AN80">
        <v>290</v>
      </c>
      <c r="AO80">
        <v>290</v>
      </c>
      <c r="AP80">
        <v>290</v>
      </c>
      <c r="AQ80">
        <v>290</v>
      </c>
      <c r="AR80">
        <v>290</v>
      </c>
      <c r="AS80">
        <v>290</v>
      </c>
      <c r="AT80">
        <v>290</v>
      </c>
      <c r="AU80">
        <v>290</v>
      </c>
      <c r="AV80">
        <v>290</v>
      </c>
      <c r="AW80">
        <v>290</v>
      </c>
      <c r="AX80">
        <v>249.25</v>
      </c>
      <c r="AY80">
        <v>249.25</v>
      </c>
    </row>
    <row r="81" spans="1:51" x14ac:dyDescent="0.3">
      <c r="A81" t="s">
        <v>677</v>
      </c>
      <c r="B81" t="s">
        <v>91</v>
      </c>
      <c r="C81">
        <v>290</v>
      </c>
      <c r="D81">
        <v>180</v>
      </c>
      <c r="E81">
        <v>180</v>
      </c>
      <c r="F81">
        <v>180</v>
      </c>
      <c r="G81">
        <v>180</v>
      </c>
      <c r="H81">
        <v>180</v>
      </c>
      <c r="I81">
        <v>180</v>
      </c>
      <c r="J81">
        <v>180</v>
      </c>
      <c r="K81">
        <v>180</v>
      </c>
      <c r="L81">
        <v>200</v>
      </c>
      <c r="M81">
        <v>200</v>
      </c>
      <c r="N81">
        <v>200</v>
      </c>
      <c r="O81">
        <v>200</v>
      </c>
      <c r="P81">
        <v>200</v>
      </c>
      <c r="Q81">
        <v>200</v>
      </c>
      <c r="R81">
        <v>240</v>
      </c>
      <c r="S81">
        <v>290</v>
      </c>
      <c r="T81">
        <v>290</v>
      </c>
      <c r="U81">
        <v>290</v>
      </c>
      <c r="V81">
        <v>290</v>
      </c>
      <c r="W81">
        <v>290</v>
      </c>
      <c r="X81">
        <v>290</v>
      </c>
      <c r="Y81">
        <v>290</v>
      </c>
      <c r="Z81">
        <v>290</v>
      </c>
      <c r="AA81">
        <v>290</v>
      </c>
      <c r="AB81">
        <v>290</v>
      </c>
      <c r="AC81">
        <v>290</v>
      </c>
      <c r="AD81">
        <v>290</v>
      </c>
      <c r="AE81">
        <v>290</v>
      </c>
      <c r="AF81">
        <v>290</v>
      </c>
      <c r="AG81">
        <v>290</v>
      </c>
      <c r="AH81">
        <v>290</v>
      </c>
      <c r="AI81">
        <v>290</v>
      </c>
      <c r="AJ81">
        <v>290</v>
      </c>
      <c r="AK81">
        <v>290</v>
      </c>
      <c r="AL81">
        <v>290</v>
      </c>
      <c r="AM81">
        <v>290</v>
      </c>
      <c r="AN81">
        <v>290</v>
      </c>
      <c r="AO81">
        <v>290</v>
      </c>
      <c r="AP81">
        <v>290</v>
      </c>
      <c r="AQ81">
        <v>290</v>
      </c>
      <c r="AR81">
        <v>290</v>
      </c>
      <c r="AS81">
        <v>290</v>
      </c>
      <c r="AT81">
        <v>290</v>
      </c>
      <c r="AU81">
        <v>290</v>
      </c>
      <c r="AV81">
        <v>290</v>
      </c>
      <c r="AW81">
        <v>290</v>
      </c>
      <c r="AX81">
        <v>249.25</v>
      </c>
      <c r="AY81">
        <v>249.25</v>
      </c>
    </row>
    <row r="82" spans="1:51" x14ac:dyDescent="0.3">
      <c r="A82" t="s">
        <v>677</v>
      </c>
      <c r="B82" t="s">
        <v>329</v>
      </c>
      <c r="D82">
        <v>123</v>
      </c>
      <c r="E82">
        <v>123</v>
      </c>
      <c r="F82">
        <v>123</v>
      </c>
      <c r="G82">
        <v>123</v>
      </c>
      <c r="H82">
        <v>123</v>
      </c>
      <c r="I82">
        <v>123</v>
      </c>
      <c r="J82">
        <v>123</v>
      </c>
      <c r="K82">
        <v>123</v>
      </c>
      <c r="L82">
        <v>123</v>
      </c>
      <c r="M82">
        <v>123</v>
      </c>
      <c r="N82">
        <v>123</v>
      </c>
      <c r="O82">
        <v>123</v>
      </c>
      <c r="P82">
        <v>100</v>
      </c>
      <c r="Q82">
        <v>108</v>
      </c>
      <c r="R82">
        <v>108</v>
      </c>
      <c r="S82">
        <v>108</v>
      </c>
      <c r="T82">
        <v>108</v>
      </c>
      <c r="U82">
        <v>118</v>
      </c>
      <c r="V82">
        <v>134</v>
      </c>
      <c r="W82">
        <v>132</v>
      </c>
      <c r="X82">
        <v>132</v>
      </c>
      <c r="Y82">
        <v>132</v>
      </c>
      <c r="Z82">
        <v>132</v>
      </c>
      <c r="AA82">
        <v>132</v>
      </c>
      <c r="AB82">
        <v>127</v>
      </c>
      <c r="AC82">
        <v>127</v>
      </c>
      <c r="AD82">
        <v>127</v>
      </c>
      <c r="AE82">
        <v>127</v>
      </c>
      <c r="AF82">
        <v>127</v>
      </c>
      <c r="AG82">
        <v>127</v>
      </c>
      <c r="AH82">
        <v>127</v>
      </c>
      <c r="AI82">
        <v>127</v>
      </c>
      <c r="AJ82">
        <v>127</v>
      </c>
      <c r="AK82">
        <v>127</v>
      </c>
      <c r="AL82">
        <v>127</v>
      </c>
      <c r="AM82">
        <v>127</v>
      </c>
      <c r="AN82">
        <v>127</v>
      </c>
      <c r="AO82">
        <v>127</v>
      </c>
      <c r="AP82">
        <v>124</v>
      </c>
      <c r="AQ82">
        <v>124</v>
      </c>
      <c r="AR82">
        <v>124</v>
      </c>
      <c r="AS82">
        <v>124</v>
      </c>
      <c r="AT82">
        <v>124</v>
      </c>
      <c r="AU82">
        <v>124</v>
      </c>
      <c r="AV82">
        <v>124</v>
      </c>
      <c r="AW82">
        <v>124</v>
      </c>
      <c r="AX82">
        <v>124</v>
      </c>
      <c r="AY82">
        <v>124</v>
      </c>
    </row>
    <row r="83" spans="1:51" x14ac:dyDescent="0.3">
      <c r="A83" t="s">
        <v>677</v>
      </c>
      <c r="B83" t="s">
        <v>330</v>
      </c>
      <c r="C83">
        <v>91.728700000000003</v>
      </c>
      <c r="D83">
        <v>87.14</v>
      </c>
      <c r="E83">
        <v>87.14</v>
      </c>
      <c r="F83">
        <v>87.14</v>
      </c>
      <c r="G83">
        <v>87.14</v>
      </c>
      <c r="H83">
        <v>87.14</v>
      </c>
      <c r="I83">
        <v>87.14</v>
      </c>
      <c r="J83">
        <v>87.14</v>
      </c>
      <c r="K83">
        <v>87.14</v>
      </c>
      <c r="L83">
        <v>87.14</v>
      </c>
      <c r="M83">
        <v>87.14</v>
      </c>
      <c r="N83">
        <v>87.14</v>
      </c>
      <c r="O83">
        <v>87.14</v>
      </c>
      <c r="P83">
        <v>87.14</v>
      </c>
      <c r="Q83">
        <v>87.14</v>
      </c>
      <c r="R83">
        <v>87.14</v>
      </c>
      <c r="S83">
        <v>87.14</v>
      </c>
      <c r="T83">
        <v>87.14</v>
      </c>
      <c r="U83">
        <v>87.14</v>
      </c>
      <c r="V83">
        <v>87.14</v>
      </c>
      <c r="W83">
        <v>87.14</v>
      </c>
      <c r="X83">
        <v>87.14</v>
      </c>
      <c r="Y83">
        <v>87.14</v>
      </c>
      <c r="Z83">
        <v>87.14</v>
      </c>
      <c r="AA83">
        <v>87.14</v>
      </c>
      <c r="AB83">
        <v>87.14</v>
      </c>
      <c r="AC83">
        <v>87.14</v>
      </c>
      <c r="AD83">
        <v>87.14</v>
      </c>
      <c r="AE83">
        <v>87.14</v>
      </c>
      <c r="AF83">
        <v>87.14</v>
      </c>
      <c r="AG83">
        <v>87.14</v>
      </c>
      <c r="AH83">
        <v>87.14</v>
      </c>
      <c r="AI83">
        <v>87.14</v>
      </c>
      <c r="AJ83">
        <v>87.14</v>
      </c>
      <c r="AK83">
        <v>87.14</v>
      </c>
      <c r="AL83">
        <v>87.14</v>
      </c>
      <c r="AM83">
        <v>87.14</v>
      </c>
      <c r="AN83">
        <v>87.14</v>
      </c>
      <c r="AO83">
        <v>87.14</v>
      </c>
      <c r="AP83">
        <v>87.14</v>
      </c>
      <c r="AQ83">
        <v>87.14</v>
      </c>
      <c r="AR83">
        <v>87.14</v>
      </c>
      <c r="AS83">
        <v>87.14</v>
      </c>
      <c r="AT83">
        <v>87.14</v>
      </c>
      <c r="AU83">
        <v>87.14</v>
      </c>
      <c r="AV83">
        <v>87.14</v>
      </c>
      <c r="AW83">
        <v>87.14</v>
      </c>
      <c r="AX83">
        <v>87.14</v>
      </c>
      <c r="AY83">
        <v>87.14</v>
      </c>
    </row>
    <row r="84" spans="1:51" x14ac:dyDescent="0.3">
      <c r="A84" t="s">
        <v>677</v>
      </c>
      <c r="B84" t="s">
        <v>331</v>
      </c>
      <c r="C84">
        <v>126.78023</v>
      </c>
      <c r="D84">
        <v>120.44</v>
      </c>
      <c r="E84">
        <v>120.44</v>
      </c>
      <c r="F84">
        <v>120.44</v>
      </c>
      <c r="G84">
        <v>120.44</v>
      </c>
      <c r="H84">
        <v>120.44</v>
      </c>
      <c r="I84">
        <v>120.44</v>
      </c>
      <c r="J84">
        <v>120.44</v>
      </c>
      <c r="K84">
        <v>120.44</v>
      </c>
      <c r="L84">
        <v>120.44</v>
      </c>
      <c r="M84">
        <v>120.44</v>
      </c>
      <c r="N84">
        <v>120.44</v>
      </c>
      <c r="O84">
        <v>120.44</v>
      </c>
      <c r="P84">
        <v>120.44</v>
      </c>
      <c r="Q84">
        <v>120.44</v>
      </c>
      <c r="R84">
        <v>120.44</v>
      </c>
      <c r="S84">
        <v>120.44</v>
      </c>
      <c r="T84">
        <v>120.44</v>
      </c>
      <c r="U84">
        <v>120.44</v>
      </c>
      <c r="V84">
        <v>120.44</v>
      </c>
      <c r="W84">
        <v>120.44</v>
      </c>
      <c r="X84">
        <v>120.44</v>
      </c>
      <c r="Y84">
        <v>120.44</v>
      </c>
      <c r="Z84">
        <v>120.44</v>
      </c>
      <c r="AA84">
        <v>120.44</v>
      </c>
      <c r="AB84">
        <v>120.44</v>
      </c>
      <c r="AC84">
        <v>120.44</v>
      </c>
      <c r="AD84">
        <v>120.44</v>
      </c>
      <c r="AE84">
        <v>120.44</v>
      </c>
      <c r="AF84">
        <v>120.44</v>
      </c>
      <c r="AG84">
        <v>120.44</v>
      </c>
      <c r="AH84">
        <v>120.44</v>
      </c>
      <c r="AI84">
        <v>120.44</v>
      </c>
      <c r="AJ84">
        <v>120.44</v>
      </c>
      <c r="AK84">
        <v>120.44</v>
      </c>
      <c r="AL84">
        <v>120.44</v>
      </c>
      <c r="AM84">
        <v>120.44</v>
      </c>
      <c r="AN84">
        <v>120.44</v>
      </c>
      <c r="AO84">
        <v>120.44</v>
      </c>
      <c r="AP84">
        <v>120.44</v>
      </c>
      <c r="AQ84">
        <v>120.44</v>
      </c>
      <c r="AR84">
        <v>120.44</v>
      </c>
      <c r="AS84">
        <v>120.44</v>
      </c>
      <c r="AT84">
        <v>120.44</v>
      </c>
      <c r="AU84">
        <v>120.44</v>
      </c>
      <c r="AV84">
        <v>120.44</v>
      </c>
      <c r="AW84">
        <v>120.44</v>
      </c>
      <c r="AX84">
        <v>120.44</v>
      </c>
      <c r="AY84">
        <v>120.44</v>
      </c>
    </row>
    <row r="85" spans="1:51" x14ac:dyDescent="0.3">
      <c r="A85" t="s">
        <v>677</v>
      </c>
      <c r="B85" t="s">
        <v>332</v>
      </c>
      <c r="C85">
        <v>123.36635</v>
      </c>
      <c r="D85">
        <v>105</v>
      </c>
      <c r="E85">
        <v>105</v>
      </c>
      <c r="F85">
        <v>105</v>
      </c>
      <c r="G85">
        <v>105</v>
      </c>
      <c r="H85">
        <v>105</v>
      </c>
      <c r="I85">
        <v>105</v>
      </c>
      <c r="J85">
        <v>105</v>
      </c>
      <c r="K85">
        <v>105</v>
      </c>
      <c r="L85">
        <v>105</v>
      </c>
      <c r="M85">
        <v>105</v>
      </c>
      <c r="N85">
        <v>105</v>
      </c>
      <c r="O85">
        <v>105</v>
      </c>
      <c r="P85">
        <v>105</v>
      </c>
      <c r="Q85">
        <v>105</v>
      </c>
      <c r="R85">
        <v>105</v>
      </c>
      <c r="S85">
        <v>105</v>
      </c>
      <c r="T85">
        <v>105</v>
      </c>
      <c r="U85">
        <v>105</v>
      </c>
      <c r="V85">
        <v>105</v>
      </c>
      <c r="W85">
        <v>105</v>
      </c>
      <c r="X85">
        <v>105</v>
      </c>
      <c r="Y85">
        <v>105</v>
      </c>
      <c r="Z85">
        <v>105</v>
      </c>
      <c r="AA85">
        <v>105</v>
      </c>
      <c r="AB85">
        <v>105</v>
      </c>
      <c r="AC85">
        <v>105</v>
      </c>
      <c r="AD85">
        <v>105</v>
      </c>
      <c r="AE85">
        <v>105</v>
      </c>
      <c r="AF85">
        <v>105</v>
      </c>
      <c r="AG85">
        <v>105</v>
      </c>
      <c r="AH85">
        <v>105</v>
      </c>
      <c r="AI85">
        <v>105</v>
      </c>
      <c r="AJ85">
        <v>105</v>
      </c>
      <c r="AK85">
        <v>105</v>
      </c>
      <c r="AL85">
        <v>105</v>
      </c>
      <c r="AM85">
        <v>105</v>
      </c>
      <c r="AN85">
        <v>105</v>
      </c>
      <c r="AO85">
        <v>105</v>
      </c>
      <c r="AP85">
        <v>105</v>
      </c>
      <c r="AQ85">
        <v>105</v>
      </c>
      <c r="AR85">
        <v>105</v>
      </c>
      <c r="AS85">
        <v>105</v>
      </c>
      <c r="AT85">
        <v>105</v>
      </c>
      <c r="AU85">
        <v>105</v>
      </c>
      <c r="AV85">
        <v>105</v>
      </c>
      <c r="AW85">
        <v>105</v>
      </c>
      <c r="AX85">
        <v>105</v>
      </c>
      <c r="AY85">
        <v>105</v>
      </c>
    </row>
    <row r="86" spans="1:51" x14ac:dyDescent="0.3">
      <c r="A86" t="s">
        <v>677</v>
      </c>
      <c r="B86" t="s">
        <v>333</v>
      </c>
      <c r="C86">
        <v>122.32919</v>
      </c>
      <c r="D86">
        <v>115</v>
      </c>
      <c r="E86">
        <v>115</v>
      </c>
      <c r="F86">
        <v>115</v>
      </c>
      <c r="G86">
        <v>115</v>
      </c>
      <c r="H86">
        <v>115</v>
      </c>
      <c r="I86">
        <v>115</v>
      </c>
      <c r="J86">
        <v>115</v>
      </c>
      <c r="K86">
        <v>115</v>
      </c>
      <c r="L86">
        <v>115</v>
      </c>
      <c r="M86">
        <v>115</v>
      </c>
      <c r="N86">
        <v>115</v>
      </c>
      <c r="O86">
        <v>115</v>
      </c>
      <c r="P86">
        <v>115</v>
      </c>
      <c r="Q86">
        <v>115</v>
      </c>
      <c r="R86">
        <v>115</v>
      </c>
      <c r="S86">
        <v>102</v>
      </c>
      <c r="T86">
        <v>115</v>
      </c>
      <c r="U86">
        <v>115</v>
      </c>
      <c r="V86">
        <v>115</v>
      </c>
      <c r="W86">
        <v>115</v>
      </c>
      <c r="X86">
        <v>115</v>
      </c>
      <c r="Y86">
        <v>115</v>
      </c>
      <c r="Z86">
        <v>115</v>
      </c>
      <c r="AA86">
        <v>115</v>
      </c>
      <c r="AB86">
        <v>115</v>
      </c>
      <c r="AC86">
        <v>115</v>
      </c>
      <c r="AD86">
        <v>115</v>
      </c>
      <c r="AE86">
        <v>115</v>
      </c>
      <c r="AF86">
        <v>115</v>
      </c>
      <c r="AG86">
        <v>115</v>
      </c>
      <c r="AH86">
        <v>115</v>
      </c>
      <c r="AI86">
        <v>115</v>
      </c>
      <c r="AJ86">
        <v>115</v>
      </c>
      <c r="AK86">
        <v>115</v>
      </c>
      <c r="AL86">
        <v>115</v>
      </c>
      <c r="AM86">
        <v>115</v>
      </c>
      <c r="AN86">
        <v>115</v>
      </c>
      <c r="AO86">
        <v>115</v>
      </c>
      <c r="AP86">
        <v>115</v>
      </c>
      <c r="AQ86">
        <v>115</v>
      </c>
      <c r="AR86">
        <v>115</v>
      </c>
      <c r="AS86">
        <v>115</v>
      </c>
      <c r="AT86">
        <v>115</v>
      </c>
      <c r="AU86">
        <v>115</v>
      </c>
      <c r="AV86">
        <v>115</v>
      </c>
      <c r="AW86">
        <v>115</v>
      </c>
      <c r="AX86">
        <v>115</v>
      </c>
      <c r="AY86">
        <v>115</v>
      </c>
    </row>
    <row r="87" spans="1:51" x14ac:dyDescent="0.3">
      <c r="A87" t="s">
        <v>677</v>
      </c>
      <c r="B87" t="s">
        <v>334</v>
      </c>
      <c r="C87">
        <v>150</v>
      </c>
      <c r="D87">
        <v>30</v>
      </c>
      <c r="E87">
        <v>30</v>
      </c>
      <c r="F87">
        <v>30</v>
      </c>
      <c r="G87">
        <v>30</v>
      </c>
      <c r="H87">
        <v>30</v>
      </c>
      <c r="I87">
        <v>30</v>
      </c>
      <c r="J87">
        <v>30</v>
      </c>
      <c r="K87">
        <v>30</v>
      </c>
      <c r="L87">
        <v>30</v>
      </c>
      <c r="M87">
        <v>30</v>
      </c>
      <c r="N87">
        <v>30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30</v>
      </c>
      <c r="U87">
        <v>30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30</v>
      </c>
      <c r="AB87">
        <v>30</v>
      </c>
      <c r="AC87">
        <v>30</v>
      </c>
      <c r="AD87">
        <v>30</v>
      </c>
      <c r="AE87">
        <v>30</v>
      </c>
      <c r="AF87">
        <v>30</v>
      </c>
      <c r="AG87">
        <v>30</v>
      </c>
      <c r="AH87">
        <v>30</v>
      </c>
      <c r="AI87">
        <v>30</v>
      </c>
      <c r="AJ87">
        <v>30</v>
      </c>
      <c r="AK87">
        <v>30</v>
      </c>
      <c r="AL87">
        <v>30</v>
      </c>
      <c r="AM87">
        <v>30</v>
      </c>
      <c r="AN87">
        <v>30</v>
      </c>
      <c r="AO87">
        <v>30</v>
      </c>
      <c r="AP87">
        <v>30</v>
      </c>
      <c r="AQ87">
        <v>30</v>
      </c>
      <c r="AR87">
        <v>30</v>
      </c>
      <c r="AS87">
        <v>30</v>
      </c>
      <c r="AT87">
        <v>30</v>
      </c>
      <c r="AU87">
        <v>30</v>
      </c>
      <c r="AV87">
        <v>30</v>
      </c>
      <c r="AW87">
        <v>30</v>
      </c>
      <c r="AX87">
        <v>30</v>
      </c>
      <c r="AY87">
        <v>30</v>
      </c>
    </row>
    <row r="88" spans="1:51" x14ac:dyDescent="0.3">
      <c r="A88" t="s">
        <v>677</v>
      </c>
      <c r="B88" t="s">
        <v>335</v>
      </c>
      <c r="C88">
        <v>61.273200000000003</v>
      </c>
      <c r="D88">
        <v>55.15</v>
      </c>
      <c r="E88">
        <v>55.15</v>
      </c>
      <c r="F88">
        <v>55.15</v>
      </c>
      <c r="G88">
        <v>55.15</v>
      </c>
      <c r="H88">
        <v>55.15</v>
      </c>
      <c r="I88">
        <v>55.15</v>
      </c>
      <c r="J88">
        <v>55.15</v>
      </c>
      <c r="K88">
        <v>55.15</v>
      </c>
      <c r="L88">
        <v>55.15</v>
      </c>
      <c r="M88">
        <v>55.15</v>
      </c>
      <c r="N88">
        <v>55.15</v>
      </c>
      <c r="O88">
        <v>55.15</v>
      </c>
      <c r="P88">
        <v>55.15</v>
      </c>
      <c r="Q88">
        <v>55.15</v>
      </c>
      <c r="R88">
        <v>55.15</v>
      </c>
      <c r="S88">
        <v>55.15</v>
      </c>
      <c r="T88">
        <v>55.15</v>
      </c>
      <c r="U88">
        <v>55.15</v>
      </c>
      <c r="V88">
        <v>55.15</v>
      </c>
      <c r="W88">
        <v>55.15</v>
      </c>
      <c r="X88">
        <v>55.15</v>
      </c>
      <c r="Y88">
        <v>55.15</v>
      </c>
      <c r="Z88">
        <v>55.15</v>
      </c>
      <c r="AA88">
        <v>55.15</v>
      </c>
      <c r="AB88">
        <v>55.15</v>
      </c>
      <c r="AC88">
        <v>55.15</v>
      </c>
      <c r="AD88">
        <v>55.15</v>
      </c>
      <c r="AE88">
        <v>55.15</v>
      </c>
      <c r="AF88">
        <v>55.15</v>
      </c>
      <c r="AG88">
        <v>55.15</v>
      </c>
      <c r="AH88">
        <v>55.15</v>
      </c>
      <c r="AI88">
        <v>55.15</v>
      </c>
      <c r="AJ88">
        <v>55.15</v>
      </c>
      <c r="AK88">
        <v>55.15</v>
      </c>
      <c r="AL88">
        <v>55.15</v>
      </c>
      <c r="AM88">
        <v>55.15</v>
      </c>
      <c r="AN88">
        <v>55.15</v>
      </c>
      <c r="AO88">
        <v>55.15</v>
      </c>
      <c r="AP88">
        <v>55.15</v>
      </c>
      <c r="AQ88">
        <v>55.15</v>
      </c>
      <c r="AR88">
        <v>55.15</v>
      </c>
      <c r="AS88">
        <v>55.15</v>
      </c>
      <c r="AT88">
        <v>55.15</v>
      </c>
      <c r="AU88">
        <v>55.15</v>
      </c>
      <c r="AV88">
        <v>55.15</v>
      </c>
      <c r="AW88">
        <v>55.15</v>
      </c>
      <c r="AX88">
        <v>55.15</v>
      </c>
      <c r="AY88">
        <v>55.15</v>
      </c>
    </row>
    <row r="89" spans="1:51" x14ac:dyDescent="0.3">
      <c r="A89" t="s">
        <v>677</v>
      </c>
      <c r="B89" t="s">
        <v>336</v>
      </c>
      <c r="C89">
        <v>33</v>
      </c>
      <c r="D89">
        <v>29.7</v>
      </c>
      <c r="E89">
        <v>29.7</v>
      </c>
      <c r="F89">
        <v>29.7</v>
      </c>
      <c r="G89">
        <v>29.7</v>
      </c>
      <c r="H89">
        <v>29.7</v>
      </c>
      <c r="I89">
        <v>29.7</v>
      </c>
      <c r="J89">
        <v>29.7</v>
      </c>
      <c r="K89">
        <v>29.7</v>
      </c>
      <c r="L89">
        <v>29.7</v>
      </c>
      <c r="M89">
        <v>29.7</v>
      </c>
      <c r="N89">
        <v>29.7</v>
      </c>
      <c r="O89">
        <v>29.7</v>
      </c>
      <c r="P89">
        <v>29.7</v>
      </c>
      <c r="Q89">
        <v>29.7</v>
      </c>
      <c r="R89">
        <v>29.7</v>
      </c>
      <c r="S89">
        <v>29.7</v>
      </c>
      <c r="T89">
        <v>29.7</v>
      </c>
      <c r="U89">
        <v>29.7</v>
      </c>
      <c r="V89">
        <v>29.7</v>
      </c>
      <c r="W89">
        <v>29.7</v>
      </c>
      <c r="X89">
        <v>29.7</v>
      </c>
      <c r="Y89">
        <v>29.7</v>
      </c>
      <c r="Z89">
        <v>29.7</v>
      </c>
      <c r="AA89">
        <v>29.7</v>
      </c>
      <c r="AB89">
        <v>29.7</v>
      </c>
      <c r="AC89">
        <v>29.7</v>
      </c>
      <c r="AD89">
        <v>29.7</v>
      </c>
      <c r="AE89">
        <v>29.7</v>
      </c>
      <c r="AF89">
        <v>29.7</v>
      </c>
      <c r="AG89">
        <v>29.7</v>
      </c>
      <c r="AH89">
        <v>29.7</v>
      </c>
      <c r="AI89">
        <v>29.7</v>
      </c>
      <c r="AJ89">
        <v>29.7</v>
      </c>
      <c r="AK89">
        <v>29.7</v>
      </c>
      <c r="AL89">
        <v>29.7</v>
      </c>
      <c r="AM89">
        <v>29.7</v>
      </c>
      <c r="AN89">
        <v>29.7</v>
      </c>
      <c r="AO89">
        <v>29.7</v>
      </c>
      <c r="AP89">
        <v>29.7</v>
      </c>
      <c r="AQ89">
        <v>29.7</v>
      </c>
      <c r="AR89">
        <v>29.7</v>
      </c>
      <c r="AS89">
        <v>29.7</v>
      </c>
      <c r="AT89">
        <v>29.7</v>
      </c>
      <c r="AU89">
        <v>29.7</v>
      </c>
      <c r="AV89">
        <v>29.7</v>
      </c>
      <c r="AW89">
        <v>29.7</v>
      </c>
      <c r="AX89">
        <v>29.7</v>
      </c>
      <c r="AY89">
        <v>29.7</v>
      </c>
    </row>
    <row r="90" spans="1:51" x14ac:dyDescent="0.3">
      <c r="A90" t="s">
        <v>677</v>
      </c>
      <c r="B90" t="s">
        <v>75</v>
      </c>
      <c r="C90">
        <v>660</v>
      </c>
      <c r="D90">
        <v>550</v>
      </c>
      <c r="E90">
        <v>550</v>
      </c>
      <c r="F90">
        <v>550</v>
      </c>
      <c r="G90">
        <v>550</v>
      </c>
      <c r="H90">
        <v>550</v>
      </c>
      <c r="I90">
        <v>550</v>
      </c>
      <c r="J90">
        <v>550</v>
      </c>
      <c r="K90">
        <v>600</v>
      </c>
      <c r="L90">
        <v>645</v>
      </c>
      <c r="M90">
        <v>645</v>
      </c>
      <c r="N90">
        <v>645</v>
      </c>
      <c r="O90">
        <v>645</v>
      </c>
      <c r="P90">
        <v>645</v>
      </c>
      <c r="Q90">
        <v>645</v>
      </c>
      <c r="R90">
        <v>645</v>
      </c>
      <c r="S90">
        <v>645</v>
      </c>
      <c r="T90">
        <v>645</v>
      </c>
      <c r="U90">
        <v>645</v>
      </c>
      <c r="V90">
        <v>645</v>
      </c>
      <c r="W90">
        <v>645</v>
      </c>
      <c r="X90">
        <v>645</v>
      </c>
      <c r="Y90">
        <v>645</v>
      </c>
      <c r="Z90">
        <v>645</v>
      </c>
      <c r="AA90">
        <v>645</v>
      </c>
      <c r="AB90">
        <v>645</v>
      </c>
      <c r="AC90">
        <v>645</v>
      </c>
      <c r="AD90">
        <v>646.79999999999995</v>
      </c>
      <c r="AE90">
        <v>646.79999999999995</v>
      </c>
      <c r="AF90">
        <v>646.79999999999995</v>
      </c>
      <c r="AG90">
        <v>646.79999999999995</v>
      </c>
      <c r="AH90">
        <v>646.79999999999995</v>
      </c>
      <c r="AI90">
        <v>646.79999999999995</v>
      </c>
      <c r="AJ90">
        <v>646.79999999999995</v>
      </c>
      <c r="AK90">
        <v>646.79999999999995</v>
      </c>
      <c r="AL90">
        <v>646.79999999999995</v>
      </c>
      <c r="AM90">
        <v>646.79999999999995</v>
      </c>
      <c r="AN90">
        <v>646.79999999999995</v>
      </c>
      <c r="AO90">
        <v>646.79999999999995</v>
      </c>
      <c r="AP90">
        <v>646.79999999999995</v>
      </c>
      <c r="AQ90">
        <v>646.79999999999995</v>
      </c>
      <c r="AR90">
        <v>646.79999999999995</v>
      </c>
      <c r="AS90">
        <v>646.79999999999995</v>
      </c>
      <c r="AT90">
        <v>646.79999999999995</v>
      </c>
      <c r="AU90">
        <v>646.79999999999995</v>
      </c>
      <c r="AV90">
        <v>646.79999999999995</v>
      </c>
      <c r="AW90">
        <v>646.79999999999995</v>
      </c>
      <c r="AX90">
        <v>646.79999999999995</v>
      </c>
      <c r="AY90">
        <v>646.79999999999995</v>
      </c>
    </row>
    <row r="91" spans="1:51" x14ac:dyDescent="0.3">
      <c r="A91" t="s">
        <v>677</v>
      </c>
      <c r="B91" t="s">
        <v>337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3">
      <c r="A92" t="s">
        <v>677</v>
      </c>
      <c r="B92" t="s">
        <v>338</v>
      </c>
      <c r="C92">
        <v>59.57282</v>
      </c>
      <c r="D92">
        <v>56.59</v>
      </c>
      <c r="E92">
        <v>56.59</v>
      </c>
      <c r="F92">
        <v>56.59</v>
      </c>
      <c r="G92">
        <v>56.59</v>
      </c>
      <c r="H92">
        <v>56.59</v>
      </c>
      <c r="I92">
        <v>56.59</v>
      </c>
      <c r="J92">
        <v>56.59</v>
      </c>
      <c r="K92">
        <v>56.59</v>
      </c>
      <c r="L92">
        <v>56.59</v>
      </c>
      <c r="M92">
        <v>56.59</v>
      </c>
      <c r="N92">
        <v>56.59</v>
      </c>
      <c r="O92">
        <v>56.59</v>
      </c>
      <c r="P92">
        <v>56.59</v>
      </c>
      <c r="Q92">
        <v>56.59</v>
      </c>
      <c r="R92">
        <v>56.59</v>
      </c>
      <c r="S92">
        <v>56.59</v>
      </c>
      <c r="T92">
        <v>56.59</v>
      </c>
      <c r="U92">
        <v>56.59</v>
      </c>
      <c r="V92">
        <v>56.59</v>
      </c>
      <c r="W92">
        <v>56.59</v>
      </c>
      <c r="X92">
        <v>56.59</v>
      </c>
      <c r="Y92">
        <v>56.59</v>
      </c>
      <c r="Z92">
        <v>56.59</v>
      </c>
      <c r="AA92">
        <v>56.59</v>
      </c>
      <c r="AB92">
        <v>56.59</v>
      </c>
      <c r="AC92">
        <v>56.59</v>
      </c>
      <c r="AD92">
        <v>56.59</v>
      </c>
      <c r="AE92">
        <v>56.59</v>
      </c>
      <c r="AF92">
        <v>56.59</v>
      </c>
      <c r="AG92">
        <v>56.59</v>
      </c>
      <c r="AH92">
        <v>56.59</v>
      </c>
      <c r="AI92">
        <v>56.59</v>
      </c>
      <c r="AJ92">
        <v>56.59</v>
      </c>
      <c r="AK92">
        <v>56.59</v>
      </c>
      <c r="AL92">
        <v>56.59</v>
      </c>
      <c r="AM92">
        <v>56.59</v>
      </c>
      <c r="AN92">
        <v>56.59</v>
      </c>
      <c r="AO92">
        <v>56.59</v>
      </c>
      <c r="AP92">
        <v>56.59</v>
      </c>
      <c r="AQ92">
        <v>56.59</v>
      </c>
      <c r="AR92">
        <v>56.59</v>
      </c>
      <c r="AS92">
        <v>56.59</v>
      </c>
      <c r="AT92">
        <v>56.59</v>
      </c>
      <c r="AU92">
        <v>56.59</v>
      </c>
      <c r="AV92">
        <v>56.59</v>
      </c>
      <c r="AW92">
        <v>56.59</v>
      </c>
      <c r="AX92">
        <v>56.59</v>
      </c>
      <c r="AY92">
        <v>56.59</v>
      </c>
    </row>
    <row r="93" spans="1:51" x14ac:dyDescent="0.3">
      <c r="A93" t="s">
        <v>677</v>
      </c>
      <c r="B93" t="s">
        <v>339</v>
      </c>
      <c r="C93">
        <v>18.537800000000001</v>
      </c>
      <c r="D93">
        <v>17</v>
      </c>
      <c r="E93">
        <v>17</v>
      </c>
      <c r="F93">
        <v>17</v>
      </c>
      <c r="G93">
        <v>17</v>
      </c>
      <c r="H93">
        <v>17</v>
      </c>
      <c r="I93">
        <v>17</v>
      </c>
      <c r="J93">
        <v>17</v>
      </c>
      <c r="K93">
        <v>17</v>
      </c>
      <c r="L93">
        <v>17</v>
      </c>
      <c r="M93">
        <v>17</v>
      </c>
      <c r="N93">
        <v>17</v>
      </c>
      <c r="O93">
        <v>17</v>
      </c>
      <c r="P93">
        <v>17</v>
      </c>
      <c r="Q93">
        <v>17</v>
      </c>
      <c r="R93">
        <v>17</v>
      </c>
      <c r="S93">
        <v>17</v>
      </c>
      <c r="T93">
        <v>17</v>
      </c>
      <c r="U93">
        <v>17</v>
      </c>
      <c r="V93">
        <v>17</v>
      </c>
      <c r="W93">
        <v>17</v>
      </c>
      <c r="X93">
        <v>17</v>
      </c>
      <c r="Y93">
        <v>17</v>
      </c>
      <c r="Z93">
        <v>17</v>
      </c>
      <c r="AA93">
        <v>17</v>
      </c>
      <c r="AB93">
        <v>17</v>
      </c>
      <c r="AC93">
        <v>17</v>
      </c>
      <c r="AD93">
        <v>17</v>
      </c>
      <c r="AE93">
        <v>17</v>
      </c>
      <c r="AF93">
        <v>17</v>
      </c>
      <c r="AG93">
        <v>17</v>
      </c>
      <c r="AH93">
        <v>17</v>
      </c>
      <c r="AI93">
        <v>17</v>
      </c>
      <c r="AJ93">
        <v>17</v>
      </c>
      <c r="AK93">
        <v>17</v>
      </c>
      <c r="AL93">
        <v>17</v>
      </c>
      <c r="AM93">
        <v>17</v>
      </c>
      <c r="AN93">
        <v>17</v>
      </c>
      <c r="AO93">
        <v>17</v>
      </c>
      <c r="AP93">
        <v>17</v>
      </c>
      <c r="AQ93">
        <v>17</v>
      </c>
      <c r="AR93">
        <v>17</v>
      </c>
      <c r="AS93">
        <v>17</v>
      </c>
      <c r="AT93">
        <v>17</v>
      </c>
      <c r="AU93">
        <v>17</v>
      </c>
      <c r="AV93">
        <v>17</v>
      </c>
      <c r="AW93">
        <v>17</v>
      </c>
      <c r="AX93">
        <v>17</v>
      </c>
      <c r="AY93">
        <v>17</v>
      </c>
    </row>
    <row r="94" spans="1:51" x14ac:dyDescent="0.3">
      <c r="A94" t="s">
        <v>677</v>
      </c>
      <c r="B94" t="s">
        <v>340</v>
      </c>
      <c r="C94">
        <v>46.6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3">
      <c r="A95" t="s">
        <v>677</v>
      </c>
      <c r="B95" t="s">
        <v>341</v>
      </c>
      <c r="C95">
        <v>880</v>
      </c>
      <c r="D95">
        <v>704</v>
      </c>
      <c r="E95">
        <v>704</v>
      </c>
      <c r="F95">
        <v>702.44</v>
      </c>
      <c r="G95">
        <v>704</v>
      </c>
      <c r="H95">
        <v>522.71</v>
      </c>
      <c r="I95">
        <v>500</v>
      </c>
      <c r="J95">
        <v>500</v>
      </c>
      <c r="K95">
        <v>500</v>
      </c>
      <c r="L95">
        <v>500</v>
      </c>
      <c r="M95">
        <v>500</v>
      </c>
      <c r="N95">
        <v>699.02</v>
      </c>
      <c r="O95">
        <v>500</v>
      </c>
      <c r="P95">
        <v>500</v>
      </c>
      <c r="Q95">
        <v>500</v>
      </c>
      <c r="R95">
        <v>500</v>
      </c>
      <c r="S95">
        <v>500</v>
      </c>
      <c r="T95">
        <v>500</v>
      </c>
      <c r="U95">
        <v>704</v>
      </c>
      <c r="V95">
        <v>704</v>
      </c>
      <c r="W95">
        <v>704</v>
      </c>
      <c r="X95">
        <v>704</v>
      </c>
      <c r="Y95">
        <v>704</v>
      </c>
      <c r="Z95">
        <v>500</v>
      </c>
      <c r="AA95">
        <v>500</v>
      </c>
      <c r="AB95">
        <v>500</v>
      </c>
      <c r="AC95">
        <v>500</v>
      </c>
      <c r="AD95">
        <v>500</v>
      </c>
      <c r="AE95">
        <v>500</v>
      </c>
      <c r="AF95">
        <v>500</v>
      </c>
      <c r="AG95">
        <v>500</v>
      </c>
      <c r="AH95">
        <v>500</v>
      </c>
      <c r="AI95">
        <v>500</v>
      </c>
      <c r="AJ95">
        <v>500</v>
      </c>
      <c r="AK95">
        <v>500</v>
      </c>
      <c r="AL95">
        <v>500</v>
      </c>
      <c r="AM95">
        <v>841.79</v>
      </c>
      <c r="AN95">
        <v>704</v>
      </c>
      <c r="AO95">
        <v>639.02</v>
      </c>
      <c r="AP95">
        <v>704</v>
      </c>
      <c r="AQ95">
        <v>698.81</v>
      </c>
      <c r="AR95">
        <v>704</v>
      </c>
      <c r="AS95">
        <v>602.27</v>
      </c>
      <c r="AT95">
        <v>837.08</v>
      </c>
      <c r="AU95">
        <v>691.5</v>
      </c>
      <c r="AV95">
        <v>675.67</v>
      </c>
      <c r="AW95">
        <v>704</v>
      </c>
      <c r="AX95">
        <v>500</v>
      </c>
      <c r="AY95">
        <v>500</v>
      </c>
    </row>
    <row r="96" spans="1:51" x14ac:dyDescent="0.3">
      <c r="A96" t="s">
        <v>677</v>
      </c>
      <c r="B96" t="s">
        <v>342</v>
      </c>
      <c r="C96">
        <v>880</v>
      </c>
      <c r="D96">
        <v>704</v>
      </c>
      <c r="E96">
        <v>692.85</v>
      </c>
      <c r="F96">
        <v>704</v>
      </c>
      <c r="G96">
        <v>511.29</v>
      </c>
      <c r="H96">
        <v>500</v>
      </c>
      <c r="I96">
        <v>500</v>
      </c>
      <c r="J96">
        <v>500</v>
      </c>
      <c r="K96">
        <v>500</v>
      </c>
      <c r="L96">
        <v>500</v>
      </c>
      <c r="M96">
        <v>692.9</v>
      </c>
      <c r="N96">
        <v>704</v>
      </c>
      <c r="O96">
        <v>676.1</v>
      </c>
      <c r="P96">
        <v>500</v>
      </c>
      <c r="Q96">
        <v>500</v>
      </c>
      <c r="R96">
        <v>500</v>
      </c>
      <c r="S96">
        <v>500</v>
      </c>
      <c r="T96">
        <v>506.06</v>
      </c>
      <c r="U96">
        <v>684.86</v>
      </c>
      <c r="V96">
        <v>704</v>
      </c>
      <c r="W96">
        <v>631.97</v>
      </c>
      <c r="X96">
        <v>586.41</v>
      </c>
      <c r="Y96">
        <v>561.71</v>
      </c>
      <c r="Z96">
        <v>500</v>
      </c>
      <c r="AA96">
        <v>500</v>
      </c>
      <c r="AB96">
        <v>500</v>
      </c>
      <c r="AC96">
        <v>500</v>
      </c>
      <c r="AD96">
        <v>598.65</v>
      </c>
      <c r="AE96">
        <v>606.97</v>
      </c>
      <c r="AF96">
        <v>630.02</v>
      </c>
      <c r="AG96">
        <v>631.44000000000005</v>
      </c>
      <c r="AH96">
        <v>557.36</v>
      </c>
      <c r="AI96">
        <v>500</v>
      </c>
      <c r="AJ96">
        <v>500</v>
      </c>
      <c r="AK96">
        <v>500</v>
      </c>
      <c r="AL96">
        <v>500</v>
      </c>
      <c r="AM96">
        <v>862.4</v>
      </c>
      <c r="AN96">
        <v>859.12</v>
      </c>
      <c r="AO96">
        <v>704</v>
      </c>
      <c r="AP96">
        <v>698.95</v>
      </c>
      <c r="AQ96">
        <v>704</v>
      </c>
      <c r="AR96">
        <v>693.29</v>
      </c>
      <c r="AS96">
        <v>704</v>
      </c>
      <c r="AT96">
        <v>704</v>
      </c>
      <c r="AU96">
        <v>704</v>
      </c>
      <c r="AV96">
        <v>500</v>
      </c>
      <c r="AW96">
        <v>563.84</v>
      </c>
      <c r="AX96">
        <v>500</v>
      </c>
      <c r="AY96">
        <v>500</v>
      </c>
    </row>
    <row r="97" spans="1:51" x14ac:dyDescent="0.3">
      <c r="A97" t="s">
        <v>677</v>
      </c>
      <c r="B97" t="s">
        <v>74</v>
      </c>
      <c r="C97">
        <v>924</v>
      </c>
      <c r="D97">
        <v>762</v>
      </c>
      <c r="E97">
        <v>901.6</v>
      </c>
      <c r="F97">
        <v>901.6</v>
      </c>
      <c r="G97">
        <v>901.6</v>
      </c>
      <c r="H97">
        <v>901.6</v>
      </c>
      <c r="I97">
        <v>901.6</v>
      </c>
      <c r="J97">
        <v>901.6</v>
      </c>
      <c r="K97">
        <v>901.6</v>
      </c>
      <c r="L97">
        <v>901.6</v>
      </c>
      <c r="M97">
        <v>901.6</v>
      </c>
      <c r="N97">
        <v>901.6</v>
      </c>
      <c r="O97">
        <v>901.6</v>
      </c>
      <c r="P97">
        <v>901.6</v>
      </c>
      <c r="Q97">
        <v>747.03</v>
      </c>
      <c r="R97">
        <v>901.6</v>
      </c>
      <c r="S97">
        <v>901.6</v>
      </c>
      <c r="T97">
        <v>901.6</v>
      </c>
      <c r="U97">
        <v>901.6</v>
      </c>
      <c r="V97">
        <v>901.6</v>
      </c>
      <c r="W97">
        <v>901.6</v>
      </c>
      <c r="X97">
        <v>901.6</v>
      </c>
      <c r="Y97">
        <v>901.6</v>
      </c>
      <c r="Z97">
        <v>901.6</v>
      </c>
      <c r="AA97">
        <v>901.6</v>
      </c>
      <c r="AB97">
        <v>901.6</v>
      </c>
      <c r="AC97">
        <v>901.6</v>
      </c>
      <c r="AD97">
        <v>901.6</v>
      </c>
      <c r="AE97">
        <v>901.6</v>
      </c>
      <c r="AF97">
        <v>901.6</v>
      </c>
      <c r="AG97">
        <v>901.6</v>
      </c>
      <c r="AH97">
        <v>901.6</v>
      </c>
      <c r="AI97">
        <v>901.6</v>
      </c>
      <c r="AJ97">
        <v>901.6</v>
      </c>
      <c r="AK97">
        <v>901.6</v>
      </c>
      <c r="AL97">
        <v>901.6</v>
      </c>
      <c r="AM97">
        <v>901.6</v>
      </c>
      <c r="AN97">
        <v>901.6</v>
      </c>
      <c r="AO97">
        <v>901.6</v>
      </c>
      <c r="AP97">
        <v>901.6</v>
      </c>
      <c r="AQ97">
        <v>901.6</v>
      </c>
      <c r="AR97">
        <v>901.6</v>
      </c>
      <c r="AS97">
        <v>901.6</v>
      </c>
      <c r="AT97">
        <v>901.6</v>
      </c>
      <c r="AU97">
        <v>901.6</v>
      </c>
      <c r="AV97">
        <v>901.6</v>
      </c>
      <c r="AW97">
        <v>901.6</v>
      </c>
      <c r="AX97">
        <v>901.6</v>
      </c>
      <c r="AY97">
        <v>901.6</v>
      </c>
    </row>
    <row r="98" spans="1:51" x14ac:dyDescent="0.3">
      <c r="A98" t="s">
        <v>677</v>
      </c>
      <c r="B98" t="s">
        <v>343</v>
      </c>
      <c r="C98">
        <v>145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1.2</v>
      </c>
      <c r="P98">
        <v>12.91</v>
      </c>
      <c r="Q98">
        <v>30.11</v>
      </c>
      <c r="R98">
        <v>48.88</v>
      </c>
      <c r="S98">
        <v>66.86</v>
      </c>
      <c r="T98">
        <v>81.91</v>
      </c>
      <c r="U98">
        <v>95.72</v>
      </c>
      <c r="V98">
        <v>106.82</v>
      </c>
      <c r="W98">
        <v>115.85</v>
      </c>
      <c r="X98">
        <v>122.64</v>
      </c>
      <c r="Y98">
        <v>127.37</v>
      </c>
      <c r="Z98">
        <v>129.41</v>
      </c>
      <c r="AA98">
        <v>129.38</v>
      </c>
      <c r="AB98">
        <v>127.06</v>
      </c>
      <c r="AC98">
        <v>122.45</v>
      </c>
      <c r="AD98">
        <v>115.95</v>
      </c>
      <c r="AE98">
        <v>106.99</v>
      </c>
      <c r="AF98">
        <v>53.27</v>
      </c>
      <c r="AG98">
        <v>49.1</v>
      </c>
      <c r="AH98">
        <v>47.82</v>
      </c>
      <c r="AI98">
        <v>51.58</v>
      </c>
      <c r="AJ98">
        <v>33.46</v>
      </c>
      <c r="AK98">
        <v>15.91</v>
      </c>
      <c r="AL98">
        <v>2.38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3">
      <c r="A99" t="s">
        <v>677</v>
      </c>
      <c r="B99" t="s">
        <v>343</v>
      </c>
      <c r="C99">
        <v>1.0000000000000001E-5</v>
      </c>
    </row>
    <row r="100" spans="1:51" x14ac:dyDescent="0.3">
      <c r="A100" t="s">
        <v>677</v>
      </c>
      <c r="B100" t="s">
        <v>344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3">
      <c r="A101" t="s">
        <v>677</v>
      </c>
      <c r="B101" t="s">
        <v>347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3">
      <c r="A102" t="s">
        <v>677</v>
      </c>
      <c r="B102" t="s">
        <v>348</v>
      </c>
      <c r="C102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3">
      <c r="A103" t="s">
        <v>677</v>
      </c>
      <c r="B103" t="s">
        <v>349</v>
      </c>
      <c r="D103">
        <v>101.61</v>
      </c>
      <c r="E103">
        <v>101.61</v>
      </c>
      <c r="F103">
        <v>101.61</v>
      </c>
      <c r="G103">
        <v>101.61</v>
      </c>
      <c r="H103">
        <v>101.61</v>
      </c>
      <c r="I103">
        <v>101.61</v>
      </c>
      <c r="J103">
        <v>101.61</v>
      </c>
      <c r="K103">
        <v>101.61</v>
      </c>
      <c r="L103">
        <v>101.61</v>
      </c>
      <c r="M103">
        <v>101.61</v>
      </c>
      <c r="N103">
        <v>101.61</v>
      </c>
      <c r="O103">
        <v>101.61</v>
      </c>
      <c r="P103">
        <v>101.61</v>
      </c>
      <c r="Q103">
        <v>101.61</v>
      </c>
      <c r="R103">
        <v>101.61</v>
      </c>
      <c r="S103">
        <v>101.61</v>
      </c>
      <c r="T103">
        <v>101.61</v>
      </c>
      <c r="U103">
        <v>116.13</v>
      </c>
      <c r="V103">
        <v>116.13</v>
      </c>
      <c r="W103">
        <v>217.74</v>
      </c>
      <c r="X103">
        <v>232.26</v>
      </c>
      <c r="Y103">
        <v>232.26</v>
      </c>
      <c r="Z103">
        <v>232.26</v>
      </c>
      <c r="AA103">
        <v>203.23</v>
      </c>
      <c r="AB103">
        <v>203.23</v>
      </c>
      <c r="AC103">
        <v>265.64999999999998</v>
      </c>
      <c r="AD103">
        <v>265.64999999999998</v>
      </c>
      <c r="AE103">
        <v>265.64999999999998</v>
      </c>
      <c r="AF103">
        <v>265.64999999999998</v>
      </c>
      <c r="AG103">
        <v>265.64999999999998</v>
      </c>
      <c r="AH103">
        <v>265.64999999999998</v>
      </c>
      <c r="AI103">
        <v>203.23</v>
      </c>
      <c r="AJ103">
        <v>203.23</v>
      </c>
      <c r="AK103">
        <v>203.23</v>
      </c>
      <c r="AL103">
        <v>203.23</v>
      </c>
      <c r="AM103">
        <v>211.94</v>
      </c>
      <c r="AN103">
        <v>203.23</v>
      </c>
      <c r="AO103">
        <v>203.23</v>
      </c>
      <c r="AP103">
        <v>203.23</v>
      </c>
      <c r="AQ103">
        <v>203.23</v>
      </c>
      <c r="AR103">
        <v>203.23</v>
      </c>
      <c r="AS103">
        <v>203.23</v>
      </c>
      <c r="AT103">
        <v>203.23</v>
      </c>
      <c r="AU103">
        <v>203.23</v>
      </c>
      <c r="AV103">
        <v>101.61</v>
      </c>
      <c r="AW103">
        <v>101.61</v>
      </c>
      <c r="AX103">
        <v>101.61</v>
      </c>
      <c r="AY103">
        <v>101.61</v>
      </c>
    </row>
    <row r="104" spans="1:51" x14ac:dyDescent="0.3">
      <c r="A104" t="s">
        <v>677</v>
      </c>
      <c r="B104" t="s">
        <v>350</v>
      </c>
      <c r="D104">
        <v>203.23</v>
      </c>
      <c r="E104">
        <v>203.23</v>
      </c>
      <c r="F104">
        <v>203.23</v>
      </c>
      <c r="G104">
        <v>101.61</v>
      </c>
      <c r="H104">
        <v>101.61</v>
      </c>
      <c r="I104">
        <v>101.61</v>
      </c>
      <c r="J104">
        <v>101.61</v>
      </c>
      <c r="K104">
        <v>101.61</v>
      </c>
      <c r="L104">
        <v>101.61</v>
      </c>
      <c r="M104">
        <v>101.61</v>
      </c>
      <c r="N104">
        <v>101.61</v>
      </c>
      <c r="O104">
        <v>101.61</v>
      </c>
      <c r="P104">
        <v>101.61</v>
      </c>
      <c r="Q104">
        <v>203.23</v>
      </c>
      <c r="R104">
        <v>203.23</v>
      </c>
      <c r="S104">
        <v>304.83999999999997</v>
      </c>
      <c r="T104">
        <v>304.83999999999997</v>
      </c>
      <c r="U104">
        <v>348.39</v>
      </c>
      <c r="V104">
        <v>348.39</v>
      </c>
      <c r="W104">
        <v>348.39</v>
      </c>
      <c r="X104">
        <v>348.39</v>
      </c>
      <c r="Y104">
        <v>348.39</v>
      </c>
      <c r="Z104">
        <v>348.39</v>
      </c>
      <c r="AA104">
        <v>304.83999999999997</v>
      </c>
      <c r="AB104">
        <v>304.83999999999997</v>
      </c>
      <c r="AC104">
        <v>404</v>
      </c>
      <c r="AD104">
        <v>404</v>
      </c>
      <c r="AE104">
        <v>404</v>
      </c>
      <c r="AF104">
        <v>404</v>
      </c>
      <c r="AG104">
        <v>404</v>
      </c>
      <c r="AH104">
        <v>404</v>
      </c>
      <c r="AI104">
        <v>304.83999999999997</v>
      </c>
      <c r="AJ104">
        <v>304.83999999999997</v>
      </c>
      <c r="AK104">
        <v>304.83999999999997</v>
      </c>
      <c r="AL104">
        <v>304.83999999999997</v>
      </c>
      <c r="AM104">
        <v>315</v>
      </c>
      <c r="AN104">
        <v>304.83999999999997</v>
      </c>
      <c r="AO104">
        <v>304.83999999999997</v>
      </c>
      <c r="AP104">
        <v>304.83999999999997</v>
      </c>
      <c r="AQ104">
        <v>304.83999999999997</v>
      </c>
      <c r="AR104">
        <v>304.83999999999997</v>
      </c>
      <c r="AS104">
        <v>304.83999999999997</v>
      </c>
      <c r="AT104">
        <v>203.23</v>
      </c>
      <c r="AU104">
        <v>101.61</v>
      </c>
      <c r="AV104">
        <v>101.61</v>
      </c>
      <c r="AW104">
        <v>101.61</v>
      </c>
      <c r="AX104">
        <v>101.61</v>
      </c>
      <c r="AY104">
        <v>101.61</v>
      </c>
    </row>
    <row r="105" spans="1:51" x14ac:dyDescent="0.3">
      <c r="A105" t="s">
        <v>677</v>
      </c>
      <c r="B105" t="s">
        <v>351</v>
      </c>
      <c r="C105">
        <v>773.39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3">
      <c r="A106" t="s">
        <v>677</v>
      </c>
      <c r="B106" t="s">
        <v>352</v>
      </c>
      <c r="C106">
        <v>615</v>
      </c>
      <c r="D106">
        <v>450</v>
      </c>
      <c r="E106">
        <v>450</v>
      </c>
      <c r="F106">
        <v>450</v>
      </c>
      <c r="G106">
        <v>450</v>
      </c>
      <c r="H106">
        <v>450</v>
      </c>
      <c r="I106">
        <v>450</v>
      </c>
      <c r="J106">
        <v>450</v>
      </c>
      <c r="K106">
        <v>450</v>
      </c>
      <c r="L106">
        <v>450</v>
      </c>
      <c r="M106">
        <v>450</v>
      </c>
      <c r="N106">
        <v>450</v>
      </c>
      <c r="O106">
        <v>450</v>
      </c>
      <c r="P106">
        <v>450</v>
      </c>
      <c r="Q106">
        <v>450</v>
      </c>
      <c r="R106">
        <v>450</v>
      </c>
      <c r="S106">
        <v>450</v>
      </c>
      <c r="T106">
        <v>450</v>
      </c>
      <c r="U106">
        <v>450</v>
      </c>
      <c r="V106">
        <v>450</v>
      </c>
      <c r="W106">
        <v>450</v>
      </c>
      <c r="X106">
        <v>450</v>
      </c>
      <c r="Y106">
        <v>450</v>
      </c>
      <c r="Z106">
        <v>450</v>
      </c>
      <c r="AA106">
        <v>450</v>
      </c>
      <c r="AB106">
        <v>450</v>
      </c>
      <c r="AC106">
        <v>450</v>
      </c>
      <c r="AD106">
        <v>450</v>
      </c>
      <c r="AE106">
        <v>450</v>
      </c>
      <c r="AF106">
        <v>450</v>
      </c>
      <c r="AG106">
        <v>450</v>
      </c>
      <c r="AH106">
        <v>450</v>
      </c>
      <c r="AI106">
        <v>450</v>
      </c>
      <c r="AJ106">
        <v>450</v>
      </c>
      <c r="AK106">
        <v>450</v>
      </c>
      <c r="AL106">
        <v>450</v>
      </c>
      <c r="AM106">
        <v>450</v>
      </c>
      <c r="AN106">
        <v>450</v>
      </c>
      <c r="AO106">
        <v>450</v>
      </c>
      <c r="AP106">
        <v>450</v>
      </c>
      <c r="AQ106">
        <v>450</v>
      </c>
      <c r="AR106">
        <v>450</v>
      </c>
      <c r="AS106">
        <v>450</v>
      </c>
      <c r="AT106">
        <v>450</v>
      </c>
      <c r="AU106">
        <v>450</v>
      </c>
      <c r="AV106">
        <v>450</v>
      </c>
      <c r="AW106">
        <v>450</v>
      </c>
      <c r="AX106">
        <v>450</v>
      </c>
      <c r="AY106">
        <v>450</v>
      </c>
    </row>
    <row r="107" spans="1:51" x14ac:dyDescent="0.3">
      <c r="A107" t="s">
        <v>677</v>
      </c>
      <c r="B107" t="s">
        <v>86</v>
      </c>
      <c r="C107">
        <v>280</v>
      </c>
      <c r="D107">
        <v>250</v>
      </c>
      <c r="E107">
        <v>250</v>
      </c>
      <c r="F107">
        <v>250</v>
      </c>
      <c r="G107">
        <v>250</v>
      </c>
      <c r="H107">
        <v>250</v>
      </c>
      <c r="I107">
        <v>250</v>
      </c>
      <c r="J107">
        <v>250</v>
      </c>
      <c r="K107">
        <v>250</v>
      </c>
      <c r="L107">
        <v>250</v>
      </c>
      <c r="M107">
        <v>250</v>
      </c>
      <c r="N107">
        <v>250</v>
      </c>
      <c r="O107">
        <v>250</v>
      </c>
      <c r="P107">
        <v>250</v>
      </c>
      <c r="Q107">
        <v>250</v>
      </c>
      <c r="R107">
        <v>250</v>
      </c>
      <c r="S107">
        <v>250</v>
      </c>
      <c r="T107">
        <v>250</v>
      </c>
      <c r="U107">
        <v>250</v>
      </c>
      <c r="V107">
        <v>250</v>
      </c>
      <c r="W107">
        <v>250</v>
      </c>
      <c r="X107">
        <v>250</v>
      </c>
      <c r="Y107">
        <v>250</v>
      </c>
      <c r="Z107">
        <v>250</v>
      </c>
      <c r="AA107">
        <v>250</v>
      </c>
      <c r="AB107">
        <v>250</v>
      </c>
      <c r="AC107">
        <v>250</v>
      </c>
      <c r="AD107">
        <v>250</v>
      </c>
      <c r="AE107">
        <v>250</v>
      </c>
      <c r="AF107">
        <v>250</v>
      </c>
      <c r="AG107">
        <v>250</v>
      </c>
      <c r="AH107">
        <v>250</v>
      </c>
      <c r="AI107">
        <v>250</v>
      </c>
      <c r="AJ107">
        <v>250</v>
      </c>
      <c r="AK107">
        <v>270</v>
      </c>
      <c r="AL107">
        <v>270</v>
      </c>
      <c r="AM107">
        <v>270</v>
      </c>
      <c r="AN107">
        <v>270</v>
      </c>
      <c r="AO107">
        <v>270</v>
      </c>
      <c r="AP107">
        <v>270</v>
      </c>
      <c r="AQ107">
        <v>200</v>
      </c>
      <c r="AR107">
        <v>200</v>
      </c>
      <c r="AS107">
        <v>200</v>
      </c>
      <c r="AT107">
        <v>200</v>
      </c>
      <c r="AU107">
        <v>200</v>
      </c>
      <c r="AV107">
        <v>200</v>
      </c>
      <c r="AW107">
        <v>200</v>
      </c>
      <c r="AX107">
        <v>200</v>
      </c>
      <c r="AY107">
        <v>200</v>
      </c>
    </row>
    <row r="108" spans="1:51" x14ac:dyDescent="0.3">
      <c r="A108" t="s">
        <v>677</v>
      </c>
      <c r="B108" t="s">
        <v>85</v>
      </c>
      <c r="C108">
        <v>280</v>
      </c>
      <c r="D108">
        <v>250</v>
      </c>
      <c r="E108">
        <v>250</v>
      </c>
      <c r="F108">
        <v>250</v>
      </c>
      <c r="G108">
        <v>250</v>
      </c>
      <c r="H108">
        <v>250</v>
      </c>
      <c r="I108">
        <v>250</v>
      </c>
      <c r="J108">
        <v>250</v>
      </c>
      <c r="K108">
        <v>250</v>
      </c>
      <c r="L108">
        <v>250</v>
      </c>
      <c r="M108">
        <v>250</v>
      </c>
      <c r="N108">
        <v>250</v>
      </c>
      <c r="O108">
        <v>250</v>
      </c>
      <c r="P108">
        <v>250</v>
      </c>
      <c r="Q108">
        <v>250</v>
      </c>
      <c r="R108">
        <v>250</v>
      </c>
      <c r="S108">
        <v>250</v>
      </c>
      <c r="T108">
        <v>250</v>
      </c>
      <c r="U108">
        <v>250</v>
      </c>
      <c r="V108">
        <v>250</v>
      </c>
      <c r="W108">
        <v>250</v>
      </c>
      <c r="X108">
        <v>250</v>
      </c>
      <c r="Y108">
        <v>250</v>
      </c>
      <c r="Z108">
        <v>250</v>
      </c>
      <c r="AA108">
        <v>250</v>
      </c>
      <c r="AB108">
        <v>250</v>
      </c>
      <c r="AC108">
        <v>250</v>
      </c>
      <c r="AD108">
        <v>250</v>
      </c>
      <c r="AE108">
        <v>250</v>
      </c>
      <c r="AF108">
        <v>250</v>
      </c>
      <c r="AG108">
        <v>250</v>
      </c>
      <c r="AH108">
        <v>250</v>
      </c>
      <c r="AI108">
        <v>250</v>
      </c>
      <c r="AJ108">
        <v>250</v>
      </c>
      <c r="AK108">
        <v>270</v>
      </c>
      <c r="AL108">
        <v>270</v>
      </c>
      <c r="AM108">
        <v>270</v>
      </c>
      <c r="AN108">
        <v>270</v>
      </c>
      <c r="AO108">
        <v>270</v>
      </c>
      <c r="AP108">
        <v>270</v>
      </c>
      <c r="AQ108">
        <v>200</v>
      </c>
      <c r="AR108">
        <v>200</v>
      </c>
      <c r="AS108">
        <v>200</v>
      </c>
      <c r="AT108">
        <v>200</v>
      </c>
      <c r="AU108">
        <v>200</v>
      </c>
      <c r="AV108">
        <v>200</v>
      </c>
      <c r="AW108">
        <v>200</v>
      </c>
      <c r="AX108">
        <v>200</v>
      </c>
      <c r="AY108">
        <v>200</v>
      </c>
    </row>
    <row r="109" spans="1:51" x14ac:dyDescent="0.3">
      <c r="A109" t="s">
        <v>677</v>
      </c>
      <c r="B109" t="s">
        <v>353</v>
      </c>
      <c r="C109">
        <v>54.560989999999997</v>
      </c>
      <c r="D109">
        <v>32</v>
      </c>
      <c r="E109">
        <v>32</v>
      </c>
      <c r="F109">
        <v>32</v>
      </c>
      <c r="G109">
        <v>32</v>
      </c>
      <c r="H109">
        <v>32</v>
      </c>
      <c r="I109">
        <v>32</v>
      </c>
      <c r="J109">
        <v>32</v>
      </c>
      <c r="K109">
        <v>32</v>
      </c>
      <c r="L109">
        <v>32</v>
      </c>
      <c r="M109">
        <v>32</v>
      </c>
      <c r="N109">
        <v>32</v>
      </c>
      <c r="O109">
        <v>32</v>
      </c>
      <c r="P109">
        <v>32</v>
      </c>
      <c r="Q109">
        <v>32</v>
      </c>
      <c r="R109">
        <v>32</v>
      </c>
      <c r="S109">
        <v>32</v>
      </c>
      <c r="T109">
        <v>32</v>
      </c>
      <c r="U109">
        <v>32</v>
      </c>
      <c r="V109">
        <v>32</v>
      </c>
      <c r="W109">
        <v>32</v>
      </c>
      <c r="X109">
        <v>32</v>
      </c>
      <c r="Y109">
        <v>32</v>
      </c>
      <c r="Z109">
        <v>32</v>
      </c>
      <c r="AA109">
        <v>32</v>
      </c>
      <c r="AB109">
        <v>32</v>
      </c>
      <c r="AC109">
        <v>32</v>
      </c>
      <c r="AD109">
        <v>32</v>
      </c>
      <c r="AE109">
        <v>32</v>
      </c>
      <c r="AF109">
        <v>32</v>
      </c>
      <c r="AG109">
        <v>32</v>
      </c>
      <c r="AH109">
        <v>32</v>
      </c>
      <c r="AI109">
        <v>32</v>
      </c>
      <c r="AJ109">
        <v>32</v>
      </c>
      <c r="AK109">
        <v>32</v>
      </c>
      <c r="AL109">
        <v>32</v>
      </c>
      <c r="AM109">
        <v>32</v>
      </c>
      <c r="AN109">
        <v>32</v>
      </c>
      <c r="AO109">
        <v>32</v>
      </c>
      <c r="AP109">
        <v>32</v>
      </c>
      <c r="AQ109">
        <v>32</v>
      </c>
      <c r="AR109">
        <v>32</v>
      </c>
      <c r="AS109">
        <v>32</v>
      </c>
      <c r="AT109">
        <v>32</v>
      </c>
      <c r="AU109">
        <v>32</v>
      </c>
      <c r="AV109">
        <v>32</v>
      </c>
      <c r="AW109">
        <v>32</v>
      </c>
      <c r="AX109">
        <v>32</v>
      </c>
      <c r="AY109">
        <v>32</v>
      </c>
    </row>
    <row r="110" spans="1:51" x14ac:dyDescent="0.3">
      <c r="A110" t="s">
        <v>677</v>
      </c>
      <c r="B110" t="s">
        <v>87</v>
      </c>
      <c r="C110">
        <v>281</v>
      </c>
      <c r="D110">
        <v>231</v>
      </c>
      <c r="E110">
        <v>274.39999999999998</v>
      </c>
      <c r="F110">
        <v>274.39999999999998</v>
      </c>
      <c r="G110">
        <v>274.39999999999998</v>
      </c>
      <c r="H110">
        <v>274.39999999999998</v>
      </c>
      <c r="I110">
        <v>274.39999999999998</v>
      </c>
      <c r="J110">
        <v>250.85</v>
      </c>
      <c r="K110">
        <v>233</v>
      </c>
      <c r="L110">
        <v>233</v>
      </c>
      <c r="M110">
        <v>274.39999999999998</v>
      </c>
      <c r="N110">
        <v>274.39999999999998</v>
      </c>
      <c r="O110">
        <v>274.39999999999998</v>
      </c>
      <c r="P110">
        <v>184.62</v>
      </c>
      <c r="Q110">
        <v>149.62</v>
      </c>
      <c r="R110">
        <v>239.62</v>
      </c>
      <c r="S110">
        <v>274.39999999999998</v>
      </c>
      <c r="T110">
        <v>274.39999999999998</v>
      </c>
      <c r="U110">
        <v>274.39999999999998</v>
      </c>
      <c r="V110">
        <v>274.39999999999998</v>
      </c>
      <c r="W110">
        <v>274.39999999999998</v>
      </c>
      <c r="X110">
        <v>274.39999999999998</v>
      </c>
      <c r="Y110">
        <v>274.39999999999998</v>
      </c>
      <c r="Z110">
        <v>274.39999999999998</v>
      </c>
      <c r="AA110">
        <v>233</v>
      </c>
      <c r="AB110">
        <v>233</v>
      </c>
      <c r="AC110">
        <v>274.39999999999998</v>
      </c>
      <c r="AD110">
        <v>274.39999999999998</v>
      </c>
      <c r="AE110">
        <v>274.39999999999998</v>
      </c>
      <c r="AF110">
        <v>274.39999999999998</v>
      </c>
      <c r="AG110">
        <v>274.39999999999998</v>
      </c>
      <c r="AH110">
        <v>274.39999999999998</v>
      </c>
      <c r="AI110">
        <v>274.39999999999998</v>
      </c>
      <c r="AJ110">
        <v>274.39999999999998</v>
      </c>
      <c r="AK110">
        <v>274.39999999999998</v>
      </c>
      <c r="AL110">
        <v>274.39999999999998</v>
      </c>
      <c r="AM110">
        <v>274.39999999999998</v>
      </c>
      <c r="AN110">
        <v>274.39999999999998</v>
      </c>
      <c r="AO110">
        <v>274.39999999999998</v>
      </c>
      <c r="AP110">
        <v>274.39999999999998</v>
      </c>
      <c r="AQ110">
        <v>274.39999999999998</v>
      </c>
      <c r="AR110">
        <v>274.39999999999998</v>
      </c>
      <c r="AS110">
        <v>274.39999999999998</v>
      </c>
      <c r="AT110">
        <v>274.39999999999998</v>
      </c>
      <c r="AU110">
        <v>274.39999999999998</v>
      </c>
      <c r="AV110">
        <v>274.39999999999998</v>
      </c>
      <c r="AW110">
        <v>274.39999999999998</v>
      </c>
      <c r="AX110">
        <v>274.39999999999998</v>
      </c>
      <c r="AY110">
        <v>233</v>
      </c>
    </row>
    <row r="111" spans="1:51" x14ac:dyDescent="0.3">
      <c r="A111" t="s">
        <v>677</v>
      </c>
      <c r="B111" t="s">
        <v>88</v>
      </c>
      <c r="C111">
        <v>281</v>
      </c>
      <c r="D111">
        <v>231</v>
      </c>
      <c r="E111">
        <v>274.39999999999998</v>
      </c>
      <c r="F111">
        <v>274.39999999999998</v>
      </c>
      <c r="G111">
        <v>274.39999999999998</v>
      </c>
      <c r="H111">
        <v>274.39999999999998</v>
      </c>
      <c r="I111">
        <v>274.39999999999998</v>
      </c>
      <c r="J111">
        <v>244.56</v>
      </c>
      <c r="K111">
        <v>154.56</v>
      </c>
      <c r="L111">
        <v>233</v>
      </c>
      <c r="M111">
        <v>274.39999999999998</v>
      </c>
      <c r="N111">
        <v>274.39999999999998</v>
      </c>
      <c r="O111">
        <v>274.39999999999998</v>
      </c>
      <c r="P111">
        <v>233</v>
      </c>
      <c r="Q111">
        <v>143</v>
      </c>
      <c r="R111">
        <v>233</v>
      </c>
      <c r="S111">
        <v>274.39999999999998</v>
      </c>
      <c r="T111">
        <v>274.39999999999998</v>
      </c>
      <c r="U111">
        <v>274.39999999999998</v>
      </c>
      <c r="V111">
        <v>274.39999999999998</v>
      </c>
      <c r="W111">
        <v>274.39999999999998</v>
      </c>
      <c r="X111">
        <v>274.39999999999998</v>
      </c>
      <c r="Y111">
        <v>274.39999999999998</v>
      </c>
      <c r="Z111">
        <v>274.39999999999998</v>
      </c>
      <c r="AA111">
        <v>240.21</v>
      </c>
      <c r="AB111">
        <v>233</v>
      </c>
      <c r="AC111">
        <v>274.39999999999998</v>
      </c>
      <c r="AD111">
        <v>274.39999999999998</v>
      </c>
      <c r="AE111">
        <v>274.39999999999998</v>
      </c>
      <c r="AF111">
        <v>274.39999999999998</v>
      </c>
      <c r="AG111">
        <v>274.39999999999998</v>
      </c>
      <c r="AH111">
        <v>274.39999999999998</v>
      </c>
      <c r="AI111">
        <v>274.39999999999998</v>
      </c>
      <c r="AJ111">
        <v>274.39999999999998</v>
      </c>
      <c r="AK111">
        <v>274.39999999999998</v>
      </c>
      <c r="AL111">
        <v>274.39999999999998</v>
      </c>
      <c r="AM111">
        <v>274.39999999999998</v>
      </c>
      <c r="AN111">
        <v>274.39999999999998</v>
      </c>
      <c r="AO111">
        <v>274.39999999999998</v>
      </c>
      <c r="AP111">
        <v>274.39999999999998</v>
      </c>
      <c r="AQ111">
        <v>274.39999999999998</v>
      </c>
      <c r="AR111">
        <v>274.39999999999998</v>
      </c>
      <c r="AS111">
        <v>274.39999999999998</v>
      </c>
      <c r="AT111">
        <v>274.39999999999998</v>
      </c>
      <c r="AU111">
        <v>274.39999999999998</v>
      </c>
      <c r="AV111">
        <v>274.39999999999998</v>
      </c>
      <c r="AW111">
        <v>274.39999999999998</v>
      </c>
      <c r="AX111">
        <v>274.39999999999998</v>
      </c>
      <c r="AY111">
        <v>233</v>
      </c>
    </row>
    <row r="112" spans="1:51" x14ac:dyDescent="0.3">
      <c r="A112" t="s">
        <v>677</v>
      </c>
      <c r="B112" t="s">
        <v>65</v>
      </c>
      <c r="C112">
        <v>614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3">
      <c r="A113" t="s">
        <v>677</v>
      </c>
      <c r="B113" t="s">
        <v>25</v>
      </c>
      <c r="C113">
        <v>945</v>
      </c>
      <c r="D113">
        <v>500</v>
      </c>
      <c r="E113">
        <v>500</v>
      </c>
      <c r="F113">
        <v>500</v>
      </c>
      <c r="G113">
        <v>500</v>
      </c>
      <c r="H113">
        <v>500</v>
      </c>
      <c r="I113">
        <v>500</v>
      </c>
      <c r="J113">
        <v>500</v>
      </c>
      <c r="K113">
        <v>500</v>
      </c>
      <c r="L113">
        <v>500</v>
      </c>
      <c r="M113">
        <v>500</v>
      </c>
      <c r="N113">
        <v>500</v>
      </c>
      <c r="O113">
        <v>500</v>
      </c>
      <c r="P113">
        <v>500</v>
      </c>
      <c r="Q113">
        <v>500</v>
      </c>
      <c r="R113">
        <v>500</v>
      </c>
      <c r="S113">
        <v>500</v>
      </c>
      <c r="T113">
        <v>500</v>
      </c>
      <c r="U113">
        <v>500</v>
      </c>
      <c r="V113">
        <v>500</v>
      </c>
      <c r="W113">
        <v>500</v>
      </c>
      <c r="X113">
        <v>500</v>
      </c>
      <c r="Y113">
        <v>500</v>
      </c>
      <c r="Z113">
        <v>500</v>
      </c>
      <c r="AA113">
        <v>500</v>
      </c>
      <c r="AB113">
        <v>500</v>
      </c>
      <c r="AC113">
        <v>500</v>
      </c>
      <c r="AD113">
        <v>500</v>
      </c>
      <c r="AE113">
        <v>500</v>
      </c>
      <c r="AF113">
        <v>500</v>
      </c>
      <c r="AG113">
        <v>500</v>
      </c>
      <c r="AH113">
        <v>500</v>
      </c>
      <c r="AI113">
        <v>500</v>
      </c>
      <c r="AJ113">
        <v>500</v>
      </c>
      <c r="AK113">
        <v>500</v>
      </c>
      <c r="AL113">
        <v>500</v>
      </c>
      <c r="AM113">
        <v>500</v>
      </c>
      <c r="AN113">
        <v>500</v>
      </c>
      <c r="AO113">
        <v>500</v>
      </c>
      <c r="AP113">
        <v>500</v>
      </c>
      <c r="AQ113">
        <v>500</v>
      </c>
      <c r="AR113">
        <v>500</v>
      </c>
      <c r="AS113">
        <v>500</v>
      </c>
      <c r="AT113">
        <v>500</v>
      </c>
      <c r="AU113">
        <v>500</v>
      </c>
      <c r="AV113">
        <v>500</v>
      </c>
      <c r="AW113">
        <v>500</v>
      </c>
      <c r="AX113">
        <v>500</v>
      </c>
      <c r="AY113">
        <v>500</v>
      </c>
    </row>
    <row r="114" spans="1:51" x14ac:dyDescent="0.3">
      <c r="A114" t="s">
        <v>677</v>
      </c>
      <c r="B114" t="s">
        <v>38</v>
      </c>
      <c r="C114">
        <v>950</v>
      </c>
      <c r="D114">
        <v>900</v>
      </c>
      <c r="E114">
        <v>900</v>
      </c>
      <c r="F114">
        <v>900</v>
      </c>
      <c r="G114">
        <v>900</v>
      </c>
      <c r="H114">
        <v>900</v>
      </c>
      <c r="I114">
        <v>900</v>
      </c>
      <c r="J114">
        <v>900</v>
      </c>
      <c r="K114">
        <v>900</v>
      </c>
      <c r="L114">
        <v>900</v>
      </c>
      <c r="M114">
        <v>900</v>
      </c>
      <c r="N114">
        <v>900</v>
      </c>
      <c r="O114">
        <v>900</v>
      </c>
      <c r="P114">
        <v>900</v>
      </c>
      <c r="Q114">
        <v>900</v>
      </c>
      <c r="R114">
        <v>900</v>
      </c>
      <c r="S114">
        <v>900</v>
      </c>
      <c r="T114">
        <v>900</v>
      </c>
      <c r="U114">
        <v>900</v>
      </c>
      <c r="V114">
        <v>900</v>
      </c>
      <c r="W114">
        <v>900</v>
      </c>
      <c r="X114">
        <v>900</v>
      </c>
      <c r="Y114">
        <v>900</v>
      </c>
      <c r="Z114">
        <v>900</v>
      </c>
      <c r="AA114">
        <v>900</v>
      </c>
      <c r="AB114">
        <v>900</v>
      </c>
      <c r="AC114">
        <v>900</v>
      </c>
      <c r="AD114">
        <v>900</v>
      </c>
      <c r="AE114">
        <v>900</v>
      </c>
      <c r="AF114">
        <v>900</v>
      </c>
      <c r="AG114">
        <v>900</v>
      </c>
      <c r="AH114">
        <v>900</v>
      </c>
      <c r="AI114">
        <v>900</v>
      </c>
      <c r="AJ114">
        <v>900</v>
      </c>
      <c r="AK114">
        <v>900</v>
      </c>
      <c r="AL114">
        <v>900</v>
      </c>
      <c r="AM114">
        <v>900</v>
      </c>
      <c r="AN114">
        <v>900</v>
      </c>
      <c r="AO114">
        <v>900</v>
      </c>
      <c r="AP114">
        <v>900</v>
      </c>
      <c r="AQ114">
        <v>900</v>
      </c>
      <c r="AR114">
        <v>900</v>
      </c>
      <c r="AS114">
        <v>900</v>
      </c>
      <c r="AT114">
        <v>900</v>
      </c>
      <c r="AU114">
        <v>900</v>
      </c>
      <c r="AV114">
        <v>900</v>
      </c>
      <c r="AW114">
        <v>900</v>
      </c>
      <c r="AX114">
        <v>900</v>
      </c>
      <c r="AY114">
        <v>900</v>
      </c>
    </row>
    <row r="115" spans="1:51" x14ac:dyDescent="0.3">
      <c r="A115" t="s">
        <v>677</v>
      </c>
      <c r="B115" t="s">
        <v>39</v>
      </c>
      <c r="C115">
        <v>950</v>
      </c>
      <c r="D115">
        <v>900</v>
      </c>
      <c r="E115">
        <v>900</v>
      </c>
      <c r="F115">
        <v>900</v>
      </c>
      <c r="G115">
        <v>900</v>
      </c>
      <c r="H115">
        <v>900</v>
      </c>
      <c r="I115">
        <v>900</v>
      </c>
      <c r="J115">
        <v>900</v>
      </c>
      <c r="K115">
        <v>900</v>
      </c>
      <c r="L115">
        <v>931</v>
      </c>
      <c r="M115">
        <v>931</v>
      </c>
      <c r="N115">
        <v>931</v>
      </c>
      <c r="O115">
        <v>931</v>
      </c>
      <c r="P115">
        <v>931</v>
      </c>
      <c r="Q115">
        <v>931</v>
      </c>
      <c r="R115">
        <v>931</v>
      </c>
      <c r="S115">
        <v>931</v>
      </c>
      <c r="T115">
        <v>931</v>
      </c>
      <c r="U115">
        <v>931</v>
      </c>
      <c r="V115">
        <v>931</v>
      </c>
      <c r="W115">
        <v>931</v>
      </c>
      <c r="X115">
        <v>931</v>
      </c>
      <c r="Y115">
        <v>931</v>
      </c>
      <c r="Z115">
        <v>931</v>
      </c>
      <c r="AA115">
        <v>931</v>
      </c>
      <c r="AB115">
        <v>931</v>
      </c>
      <c r="AC115">
        <v>931</v>
      </c>
      <c r="AD115">
        <v>931</v>
      </c>
      <c r="AE115">
        <v>931</v>
      </c>
      <c r="AF115">
        <v>931</v>
      </c>
      <c r="AG115">
        <v>931</v>
      </c>
      <c r="AH115">
        <v>931</v>
      </c>
      <c r="AI115">
        <v>931</v>
      </c>
      <c r="AJ115">
        <v>931</v>
      </c>
      <c r="AK115">
        <v>931</v>
      </c>
      <c r="AL115">
        <v>931</v>
      </c>
      <c r="AM115">
        <v>931</v>
      </c>
      <c r="AN115">
        <v>931</v>
      </c>
      <c r="AO115">
        <v>931</v>
      </c>
      <c r="AP115">
        <v>931</v>
      </c>
      <c r="AQ115">
        <v>931</v>
      </c>
      <c r="AR115">
        <v>931</v>
      </c>
      <c r="AS115">
        <v>931</v>
      </c>
      <c r="AT115">
        <v>931</v>
      </c>
      <c r="AU115">
        <v>931</v>
      </c>
      <c r="AV115">
        <v>931</v>
      </c>
      <c r="AW115">
        <v>931</v>
      </c>
      <c r="AX115">
        <v>931</v>
      </c>
      <c r="AY115">
        <v>931</v>
      </c>
    </row>
    <row r="116" spans="1:51" x14ac:dyDescent="0.3">
      <c r="A116" t="s">
        <v>677</v>
      </c>
      <c r="B116" t="s">
        <v>32</v>
      </c>
      <c r="C116">
        <v>1000</v>
      </c>
      <c r="D116">
        <v>980</v>
      </c>
      <c r="E116">
        <v>980</v>
      </c>
      <c r="F116">
        <v>980</v>
      </c>
      <c r="G116">
        <v>980</v>
      </c>
      <c r="H116">
        <v>980</v>
      </c>
      <c r="I116">
        <v>980</v>
      </c>
      <c r="J116">
        <v>980</v>
      </c>
      <c r="K116">
        <v>980</v>
      </c>
      <c r="L116">
        <v>980</v>
      </c>
      <c r="M116">
        <v>980</v>
      </c>
      <c r="N116">
        <v>980</v>
      </c>
      <c r="O116">
        <v>980</v>
      </c>
      <c r="P116">
        <v>980</v>
      </c>
      <c r="Q116">
        <v>980</v>
      </c>
      <c r="R116">
        <v>980</v>
      </c>
      <c r="S116">
        <v>980</v>
      </c>
      <c r="T116">
        <v>980</v>
      </c>
      <c r="U116">
        <v>980</v>
      </c>
      <c r="V116">
        <v>980</v>
      </c>
      <c r="W116">
        <v>980</v>
      </c>
      <c r="X116">
        <v>980</v>
      </c>
      <c r="Y116">
        <v>980</v>
      </c>
      <c r="Z116">
        <v>980</v>
      </c>
      <c r="AA116">
        <v>980</v>
      </c>
      <c r="AB116">
        <v>980</v>
      </c>
      <c r="AC116">
        <v>980</v>
      </c>
      <c r="AD116">
        <v>980</v>
      </c>
      <c r="AE116">
        <v>980</v>
      </c>
      <c r="AF116">
        <v>980</v>
      </c>
      <c r="AG116">
        <v>980</v>
      </c>
      <c r="AH116">
        <v>980</v>
      </c>
      <c r="AI116">
        <v>980</v>
      </c>
      <c r="AJ116">
        <v>980</v>
      </c>
      <c r="AK116">
        <v>980</v>
      </c>
      <c r="AL116">
        <v>980</v>
      </c>
      <c r="AM116">
        <v>980</v>
      </c>
      <c r="AN116">
        <v>980</v>
      </c>
      <c r="AO116">
        <v>980</v>
      </c>
      <c r="AP116">
        <v>980</v>
      </c>
      <c r="AQ116">
        <v>980</v>
      </c>
      <c r="AR116">
        <v>980</v>
      </c>
      <c r="AS116">
        <v>980</v>
      </c>
      <c r="AT116">
        <v>980</v>
      </c>
      <c r="AU116">
        <v>980</v>
      </c>
      <c r="AV116">
        <v>980</v>
      </c>
      <c r="AW116">
        <v>980</v>
      </c>
      <c r="AX116">
        <v>980</v>
      </c>
      <c r="AY116">
        <v>980</v>
      </c>
    </row>
    <row r="117" spans="1:51" x14ac:dyDescent="0.3">
      <c r="A117" t="s">
        <v>677</v>
      </c>
      <c r="B117" t="s">
        <v>34</v>
      </c>
      <c r="C117">
        <v>1000</v>
      </c>
      <c r="D117">
        <v>980</v>
      </c>
      <c r="E117">
        <v>980</v>
      </c>
      <c r="F117">
        <v>980</v>
      </c>
      <c r="G117">
        <v>980</v>
      </c>
      <c r="H117">
        <v>980</v>
      </c>
      <c r="I117">
        <v>980</v>
      </c>
      <c r="J117">
        <v>980</v>
      </c>
      <c r="K117">
        <v>980</v>
      </c>
      <c r="L117">
        <v>980</v>
      </c>
      <c r="M117">
        <v>980</v>
      </c>
      <c r="N117">
        <v>980</v>
      </c>
      <c r="O117">
        <v>980</v>
      </c>
      <c r="P117">
        <v>980</v>
      </c>
      <c r="Q117">
        <v>980</v>
      </c>
      <c r="R117">
        <v>980</v>
      </c>
      <c r="S117">
        <v>980</v>
      </c>
      <c r="T117">
        <v>980</v>
      </c>
      <c r="U117">
        <v>980</v>
      </c>
      <c r="V117">
        <v>980</v>
      </c>
      <c r="W117">
        <v>980</v>
      </c>
      <c r="X117">
        <v>980</v>
      </c>
      <c r="Y117">
        <v>980</v>
      </c>
      <c r="Z117">
        <v>980</v>
      </c>
      <c r="AA117">
        <v>980</v>
      </c>
      <c r="AB117">
        <v>980</v>
      </c>
      <c r="AC117">
        <v>980</v>
      </c>
      <c r="AD117">
        <v>980</v>
      </c>
      <c r="AE117">
        <v>980</v>
      </c>
      <c r="AF117">
        <v>980</v>
      </c>
      <c r="AG117">
        <v>980</v>
      </c>
      <c r="AH117">
        <v>980</v>
      </c>
      <c r="AI117">
        <v>980</v>
      </c>
      <c r="AJ117">
        <v>980</v>
      </c>
      <c r="AK117">
        <v>980</v>
      </c>
      <c r="AL117">
        <v>980</v>
      </c>
      <c r="AM117">
        <v>980</v>
      </c>
      <c r="AN117">
        <v>980</v>
      </c>
      <c r="AO117">
        <v>980</v>
      </c>
      <c r="AP117">
        <v>980</v>
      </c>
      <c r="AQ117">
        <v>980</v>
      </c>
      <c r="AR117">
        <v>980</v>
      </c>
      <c r="AS117">
        <v>980</v>
      </c>
      <c r="AT117">
        <v>980</v>
      </c>
      <c r="AU117">
        <v>980</v>
      </c>
      <c r="AV117">
        <v>980</v>
      </c>
      <c r="AW117">
        <v>980</v>
      </c>
      <c r="AX117">
        <v>980</v>
      </c>
      <c r="AY117">
        <v>980</v>
      </c>
    </row>
    <row r="118" spans="1:51" x14ac:dyDescent="0.3">
      <c r="A118" t="s">
        <v>677</v>
      </c>
      <c r="B118" t="s">
        <v>52</v>
      </c>
      <c r="C118">
        <v>660.8</v>
      </c>
      <c r="D118">
        <v>500</v>
      </c>
      <c r="E118">
        <v>450</v>
      </c>
      <c r="F118">
        <v>375</v>
      </c>
      <c r="G118">
        <v>375</v>
      </c>
      <c r="H118">
        <v>375</v>
      </c>
      <c r="I118">
        <v>375</v>
      </c>
      <c r="J118">
        <v>375</v>
      </c>
      <c r="K118">
        <v>375</v>
      </c>
      <c r="L118">
        <v>375</v>
      </c>
      <c r="M118">
        <v>375</v>
      </c>
      <c r="N118">
        <v>375</v>
      </c>
      <c r="O118">
        <v>375</v>
      </c>
      <c r="P118">
        <v>375</v>
      </c>
      <c r="Q118">
        <v>465</v>
      </c>
      <c r="R118">
        <v>555</v>
      </c>
      <c r="S118">
        <v>645</v>
      </c>
      <c r="T118">
        <v>647.58000000000004</v>
      </c>
      <c r="U118">
        <v>647.58000000000004</v>
      </c>
      <c r="V118">
        <v>647.58000000000004</v>
      </c>
      <c r="W118">
        <v>647.58000000000004</v>
      </c>
      <c r="X118">
        <v>647.58000000000004</v>
      </c>
      <c r="Y118">
        <v>647.58000000000004</v>
      </c>
      <c r="Z118">
        <v>647.58000000000004</v>
      </c>
      <c r="AA118">
        <v>647.58000000000004</v>
      </c>
      <c r="AB118">
        <v>647.58000000000004</v>
      </c>
      <c r="AC118">
        <v>647.58000000000004</v>
      </c>
      <c r="AD118">
        <v>647.58000000000004</v>
      </c>
      <c r="AE118">
        <v>647.58000000000004</v>
      </c>
      <c r="AF118">
        <v>647.58000000000004</v>
      </c>
      <c r="AG118">
        <v>647.58000000000004</v>
      </c>
      <c r="AH118">
        <v>647.58000000000004</v>
      </c>
      <c r="AI118">
        <v>647.58000000000004</v>
      </c>
      <c r="AJ118">
        <v>604.88</v>
      </c>
      <c r="AK118">
        <v>604.88</v>
      </c>
      <c r="AL118">
        <v>647.58000000000004</v>
      </c>
      <c r="AM118">
        <v>647.58000000000004</v>
      </c>
      <c r="AN118">
        <v>647.58000000000004</v>
      </c>
      <c r="AO118">
        <v>647.58000000000004</v>
      </c>
      <c r="AP118">
        <v>647.58000000000004</v>
      </c>
      <c r="AQ118">
        <v>647.58000000000004</v>
      </c>
      <c r="AR118">
        <v>647.58000000000004</v>
      </c>
      <c r="AS118">
        <v>647.58000000000004</v>
      </c>
      <c r="AT118">
        <v>647.58000000000004</v>
      </c>
      <c r="AU118">
        <v>647.58000000000004</v>
      </c>
      <c r="AV118">
        <v>647.58000000000004</v>
      </c>
      <c r="AW118">
        <v>647.58000000000004</v>
      </c>
      <c r="AX118">
        <v>647.58000000000004</v>
      </c>
      <c r="AY118">
        <v>647.58000000000004</v>
      </c>
    </row>
    <row r="119" spans="1:51" x14ac:dyDescent="0.3">
      <c r="A119" t="s">
        <v>677</v>
      </c>
      <c r="B119" t="s">
        <v>53</v>
      </c>
      <c r="C119">
        <v>660.8</v>
      </c>
      <c r="D119">
        <v>647.58000000000004</v>
      </c>
      <c r="E119">
        <v>647.58000000000004</v>
      </c>
      <c r="F119">
        <v>647.58000000000004</v>
      </c>
      <c r="G119">
        <v>647.58000000000004</v>
      </c>
      <c r="H119">
        <v>647.58000000000004</v>
      </c>
      <c r="I119">
        <v>647.58000000000004</v>
      </c>
      <c r="J119">
        <v>647.58000000000004</v>
      </c>
      <c r="K119">
        <v>604.88</v>
      </c>
      <c r="L119">
        <v>647.58000000000004</v>
      </c>
      <c r="M119">
        <v>647.58000000000004</v>
      </c>
      <c r="N119">
        <v>647.58000000000004</v>
      </c>
      <c r="O119">
        <v>647.58000000000004</v>
      </c>
      <c r="P119">
        <v>604.88</v>
      </c>
      <c r="Q119">
        <v>604.88</v>
      </c>
      <c r="R119">
        <v>647.58000000000004</v>
      </c>
      <c r="S119">
        <v>647.58000000000004</v>
      </c>
      <c r="T119">
        <v>647.58000000000004</v>
      </c>
      <c r="U119">
        <v>647.58000000000004</v>
      </c>
      <c r="V119">
        <v>647.58000000000004</v>
      </c>
      <c r="W119">
        <v>647.58000000000004</v>
      </c>
      <c r="X119">
        <v>647.58000000000004</v>
      </c>
      <c r="Y119">
        <v>647.58000000000004</v>
      </c>
      <c r="Z119">
        <v>647.58000000000004</v>
      </c>
      <c r="AA119">
        <v>647.58000000000004</v>
      </c>
      <c r="AB119">
        <v>647.58000000000004</v>
      </c>
      <c r="AC119">
        <v>647.58000000000004</v>
      </c>
      <c r="AD119">
        <v>647.58000000000004</v>
      </c>
      <c r="AE119">
        <v>647.58000000000004</v>
      </c>
      <c r="AF119">
        <v>647.58000000000004</v>
      </c>
      <c r="AG119">
        <v>647.58000000000004</v>
      </c>
      <c r="AH119">
        <v>647.58000000000004</v>
      </c>
      <c r="AI119">
        <v>647.58000000000004</v>
      </c>
      <c r="AJ119">
        <v>626.77</v>
      </c>
      <c r="AK119">
        <v>604.88</v>
      </c>
      <c r="AL119">
        <v>647.58000000000004</v>
      </c>
      <c r="AM119">
        <v>647.58000000000004</v>
      </c>
      <c r="AN119">
        <v>647.58000000000004</v>
      </c>
      <c r="AO119">
        <v>647.58000000000004</v>
      </c>
      <c r="AP119">
        <v>647.58000000000004</v>
      </c>
      <c r="AQ119">
        <v>647.58000000000004</v>
      </c>
      <c r="AR119">
        <v>647.58000000000004</v>
      </c>
      <c r="AS119">
        <v>647.58000000000004</v>
      </c>
      <c r="AT119">
        <v>647.58000000000004</v>
      </c>
      <c r="AU119">
        <v>647.58000000000004</v>
      </c>
      <c r="AV119">
        <v>647.58000000000004</v>
      </c>
      <c r="AW119">
        <v>647.58000000000004</v>
      </c>
      <c r="AX119">
        <v>647.58000000000004</v>
      </c>
      <c r="AY119">
        <v>612.9</v>
      </c>
    </row>
    <row r="120" spans="1:51" x14ac:dyDescent="0.3">
      <c r="A120" t="s">
        <v>677</v>
      </c>
      <c r="B120" t="s">
        <v>28</v>
      </c>
      <c r="C120">
        <v>661.1</v>
      </c>
      <c r="D120">
        <v>647.79999999999995</v>
      </c>
      <c r="E120">
        <v>647.79999999999995</v>
      </c>
      <c r="F120">
        <v>647.79999999999995</v>
      </c>
      <c r="G120">
        <v>647.79999999999995</v>
      </c>
      <c r="H120">
        <v>647.79999999999995</v>
      </c>
      <c r="I120">
        <v>647.79999999999995</v>
      </c>
      <c r="J120">
        <v>647.79999999999995</v>
      </c>
      <c r="K120">
        <v>647.79999999999995</v>
      </c>
      <c r="L120">
        <v>647.79999999999995</v>
      </c>
      <c r="M120">
        <v>647.79999999999995</v>
      </c>
      <c r="N120">
        <v>647.79999999999995</v>
      </c>
      <c r="O120">
        <v>647.79999999999995</v>
      </c>
      <c r="P120">
        <v>647.79999999999995</v>
      </c>
      <c r="Q120">
        <v>647.79999999999995</v>
      </c>
      <c r="R120">
        <v>647.79999999999995</v>
      </c>
      <c r="S120">
        <v>647.79999999999995</v>
      </c>
      <c r="T120">
        <v>647.79999999999995</v>
      </c>
      <c r="U120">
        <v>647.79999999999995</v>
      </c>
      <c r="V120">
        <v>647.79999999999995</v>
      </c>
      <c r="W120">
        <v>647.79999999999995</v>
      </c>
      <c r="X120">
        <v>647.79999999999995</v>
      </c>
      <c r="Y120">
        <v>647.79999999999995</v>
      </c>
      <c r="Z120">
        <v>647.79999999999995</v>
      </c>
      <c r="AA120">
        <v>647.79999999999995</v>
      </c>
      <c r="AB120">
        <v>647.79999999999995</v>
      </c>
      <c r="AC120">
        <v>647.79999999999995</v>
      </c>
      <c r="AD120">
        <v>647.88</v>
      </c>
      <c r="AE120">
        <v>647.88</v>
      </c>
      <c r="AF120">
        <v>647.88</v>
      </c>
      <c r="AG120">
        <v>647.88</v>
      </c>
      <c r="AH120">
        <v>647.88</v>
      </c>
      <c r="AI120">
        <v>647.88</v>
      </c>
      <c r="AJ120">
        <v>647.88</v>
      </c>
      <c r="AK120">
        <v>647.88</v>
      </c>
      <c r="AL120">
        <v>647.88</v>
      </c>
      <c r="AM120">
        <v>647.88</v>
      </c>
      <c r="AN120">
        <v>647.88</v>
      </c>
      <c r="AO120">
        <v>647.88</v>
      </c>
      <c r="AP120">
        <v>647.88</v>
      </c>
      <c r="AQ120">
        <v>647.88</v>
      </c>
      <c r="AR120">
        <v>647.88</v>
      </c>
      <c r="AS120">
        <v>647.88</v>
      </c>
      <c r="AT120">
        <v>647.88</v>
      </c>
      <c r="AU120">
        <v>647.88</v>
      </c>
      <c r="AV120">
        <v>647.88</v>
      </c>
      <c r="AW120">
        <v>647.88</v>
      </c>
      <c r="AX120">
        <v>647.88</v>
      </c>
      <c r="AY120">
        <v>647.88</v>
      </c>
    </row>
    <row r="121" spans="1:51" x14ac:dyDescent="0.3">
      <c r="A121" t="s">
        <v>677</v>
      </c>
      <c r="B121" t="s">
        <v>30</v>
      </c>
      <c r="C121">
        <v>661.1</v>
      </c>
      <c r="D121">
        <v>647.79999999999995</v>
      </c>
      <c r="E121">
        <v>647.79999999999995</v>
      </c>
      <c r="F121">
        <v>647.79999999999995</v>
      </c>
      <c r="G121">
        <v>647.79999999999995</v>
      </c>
      <c r="H121">
        <v>647.79999999999995</v>
      </c>
      <c r="I121">
        <v>647.79999999999995</v>
      </c>
      <c r="J121">
        <v>647.79999999999995</v>
      </c>
      <c r="K121">
        <v>647.79999999999995</v>
      </c>
      <c r="L121">
        <v>647.79999999999995</v>
      </c>
      <c r="M121">
        <v>647.79999999999995</v>
      </c>
      <c r="N121">
        <v>647.79999999999995</v>
      </c>
      <c r="O121">
        <v>647.79999999999995</v>
      </c>
      <c r="P121">
        <v>647.79999999999995</v>
      </c>
      <c r="Q121">
        <v>647.79999999999995</v>
      </c>
      <c r="R121">
        <v>647.79999999999995</v>
      </c>
      <c r="S121">
        <v>647.79999999999995</v>
      </c>
      <c r="T121">
        <v>647.79999999999995</v>
      </c>
      <c r="U121">
        <v>647.79999999999995</v>
      </c>
      <c r="V121">
        <v>647.79999999999995</v>
      </c>
      <c r="W121">
        <v>647.79999999999995</v>
      </c>
      <c r="X121">
        <v>647.79999999999995</v>
      </c>
      <c r="Y121">
        <v>647.79999999999995</v>
      </c>
      <c r="Z121">
        <v>647.79999999999995</v>
      </c>
      <c r="AA121">
        <v>647.79999999999995</v>
      </c>
      <c r="AB121">
        <v>647.79999999999995</v>
      </c>
      <c r="AC121">
        <v>647.79999999999995</v>
      </c>
      <c r="AD121">
        <v>647.88</v>
      </c>
      <c r="AE121">
        <v>647.88</v>
      </c>
      <c r="AF121">
        <v>647.88</v>
      </c>
      <c r="AG121">
        <v>647.88</v>
      </c>
      <c r="AH121">
        <v>647.88</v>
      </c>
      <c r="AI121">
        <v>647.88</v>
      </c>
      <c r="AJ121">
        <v>647.88</v>
      </c>
      <c r="AK121">
        <v>637.83000000000004</v>
      </c>
      <c r="AL121">
        <v>647.88</v>
      </c>
      <c r="AM121">
        <v>647.88</v>
      </c>
      <c r="AN121">
        <v>647.88</v>
      </c>
      <c r="AO121">
        <v>647.88</v>
      </c>
      <c r="AP121">
        <v>647.88</v>
      </c>
      <c r="AQ121">
        <v>647.88</v>
      </c>
      <c r="AR121">
        <v>647.88</v>
      </c>
      <c r="AS121">
        <v>647.88</v>
      </c>
      <c r="AT121">
        <v>647.88</v>
      </c>
      <c r="AU121">
        <v>647.88</v>
      </c>
      <c r="AV121">
        <v>647.88</v>
      </c>
      <c r="AW121">
        <v>647.88</v>
      </c>
      <c r="AX121">
        <v>647.88</v>
      </c>
      <c r="AY121">
        <v>647.88</v>
      </c>
    </row>
    <row r="122" spans="1:51" x14ac:dyDescent="0.3">
      <c r="A122" t="s">
        <v>677</v>
      </c>
      <c r="B122" t="s">
        <v>356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9.3800000000000008</v>
      </c>
      <c r="AC122">
        <v>28.9</v>
      </c>
      <c r="AD122">
        <v>30</v>
      </c>
      <c r="AE122">
        <v>30</v>
      </c>
      <c r="AF122">
        <v>30</v>
      </c>
      <c r="AG122">
        <v>30</v>
      </c>
      <c r="AH122">
        <v>30</v>
      </c>
      <c r="AI122">
        <v>30</v>
      </c>
      <c r="AJ122">
        <v>30</v>
      </c>
      <c r="AK122">
        <v>30</v>
      </c>
      <c r="AL122">
        <v>30</v>
      </c>
      <c r="AM122">
        <v>30</v>
      </c>
      <c r="AN122">
        <v>30</v>
      </c>
      <c r="AO122">
        <v>30</v>
      </c>
      <c r="AP122">
        <v>30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3">
      <c r="A123" t="s">
        <v>677</v>
      </c>
      <c r="B123" t="s">
        <v>357</v>
      </c>
      <c r="D123">
        <v>154.94999999999999</v>
      </c>
      <c r="E123">
        <v>154.94999999999999</v>
      </c>
      <c r="F123">
        <v>154.94999999999999</v>
      </c>
      <c r="G123">
        <v>154.94999999999999</v>
      </c>
      <c r="H123">
        <v>154.94999999999999</v>
      </c>
      <c r="I123">
        <v>154.94999999999999</v>
      </c>
      <c r="J123">
        <v>154.94999999999999</v>
      </c>
      <c r="K123">
        <v>154.94999999999999</v>
      </c>
      <c r="L123">
        <v>154.94999999999999</v>
      </c>
      <c r="M123">
        <v>154.94999999999999</v>
      </c>
      <c r="N123">
        <v>154.94999999999999</v>
      </c>
      <c r="O123">
        <v>154.94999999999999</v>
      </c>
      <c r="P123">
        <v>154.94999999999999</v>
      </c>
      <c r="Q123">
        <v>154.94999999999999</v>
      </c>
      <c r="R123">
        <v>174.12</v>
      </c>
      <c r="S123">
        <v>253.58</v>
      </c>
      <c r="T123">
        <v>253.91</v>
      </c>
      <c r="U123">
        <v>259.04000000000002</v>
      </c>
      <c r="V123">
        <v>258.91000000000003</v>
      </c>
      <c r="W123">
        <v>277.97000000000003</v>
      </c>
      <c r="X123">
        <v>325.39999999999998</v>
      </c>
      <c r="Y123">
        <v>325.39999999999998</v>
      </c>
      <c r="Z123">
        <v>325.39999999999998</v>
      </c>
      <c r="AA123">
        <v>325.39999999999998</v>
      </c>
      <c r="AB123">
        <v>325.39999999999998</v>
      </c>
      <c r="AC123">
        <v>325.39999999999998</v>
      </c>
      <c r="AD123">
        <v>342.7</v>
      </c>
      <c r="AE123">
        <v>358.95</v>
      </c>
      <c r="AF123">
        <v>379.99</v>
      </c>
      <c r="AG123">
        <v>372.94</v>
      </c>
      <c r="AH123">
        <v>378.97</v>
      </c>
      <c r="AI123">
        <v>355.65</v>
      </c>
      <c r="AJ123">
        <v>345.85</v>
      </c>
      <c r="AK123">
        <v>353.67</v>
      </c>
      <c r="AL123">
        <v>433.85</v>
      </c>
      <c r="AM123">
        <v>441.32</v>
      </c>
      <c r="AN123">
        <v>437.45</v>
      </c>
      <c r="AO123">
        <v>414.79</v>
      </c>
      <c r="AP123">
        <v>422.49</v>
      </c>
      <c r="AQ123">
        <v>392.53</v>
      </c>
      <c r="AR123">
        <v>320.32</v>
      </c>
      <c r="AS123">
        <v>288.23</v>
      </c>
      <c r="AT123">
        <v>244.79</v>
      </c>
      <c r="AU123">
        <v>154.94999999999999</v>
      </c>
      <c r="AV123">
        <v>154.94999999999999</v>
      </c>
      <c r="AW123">
        <v>154.94999999999999</v>
      </c>
      <c r="AX123">
        <v>154.94999999999999</v>
      </c>
      <c r="AY123">
        <v>154.94999999999999</v>
      </c>
    </row>
    <row r="124" spans="1:51" x14ac:dyDescent="0.3">
      <c r="A124" t="s">
        <v>677</v>
      </c>
      <c r="B124" t="s">
        <v>358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 x14ac:dyDescent="0.3">
      <c r="A125" t="s">
        <v>677</v>
      </c>
      <c r="B125" t="s">
        <v>360</v>
      </c>
      <c r="D125">
        <v>33</v>
      </c>
      <c r="E125">
        <v>33</v>
      </c>
      <c r="F125">
        <v>33</v>
      </c>
      <c r="G125">
        <v>32</v>
      </c>
      <c r="H125">
        <v>33</v>
      </c>
      <c r="I125">
        <v>31</v>
      </c>
      <c r="J125">
        <v>31</v>
      </c>
      <c r="K125">
        <v>33</v>
      </c>
      <c r="L125">
        <v>33</v>
      </c>
      <c r="M125">
        <v>33</v>
      </c>
      <c r="N125">
        <v>33</v>
      </c>
      <c r="O125">
        <v>33</v>
      </c>
      <c r="P125">
        <v>32</v>
      </c>
      <c r="Q125">
        <v>32</v>
      </c>
      <c r="R125">
        <v>33</v>
      </c>
      <c r="S125">
        <v>33</v>
      </c>
      <c r="T125">
        <v>33</v>
      </c>
      <c r="U125">
        <v>33</v>
      </c>
      <c r="V125">
        <v>33</v>
      </c>
      <c r="W125">
        <v>33</v>
      </c>
      <c r="X125">
        <v>33</v>
      </c>
      <c r="Y125">
        <v>33</v>
      </c>
      <c r="Z125">
        <v>32</v>
      </c>
      <c r="AA125">
        <v>33</v>
      </c>
      <c r="AB125">
        <v>33</v>
      </c>
      <c r="AC125">
        <v>33</v>
      </c>
      <c r="AD125">
        <v>33</v>
      </c>
      <c r="AE125">
        <v>33</v>
      </c>
      <c r="AF125">
        <v>33</v>
      </c>
      <c r="AG125">
        <v>33</v>
      </c>
      <c r="AH125">
        <v>33</v>
      </c>
      <c r="AI125">
        <v>33</v>
      </c>
      <c r="AJ125">
        <v>33</v>
      </c>
      <c r="AK125">
        <v>37</v>
      </c>
      <c r="AL125">
        <v>37</v>
      </c>
      <c r="AM125">
        <v>38</v>
      </c>
      <c r="AN125">
        <v>38</v>
      </c>
      <c r="AO125">
        <v>38</v>
      </c>
      <c r="AP125">
        <v>37</v>
      </c>
      <c r="AQ125">
        <v>38</v>
      </c>
      <c r="AR125">
        <v>39</v>
      </c>
      <c r="AS125">
        <v>38</v>
      </c>
      <c r="AT125">
        <v>39</v>
      </c>
      <c r="AU125">
        <v>39</v>
      </c>
      <c r="AV125">
        <v>39</v>
      </c>
      <c r="AW125">
        <v>38</v>
      </c>
      <c r="AX125">
        <v>38</v>
      </c>
      <c r="AY125">
        <v>39</v>
      </c>
    </row>
    <row r="126" spans="1:51" x14ac:dyDescent="0.3">
      <c r="A126" t="s">
        <v>677</v>
      </c>
      <c r="B126" t="s">
        <v>361</v>
      </c>
      <c r="D126">
        <v>30</v>
      </c>
      <c r="E126">
        <v>30</v>
      </c>
      <c r="F126">
        <v>30</v>
      </c>
      <c r="G126">
        <v>30</v>
      </c>
      <c r="H126">
        <v>30</v>
      </c>
      <c r="I126">
        <v>30</v>
      </c>
      <c r="J126">
        <v>30</v>
      </c>
      <c r="K126">
        <v>30</v>
      </c>
      <c r="L126">
        <v>30</v>
      </c>
      <c r="M126">
        <v>30</v>
      </c>
      <c r="N126">
        <v>30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30</v>
      </c>
      <c r="U126">
        <v>30</v>
      </c>
      <c r="V126">
        <v>30</v>
      </c>
      <c r="W126">
        <v>30</v>
      </c>
      <c r="X126">
        <v>30</v>
      </c>
      <c r="Y126">
        <v>30</v>
      </c>
      <c r="Z126">
        <v>30</v>
      </c>
      <c r="AA126">
        <v>30</v>
      </c>
      <c r="AB126">
        <v>30</v>
      </c>
      <c r="AC126">
        <v>30</v>
      </c>
      <c r="AD126">
        <v>30</v>
      </c>
      <c r="AE126">
        <v>30</v>
      </c>
      <c r="AF126">
        <v>30</v>
      </c>
      <c r="AG126">
        <v>30</v>
      </c>
      <c r="AH126">
        <v>30</v>
      </c>
      <c r="AI126">
        <v>30</v>
      </c>
      <c r="AJ126">
        <v>30</v>
      </c>
      <c r="AK126">
        <v>30</v>
      </c>
      <c r="AL126">
        <v>30</v>
      </c>
      <c r="AM126">
        <v>30</v>
      </c>
      <c r="AN126">
        <v>29</v>
      </c>
      <c r="AO126">
        <v>30</v>
      </c>
      <c r="AP126">
        <v>29</v>
      </c>
      <c r="AQ126">
        <v>29</v>
      </c>
      <c r="AR126">
        <v>30</v>
      </c>
      <c r="AS126">
        <v>29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3">
      <c r="A127" t="s">
        <v>677</v>
      </c>
      <c r="B127" t="s">
        <v>362</v>
      </c>
      <c r="C127">
        <v>80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3">
      <c r="A128" t="s">
        <v>677</v>
      </c>
      <c r="B128" t="s">
        <v>363</v>
      </c>
      <c r="C128">
        <v>80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">
      <c r="A129" t="s">
        <v>677</v>
      </c>
      <c r="B129" t="s">
        <v>364</v>
      </c>
      <c r="C129">
        <v>166.5</v>
      </c>
      <c r="D129">
        <v>93</v>
      </c>
      <c r="E129">
        <v>93</v>
      </c>
      <c r="F129">
        <v>93</v>
      </c>
      <c r="G129">
        <v>93</v>
      </c>
      <c r="H129">
        <v>93</v>
      </c>
      <c r="I129">
        <v>93</v>
      </c>
      <c r="J129">
        <v>93</v>
      </c>
      <c r="K129">
        <v>93</v>
      </c>
      <c r="L129">
        <v>93</v>
      </c>
      <c r="M129">
        <v>93</v>
      </c>
      <c r="N129">
        <v>93</v>
      </c>
      <c r="O129">
        <v>93</v>
      </c>
      <c r="P129">
        <v>93</v>
      </c>
      <c r="Q129">
        <v>93</v>
      </c>
      <c r="R129">
        <v>93</v>
      </c>
      <c r="S129">
        <v>93</v>
      </c>
      <c r="T129">
        <v>93</v>
      </c>
      <c r="U129">
        <v>93</v>
      </c>
      <c r="V129">
        <v>93</v>
      </c>
      <c r="W129">
        <v>93</v>
      </c>
      <c r="X129">
        <v>93</v>
      </c>
      <c r="Y129">
        <v>93</v>
      </c>
      <c r="Z129">
        <v>93</v>
      </c>
      <c r="AA129">
        <v>93</v>
      </c>
      <c r="AB129">
        <v>93</v>
      </c>
      <c r="AC129">
        <v>93</v>
      </c>
      <c r="AD129">
        <v>93</v>
      </c>
      <c r="AE129">
        <v>93</v>
      </c>
      <c r="AF129">
        <v>93</v>
      </c>
      <c r="AG129">
        <v>93</v>
      </c>
      <c r="AH129">
        <v>93</v>
      </c>
      <c r="AI129">
        <v>93</v>
      </c>
      <c r="AJ129">
        <v>93</v>
      </c>
      <c r="AK129">
        <v>93</v>
      </c>
      <c r="AL129">
        <v>93</v>
      </c>
      <c r="AM129">
        <v>93</v>
      </c>
      <c r="AN129">
        <v>93</v>
      </c>
      <c r="AO129">
        <v>93</v>
      </c>
      <c r="AP129">
        <v>93</v>
      </c>
      <c r="AQ129">
        <v>93</v>
      </c>
      <c r="AR129">
        <v>93</v>
      </c>
      <c r="AS129">
        <v>93</v>
      </c>
      <c r="AT129">
        <v>93</v>
      </c>
      <c r="AU129">
        <v>93</v>
      </c>
      <c r="AV129">
        <v>93</v>
      </c>
      <c r="AW129">
        <v>93</v>
      </c>
      <c r="AX129">
        <v>93</v>
      </c>
      <c r="AY129">
        <v>93</v>
      </c>
    </row>
    <row r="130" spans="1:51" x14ac:dyDescent="0.3">
      <c r="A130" t="s">
        <v>677</v>
      </c>
      <c r="B130" t="s">
        <v>365</v>
      </c>
      <c r="C130">
        <v>166.5</v>
      </c>
      <c r="D130">
        <v>93</v>
      </c>
      <c r="E130">
        <v>93</v>
      </c>
      <c r="F130">
        <v>93</v>
      </c>
      <c r="G130">
        <v>93</v>
      </c>
      <c r="H130">
        <v>93</v>
      </c>
      <c r="I130">
        <v>93</v>
      </c>
      <c r="J130">
        <v>93</v>
      </c>
      <c r="K130">
        <v>93</v>
      </c>
      <c r="L130">
        <v>93</v>
      </c>
      <c r="M130">
        <v>93</v>
      </c>
      <c r="N130">
        <v>93</v>
      </c>
      <c r="O130">
        <v>93</v>
      </c>
      <c r="P130">
        <v>93</v>
      </c>
      <c r="Q130">
        <v>93</v>
      </c>
      <c r="R130">
        <v>93</v>
      </c>
      <c r="S130">
        <v>93</v>
      </c>
      <c r="T130">
        <v>93</v>
      </c>
      <c r="U130">
        <v>93</v>
      </c>
      <c r="V130">
        <v>93</v>
      </c>
      <c r="W130">
        <v>93</v>
      </c>
      <c r="X130">
        <v>93</v>
      </c>
      <c r="Y130">
        <v>93</v>
      </c>
      <c r="Z130">
        <v>93</v>
      </c>
      <c r="AA130">
        <v>93</v>
      </c>
      <c r="AB130">
        <v>93</v>
      </c>
      <c r="AC130">
        <v>93</v>
      </c>
      <c r="AD130">
        <v>93</v>
      </c>
      <c r="AE130">
        <v>93</v>
      </c>
      <c r="AF130">
        <v>93</v>
      </c>
      <c r="AG130">
        <v>93</v>
      </c>
      <c r="AH130">
        <v>93</v>
      </c>
      <c r="AI130">
        <v>93</v>
      </c>
      <c r="AJ130">
        <v>93</v>
      </c>
      <c r="AK130">
        <v>93</v>
      </c>
      <c r="AL130">
        <v>93</v>
      </c>
      <c r="AM130">
        <v>93</v>
      </c>
      <c r="AN130">
        <v>93</v>
      </c>
      <c r="AO130">
        <v>93</v>
      </c>
      <c r="AP130">
        <v>93</v>
      </c>
      <c r="AQ130">
        <v>93</v>
      </c>
      <c r="AR130">
        <v>93</v>
      </c>
      <c r="AS130">
        <v>93</v>
      </c>
      <c r="AT130">
        <v>93</v>
      </c>
      <c r="AU130">
        <v>93</v>
      </c>
      <c r="AV130">
        <v>93</v>
      </c>
      <c r="AW130">
        <v>93</v>
      </c>
      <c r="AX130">
        <v>93</v>
      </c>
      <c r="AY130">
        <v>93</v>
      </c>
    </row>
    <row r="131" spans="1:51" x14ac:dyDescent="0.3">
      <c r="A131" t="s">
        <v>677</v>
      </c>
      <c r="B131" t="s">
        <v>54</v>
      </c>
      <c r="C131">
        <v>370</v>
      </c>
      <c r="D131">
        <v>330</v>
      </c>
      <c r="E131">
        <v>330</v>
      </c>
      <c r="F131">
        <v>330</v>
      </c>
      <c r="G131">
        <v>330</v>
      </c>
      <c r="H131">
        <v>330</v>
      </c>
      <c r="I131">
        <v>330</v>
      </c>
      <c r="J131">
        <v>330</v>
      </c>
      <c r="K131">
        <v>330</v>
      </c>
      <c r="L131">
        <v>330</v>
      </c>
      <c r="M131">
        <v>330</v>
      </c>
      <c r="N131">
        <v>330</v>
      </c>
      <c r="O131">
        <v>330</v>
      </c>
      <c r="P131">
        <v>330</v>
      </c>
      <c r="Q131">
        <v>330</v>
      </c>
      <c r="R131">
        <v>330</v>
      </c>
      <c r="S131">
        <v>330</v>
      </c>
      <c r="T131">
        <v>330</v>
      </c>
      <c r="U131">
        <v>330</v>
      </c>
      <c r="V131">
        <v>330</v>
      </c>
      <c r="W131">
        <v>330</v>
      </c>
      <c r="X131">
        <v>330</v>
      </c>
      <c r="Y131">
        <v>330</v>
      </c>
      <c r="Z131">
        <v>330</v>
      </c>
      <c r="AA131">
        <v>330</v>
      </c>
      <c r="AB131">
        <v>330</v>
      </c>
      <c r="AC131">
        <v>340</v>
      </c>
      <c r="AD131">
        <v>340</v>
      </c>
      <c r="AE131">
        <v>340</v>
      </c>
      <c r="AF131">
        <v>340</v>
      </c>
      <c r="AG131">
        <v>340</v>
      </c>
      <c r="AH131">
        <v>340</v>
      </c>
      <c r="AI131">
        <v>340</v>
      </c>
      <c r="AJ131">
        <v>340</v>
      </c>
      <c r="AK131">
        <v>340</v>
      </c>
      <c r="AL131">
        <v>340</v>
      </c>
      <c r="AM131">
        <v>340</v>
      </c>
      <c r="AN131">
        <v>340</v>
      </c>
      <c r="AO131">
        <v>340</v>
      </c>
      <c r="AP131">
        <v>340</v>
      </c>
      <c r="AQ131">
        <v>275</v>
      </c>
      <c r="AR131">
        <v>275</v>
      </c>
      <c r="AS131">
        <v>275</v>
      </c>
      <c r="AT131">
        <v>275</v>
      </c>
      <c r="AU131">
        <v>275</v>
      </c>
      <c r="AV131">
        <v>275</v>
      </c>
      <c r="AW131">
        <v>275</v>
      </c>
      <c r="AX131">
        <v>275</v>
      </c>
      <c r="AY131">
        <v>275</v>
      </c>
    </row>
    <row r="132" spans="1:51" x14ac:dyDescent="0.3">
      <c r="A132" t="s">
        <v>677</v>
      </c>
      <c r="B132" t="s">
        <v>57</v>
      </c>
      <c r="C132">
        <v>370</v>
      </c>
      <c r="D132">
        <v>330</v>
      </c>
      <c r="E132">
        <v>330</v>
      </c>
      <c r="F132">
        <v>330</v>
      </c>
      <c r="G132">
        <v>330</v>
      </c>
      <c r="H132">
        <v>330</v>
      </c>
      <c r="I132">
        <v>330</v>
      </c>
      <c r="J132">
        <v>330</v>
      </c>
      <c r="K132">
        <v>330</v>
      </c>
      <c r="L132">
        <v>330</v>
      </c>
      <c r="M132">
        <v>330</v>
      </c>
      <c r="N132">
        <v>330</v>
      </c>
      <c r="O132">
        <v>330</v>
      </c>
      <c r="P132">
        <v>330</v>
      </c>
      <c r="Q132">
        <v>330</v>
      </c>
      <c r="R132">
        <v>330</v>
      </c>
      <c r="S132">
        <v>330</v>
      </c>
      <c r="T132">
        <v>330</v>
      </c>
      <c r="U132">
        <v>330</v>
      </c>
      <c r="V132">
        <v>330</v>
      </c>
      <c r="W132">
        <v>330</v>
      </c>
      <c r="X132">
        <v>330</v>
      </c>
      <c r="Y132">
        <v>330</v>
      </c>
      <c r="Z132">
        <v>330</v>
      </c>
      <c r="AA132">
        <v>330</v>
      </c>
      <c r="AB132">
        <v>330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340</v>
      </c>
      <c r="AK132">
        <v>340</v>
      </c>
      <c r="AL132">
        <v>340</v>
      </c>
      <c r="AM132">
        <v>340</v>
      </c>
      <c r="AN132">
        <v>340</v>
      </c>
      <c r="AO132">
        <v>340</v>
      </c>
      <c r="AP132">
        <v>340</v>
      </c>
      <c r="AQ132">
        <v>275</v>
      </c>
      <c r="AR132">
        <v>275</v>
      </c>
      <c r="AS132">
        <v>275</v>
      </c>
      <c r="AT132">
        <v>275</v>
      </c>
      <c r="AU132">
        <v>275</v>
      </c>
      <c r="AV132">
        <v>275</v>
      </c>
      <c r="AW132">
        <v>275</v>
      </c>
      <c r="AX132">
        <v>275</v>
      </c>
      <c r="AY132">
        <v>275</v>
      </c>
    </row>
    <row r="133" spans="1:51" x14ac:dyDescent="0.3">
      <c r="A133" t="s">
        <v>677</v>
      </c>
      <c r="B133" t="s">
        <v>366</v>
      </c>
      <c r="C133">
        <v>15.5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3">
      <c r="A134" t="s">
        <v>677</v>
      </c>
      <c r="B134" t="s">
        <v>367</v>
      </c>
      <c r="C134">
        <v>15.5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A135" t="s">
        <v>677</v>
      </c>
      <c r="B135" t="s">
        <v>368</v>
      </c>
      <c r="D135">
        <v>242.25</v>
      </c>
      <c r="E135">
        <v>242.25</v>
      </c>
      <c r="F135">
        <v>242.25</v>
      </c>
      <c r="G135">
        <v>242.25</v>
      </c>
      <c r="H135">
        <v>242.25</v>
      </c>
      <c r="I135">
        <v>242.25</v>
      </c>
      <c r="J135">
        <v>242.25</v>
      </c>
      <c r="K135">
        <v>242.25</v>
      </c>
      <c r="L135">
        <v>242.25</v>
      </c>
      <c r="M135">
        <v>242.25</v>
      </c>
      <c r="N135">
        <v>242.25</v>
      </c>
      <c r="O135">
        <v>242.25</v>
      </c>
      <c r="P135">
        <v>242.25</v>
      </c>
      <c r="Q135">
        <v>242.25</v>
      </c>
      <c r="R135">
        <v>254.99</v>
      </c>
      <c r="S135">
        <v>280.47000000000003</v>
      </c>
      <c r="T135">
        <v>326.17</v>
      </c>
      <c r="U135">
        <v>326.17</v>
      </c>
      <c r="V135">
        <v>326.17</v>
      </c>
      <c r="W135">
        <v>326.17</v>
      </c>
      <c r="X135">
        <v>326.17</v>
      </c>
      <c r="Y135">
        <v>326.17</v>
      </c>
      <c r="Z135">
        <v>326.17</v>
      </c>
      <c r="AA135">
        <v>326.17</v>
      </c>
      <c r="AB135">
        <v>326.17</v>
      </c>
      <c r="AC135">
        <v>326.17</v>
      </c>
      <c r="AD135">
        <v>326.17</v>
      </c>
      <c r="AE135">
        <v>326.17</v>
      </c>
      <c r="AF135">
        <v>326.17</v>
      </c>
      <c r="AG135">
        <v>326.17</v>
      </c>
      <c r="AH135">
        <v>326.17</v>
      </c>
      <c r="AI135">
        <v>326.17</v>
      </c>
      <c r="AJ135">
        <v>326.17</v>
      </c>
      <c r="AK135">
        <v>326.17</v>
      </c>
      <c r="AL135">
        <v>326.17</v>
      </c>
      <c r="AM135">
        <v>326.17</v>
      </c>
      <c r="AN135">
        <v>326.17</v>
      </c>
      <c r="AO135">
        <v>326.17</v>
      </c>
      <c r="AP135">
        <v>326.17</v>
      </c>
      <c r="AQ135">
        <v>326.17</v>
      </c>
      <c r="AR135">
        <v>326.17</v>
      </c>
      <c r="AS135">
        <v>326.17</v>
      </c>
      <c r="AT135">
        <v>326.17</v>
      </c>
      <c r="AU135">
        <v>274.98</v>
      </c>
      <c r="AV135">
        <v>242.25</v>
      </c>
      <c r="AW135">
        <v>242.25</v>
      </c>
      <c r="AX135">
        <v>242.25</v>
      </c>
      <c r="AY135">
        <v>242.25</v>
      </c>
    </row>
    <row r="136" spans="1:51" x14ac:dyDescent="0.3">
      <c r="A136" t="s">
        <v>677</v>
      </c>
      <c r="B136" t="s">
        <v>369</v>
      </c>
      <c r="D136">
        <v>155</v>
      </c>
      <c r="E136">
        <v>155</v>
      </c>
      <c r="F136">
        <v>155</v>
      </c>
      <c r="G136">
        <v>155</v>
      </c>
      <c r="H136">
        <v>155</v>
      </c>
      <c r="I136">
        <v>155</v>
      </c>
      <c r="J136">
        <v>155</v>
      </c>
      <c r="K136">
        <v>155</v>
      </c>
      <c r="L136">
        <v>155</v>
      </c>
      <c r="M136">
        <v>155</v>
      </c>
      <c r="N136">
        <v>155</v>
      </c>
      <c r="O136">
        <v>155</v>
      </c>
      <c r="P136">
        <v>155</v>
      </c>
      <c r="Q136">
        <v>155</v>
      </c>
      <c r="R136">
        <v>155</v>
      </c>
      <c r="S136">
        <v>155</v>
      </c>
      <c r="T136">
        <v>155</v>
      </c>
      <c r="U136">
        <v>155</v>
      </c>
      <c r="V136">
        <v>155</v>
      </c>
      <c r="W136">
        <v>155</v>
      </c>
      <c r="X136">
        <v>155</v>
      </c>
      <c r="Y136">
        <v>155</v>
      </c>
      <c r="Z136">
        <v>155</v>
      </c>
      <c r="AA136">
        <v>155</v>
      </c>
      <c r="AB136">
        <v>220.25</v>
      </c>
      <c r="AC136">
        <v>310</v>
      </c>
      <c r="AD136">
        <v>310</v>
      </c>
      <c r="AE136">
        <v>310</v>
      </c>
      <c r="AF136">
        <v>310</v>
      </c>
      <c r="AG136">
        <v>310</v>
      </c>
      <c r="AH136">
        <v>310</v>
      </c>
      <c r="AI136">
        <v>310</v>
      </c>
      <c r="AJ136">
        <v>375.25</v>
      </c>
      <c r="AK136">
        <v>392.15</v>
      </c>
      <c r="AL136">
        <v>392.15</v>
      </c>
      <c r="AM136">
        <v>392.15</v>
      </c>
      <c r="AN136">
        <v>392.15</v>
      </c>
      <c r="AO136">
        <v>392.15</v>
      </c>
      <c r="AP136">
        <v>392.15</v>
      </c>
      <c r="AQ136">
        <v>392.15</v>
      </c>
      <c r="AR136">
        <v>392.15</v>
      </c>
      <c r="AS136">
        <v>269.69</v>
      </c>
      <c r="AT136">
        <v>155</v>
      </c>
      <c r="AU136">
        <v>155</v>
      </c>
      <c r="AV136">
        <v>155</v>
      </c>
      <c r="AW136">
        <v>155</v>
      </c>
      <c r="AX136">
        <v>155</v>
      </c>
      <c r="AY136">
        <v>155</v>
      </c>
    </row>
    <row r="137" spans="1:51" x14ac:dyDescent="0.3">
      <c r="A137" t="s">
        <v>677</v>
      </c>
      <c r="B137" t="s">
        <v>370</v>
      </c>
      <c r="D137">
        <v>156.66999999999999</v>
      </c>
      <c r="E137">
        <v>156.66999999999999</v>
      </c>
      <c r="F137">
        <v>156.66999999999999</v>
      </c>
      <c r="G137">
        <v>156.66999999999999</v>
      </c>
      <c r="H137">
        <v>156.66999999999999</v>
      </c>
      <c r="I137">
        <v>156.66999999999999</v>
      </c>
      <c r="J137">
        <v>156.66999999999999</v>
      </c>
      <c r="K137">
        <v>156.66999999999999</v>
      </c>
      <c r="L137">
        <v>156.66999999999999</v>
      </c>
      <c r="M137">
        <v>156.66999999999999</v>
      </c>
      <c r="N137">
        <v>156.66999999999999</v>
      </c>
      <c r="O137">
        <v>156.66999999999999</v>
      </c>
      <c r="P137">
        <v>156.66999999999999</v>
      </c>
      <c r="Q137">
        <v>235</v>
      </c>
      <c r="R137">
        <v>235</v>
      </c>
      <c r="S137">
        <v>235</v>
      </c>
      <c r="T137">
        <v>235</v>
      </c>
      <c r="U137">
        <v>235</v>
      </c>
      <c r="V137">
        <v>235</v>
      </c>
      <c r="W137">
        <v>235</v>
      </c>
      <c r="X137">
        <v>235</v>
      </c>
      <c r="Y137">
        <v>235</v>
      </c>
      <c r="Z137">
        <v>235</v>
      </c>
      <c r="AA137">
        <v>235</v>
      </c>
      <c r="AB137">
        <v>235</v>
      </c>
      <c r="AC137">
        <v>235</v>
      </c>
      <c r="AD137">
        <v>235</v>
      </c>
      <c r="AE137">
        <v>235</v>
      </c>
      <c r="AF137">
        <v>235</v>
      </c>
      <c r="AG137">
        <v>235</v>
      </c>
      <c r="AH137">
        <v>235</v>
      </c>
      <c r="AI137">
        <v>235</v>
      </c>
      <c r="AJ137">
        <v>235</v>
      </c>
      <c r="AK137">
        <v>235</v>
      </c>
      <c r="AL137">
        <v>235</v>
      </c>
      <c r="AM137">
        <v>235</v>
      </c>
      <c r="AN137">
        <v>235</v>
      </c>
      <c r="AO137">
        <v>300</v>
      </c>
      <c r="AP137">
        <v>300</v>
      </c>
      <c r="AQ137">
        <v>300</v>
      </c>
      <c r="AR137">
        <v>300</v>
      </c>
      <c r="AS137">
        <v>272.52</v>
      </c>
      <c r="AT137">
        <v>156.66999999999999</v>
      </c>
      <c r="AU137">
        <v>156.66999999999999</v>
      </c>
      <c r="AV137">
        <v>156.66999999999999</v>
      </c>
      <c r="AW137">
        <v>156.66999999999999</v>
      </c>
      <c r="AX137">
        <v>156.66999999999999</v>
      </c>
      <c r="AY137">
        <v>156.66999999999999</v>
      </c>
    </row>
    <row r="138" spans="1:51" x14ac:dyDescent="0.3">
      <c r="A138" t="s">
        <v>677</v>
      </c>
      <c r="B138" t="s">
        <v>47</v>
      </c>
      <c r="C138">
        <v>323</v>
      </c>
      <c r="D138">
        <v>300</v>
      </c>
      <c r="E138">
        <v>280</v>
      </c>
      <c r="F138">
        <v>280</v>
      </c>
      <c r="G138">
        <v>280</v>
      </c>
      <c r="H138">
        <v>280</v>
      </c>
      <c r="I138">
        <v>280</v>
      </c>
      <c r="J138">
        <v>280</v>
      </c>
      <c r="K138">
        <v>280</v>
      </c>
      <c r="L138">
        <v>280</v>
      </c>
      <c r="M138">
        <v>280</v>
      </c>
      <c r="N138">
        <v>280</v>
      </c>
      <c r="O138">
        <v>280</v>
      </c>
      <c r="P138">
        <v>280</v>
      </c>
      <c r="Q138">
        <v>280</v>
      </c>
      <c r="R138">
        <v>300</v>
      </c>
      <c r="S138">
        <v>300</v>
      </c>
      <c r="T138">
        <v>300</v>
      </c>
      <c r="U138">
        <v>300</v>
      </c>
      <c r="V138">
        <v>300</v>
      </c>
      <c r="W138">
        <v>300</v>
      </c>
      <c r="X138">
        <v>300</v>
      </c>
      <c r="Y138">
        <v>300</v>
      </c>
      <c r="Z138">
        <v>300</v>
      </c>
      <c r="AA138">
        <v>300</v>
      </c>
      <c r="AB138">
        <v>300</v>
      </c>
      <c r="AC138">
        <v>300</v>
      </c>
      <c r="AD138">
        <v>323</v>
      </c>
      <c r="AE138">
        <v>323</v>
      </c>
      <c r="AF138">
        <v>323</v>
      </c>
      <c r="AG138">
        <v>323</v>
      </c>
      <c r="AH138">
        <v>323</v>
      </c>
      <c r="AI138">
        <v>323</v>
      </c>
      <c r="AJ138">
        <v>323</v>
      </c>
      <c r="AK138">
        <v>323</v>
      </c>
      <c r="AL138">
        <v>323</v>
      </c>
      <c r="AM138">
        <v>323</v>
      </c>
      <c r="AN138">
        <v>323</v>
      </c>
      <c r="AO138">
        <v>323</v>
      </c>
      <c r="AP138">
        <v>323</v>
      </c>
      <c r="AQ138">
        <v>323</v>
      </c>
      <c r="AR138">
        <v>323</v>
      </c>
      <c r="AS138">
        <v>323</v>
      </c>
      <c r="AT138">
        <v>323</v>
      </c>
      <c r="AU138">
        <v>323</v>
      </c>
      <c r="AV138">
        <v>323</v>
      </c>
      <c r="AW138">
        <v>323</v>
      </c>
      <c r="AX138">
        <v>323</v>
      </c>
      <c r="AY138">
        <v>322.75</v>
      </c>
    </row>
    <row r="139" spans="1:51" x14ac:dyDescent="0.3">
      <c r="A139" t="s">
        <v>677</v>
      </c>
      <c r="B139" t="s">
        <v>50</v>
      </c>
      <c r="C139">
        <v>323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3">
      <c r="A140" t="s">
        <v>677</v>
      </c>
      <c r="B140" t="s">
        <v>69</v>
      </c>
      <c r="C140">
        <v>615</v>
      </c>
      <c r="D140">
        <v>550</v>
      </c>
      <c r="E140">
        <v>500</v>
      </c>
      <c r="F140">
        <v>500</v>
      </c>
      <c r="G140">
        <v>500</v>
      </c>
      <c r="H140">
        <v>500</v>
      </c>
      <c r="I140">
        <v>500</v>
      </c>
      <c r="J140">
        <v>500</v>
      </c>
      <c r="K140">
        <v>550</v>
      </c>
      <c r="L140">
        <v>600</v>
      </c>
      <c r="M140">
        <v>600</v>
      </c>
      <c r="N140">
        <v>600</v>
      </c>
      <c r="O140">
        <v>600</v>
      </c>
      <c r="P140">
        <v>600</v>
      </c>
      <c r="Q140">
        <v>600</v>
      </c>
      <c r="R140">
        <v>600</v>
      </c>
      <c r="S140">
        <v>600</v>
      </c>
      <c r="T140">
        <v>600</v>
      </c>
      <c r="U140">
        <v>600</v>
      </c>
      <c r="V140">
        <v>600</v>
      </c>
      <c r="W140">
        <v>600</v>
      </c>
      <c r="X140">
        <v>600</v>
      </c>
      <c r="Y140">
        <v>600</v>
      </c>
      <c r="Z140">
        <v>600</v>
      </c>
      <c r="AA140">
        <v>600</v>
      </c>
      <c r="AB140">
        <v>600</v>
      </c>
      <c r="AC140">
        <v>600</v>
      </c>
      <c r="AD140">
        <v>602.70000000000005</v>
      </c>
      <c r="AE140">
        <v>602.70000000000005</v>
      </c>
      <c r="AF140">
        <v>602.70000000000005</v>
      </c>
      <c r="AG140">
        <v>602.70000000000005</v>
      </c>
      <c r="AH140">
        <v>602.70000000000005</v>
      </c>
      <c r="AI140">
        <v>602.70000000000005</v>
      </c>
      <c r="AJ140">
        <v>602.70000000000005</v>
      </c>
      <c r="AK140">
        <v>602.70000000000005</v>
      </c>
      <c r="AL140">
        <v>602.70000000000005</v>
      </c>
      <c r="AM140">
        <v>602.70000000000005</v>
      </c>
      <c r="AN140">
        <v>602.70000000000005</v>
      </c>
      <c r="AO140">
        <v>602.70000000000005</v>
      </c>
      <c r="AP140">
        <v>602.70000000000005</v>
      </c>
      <c r="AQ140">
        <v>602.70000000000005</v>
      </c>
      <c r="AR140">
        <v>602.70000000000005</v>
      </c>
      <c r="AS140">
        <v>602.70000000000005</v>
      </c>
      <c r="AT140">
        <v>602.70000000000005</v>
      </c>
      <c r="AU140">
        <v>602.70000000000005</v>
      </c>
      <c r="AV140">
        <v>602.70000000000005</v>
      </c>
      <c r="AW140">
        <v>602.70000000000005</v>
      </c>
      <c r="AX140">
        <v>602.70000000000005</v>
      </c>
      <c r="AY140">
        <v>602.70000000000005</v>
      </c>
    </row>
    <row r="141" spans="1:51" x14ac:dyDescent="0.3">
      <c r="A141" t="s">
        <v>677</v>
      </c>
      <c r="B141" t="s">
        <v>72</v>
      </c>
      <c r="C141">
        <v>280</v>
      </c>
      <c r="D141">
        <v>200</v>
      </c>
      <c r="E141">
        <v>200</v>
      </c>
      <c r="F141">
        <v>200</v>
      </c>
      <c r="G141">
        <v>200</v>
      </c>
      <c r="H141">
        <v>200</v>
      </c>
      <c r="I141">
        <v>200</v>
      </c>
      <c r="J141">
        <v>200</v>
      </c>
      <c r="K141">
        <v>200</v>
      </c>
      <c r="L141">
        <v>200</v>
      </c>
      <c r="M141">
        <v>200</v>
      </c>
      <c r="N141">
        <v>200</v>
      </c>
      <c r="O141">
        <v>200</v>
      </c>
      <c r="P141">
        <v>200</v>
      </c>
      <c r="Q141">
        <v>200</v>
      </c>
      <c r="R141">
        <v>200</v>
      </c>
      <c r="S141">
        <v>200</v>
      </c>
      <c r="T141">
        <v>200</v>
      </c>
      <c r="U141">
        <v>200</v>
      </c>
      <c r="V141">
        <v>200</v>
      </c>
      <c r="W141">
        <v>200</v>
      </c>
      <c r="X141">
        <v>200</v>
      </c>
      <c r="Y141">
        <v>200</v>
      </c>
      <c r="Z141">
        <v>200</v>
      </c>
      <c r="AA141">
        <v>200</v>
      </c>
      <c r="AB141">
        <v>200</v>
      </c>
      <c r="AC141">
        <v>200</v>
      </c>
      <c r="AD141">
        <v>200</v>
      </c>
      <c r="AE141">
        <v>200</v>
      </c>
      <c r="AF141">
        <v>200</v>
      </c>
      <c r="AG141">
        <v>200</v>
      </c>
      <c r="AH141">
        <v>200</v>
      </c>
      <c r="AI141">
        <v>200</v>
      </c>
      <c r="AJ141">
        <v>200</v>
      </c>
      <c r="AK141">
        <v>200</v>
      </c>
      <c r="AL141">
        <v>270</v>
      </c>
      <c r="AM141">
        <v>270</v>
      </c>
      <c r="AN141">
        <v>270</v>
      </c>
      <c r="AO141">
        <v>270</v>
      </c>
      <c r="AP141">
        <v>270</v>
      </c>
      <c r="AQ141">
        <v>200</v>
      </c>
      <c r="AR141">
        <v>200</v>
      </c>
      <c r="AS141">
        <v>200</v>
      </c>
      <c r="AT141">
        <v>200</v>
      </c>
      <c r="AU141">
        <v>200</v>
      </c>
      <c r="AV141">
        <v>200</v>
      </c>
      <c r="AW141">
        <v>200</v>
      </c>
      <c r="AX141">
        <v>200</v>
      </c>
      <c r="AY141">
        <v>200</v>
      </c>
    </row>
    <row r="142" spans="1:51" x14ac:dyDescent="0.3">
      <c r="A142" t="s">
        <v>677</v>
      </c>
      <c r="B142" t="s">
        <v>73</v>
      </c>
      <c r="C142">
        <v>280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3">
      <c r="A143" t="s">
        <v>677</v>
      </c>
      <c r="B143" t="s">
        <v>371</v>
      </c>
      <c r="C143">
        <v>0</v>
      </c>
    </row>
    <row r="144" spans="1:51" x14ac:dyDescent="0.3">
      <c r="A144" t="s">
        <v>677</v>
      </c>
      <c r="B144" t="s">
        <v>372</v>
      </c>
      <c r="C144">
        <v>0</v>
      </c>
    </row>
    <row r="145" spans="1:51" x14ac:dyDescent="0.3">
      <c r="A145" t="s">
        <v>677</v>
      </c>
      <c r="B145" t="s">
        <v>373</v>
      </c>
      <c r="C145">
        <v>0</v>
      </c>
    </row>
    <row r="146" spans="1:51" x14ac:dyDescent="0.3">
      <c r="A146" t="s">
        <v>677</v>
      </c>
      <c r="B146" t="s">
        <v>77</v>
      </c>
      <c r="C146">
        <v>610</v>
      </c>
      <c r="D146">
        <v>500</v>
      </c>
      <c r="E146">
        <v>500</v>
      </c>
      <c r="F146">
        <v>500</v>
      </c>
      <c r="G146">
        <v>500</v>
      </c>
      <c r="H146">
        <v>500</v>
      </c>
      <c r="I146">
        <v>500</v>
      </c>
      <c r="J146">
        <v>500</v>
      </c>
      <c r="K146">
        <v>550</v>
      </c>
      <c r="L146">
        <v>597.79999999999995</v>
      </c>
      <c r="M146">
        <v>597.79999999999995</v>
      </c>
      <c r="N146">
        <v>597.79999999999995</v>
      </c>
      <c r="O146">
        <v>597.79999999999995</v>
      </c>
      <c r="P146">
        <v>597.79999999999995</v>
      </c>
      <c r="Q146">
        <v>597.79999999999995</v>
      </c>
      <c r="R146">
        <v>597.79999999999995</v>
      </c>
      <c r="S146">
        <v>597.79999999999995</v>
      </c>
      <c r="T146">
        <v>597.79999999999995</v>
      </c>
      <c r="U146">
        <v>597.79999999999995</v>
      </c>
      <c r="V146">
        <v>597.79999999999995</v>
      </c>
      <c r="W146">
        <v>597.79999999999995</v>
      </c>
      <c r="X146">
        <v>597.79999999999995</v>
      </c>
      <c r="Y146">
        <v>597.79999999999995</v>
      </c>
      <c r="Z146">
        <v>597.79999999999995</v>
      </c>
      <c r="AA146">
        <v>597.79999999999995</v>
      </c>
      <c r="AB146">
        <v>597.79999999999995</v>
      </c>
      <c r="AC146">
        <v>597.79999999999995</v>
      </c>
      <c r="AD146">
        <v>597.79999999999995</v>
      </c>
      <c r="AE146">
        <v>597.79999999999995</v>
      </c>
      <c r="AF146">
        <v>597.79999999999995</v>
      </c>
      <c r="AG146">
        <v>597.79999999999995</v>
      </c>
      <c r="AH146">
        <v>597.79999999999995</v>
      </c>
      <c r="AI146">
        <v>597.79999999999995</v>
      </c>
      <c r="AJ146">
        <v>597.79999999999995</v>
      </c>
      <c r="AK146">
        <v>597.79999999999995</v>
      </c>
      <c r="AL146">
        <v>597.79999999999995</v>
      </c>
      <c r="AM146">
        <v>597.79999999999995</v>
      </c>
      <c r="AN146">
        <v>597.79999999999995</v>
      </c>
      <c r="AO146">
        <v>597.79999999999995</v>
      </c>
      <c r="AP146">
        <v>597.79999999999995</v>
      </c>
      <c r="AQ146">
        <v>597.79999999999995</v>
      </c>
      <c r="AR146">
        <v>597.79999999999995</v>
      </c>
      <c r="AS146">
        <v>597.79999999999995</v>
      </c>
      <c r="AT146">
        <v>597.79999999999995</v>
      </c>
      <c r="AU146">
        <v>597.79999999999995</v>
      </c>
      <c r="AV146">
        <v>597.79999999999995</v>
      </c>
      <c r="AW146">
        <v>597.79999999999995</v>
      </c>
      <c r="AX146">
        <v>597.79999999999995</v>
      </c>
      <c r="AY146">
        <v>597.79999999999995</v>
      </c>
    </row>
    <row r="147" spans="1:51" x14ac:dyDescent="0.3">
      <c r="A147" t="s">
        <v>677</v>
      </c>
      <c r="B147" t="s">
        <v>78</v>
      </c>
      <c r="C147">
        <v>610</v>
      </c>
      <c r="D147">
        <v>500</v>
      </c>
      <c r="E147">
        <v>500</v>
      </c>
      <c r="F147">
        <v>500</v>
      </c>
      <c r="G147">
        <v>500</v>
      </c>
      <c r="H147">
        <v>500</v>
      </c>
      <c r="I147">
        <v>500</v>
      </c>
      <c r="J147">
        <v>500</v>
      </c>
      <c r="K147">
        <v>550</v>
      </c>
      <c r="L147">
        <v>597.79999999999995</v>
      </c>
      <c r="M147">
        <v>597.79999999999995</v>
      </c>
      <c r="N147">
        <v>597.79999999999995</v>
      </c>
      <c r="O147">
        <v>597.79999999999995</v>
      </c>
      <c r="P147">
        <v>597.79999999999995</v>
      </c>
      <c r="Q147">
        <v>597.79999999999995</v>
      </c>
      <c r="R147">
        <v>597.79999999999995</v>
      </c>
      <c r="S147">
        <v>597.79999999999995</v>
      </c>
      <c r="T147">
        <v>597.79999999999995</v>
      </c>
      <c r="U147">
        <v>597.79999999999995</v>
      </c>
      <c r="V147">
        <v>597.79999999999995</v>
      </c>
      <c r="W147">
        <v>597.79999999999995</v>
      </c>
      <c r="X147">
        <v>597.79999999999995</v>
      </c>
      <c r="Y147">
        <v>597.79999999999995</v>
      </c>
      <c r="Z147">
        <v>597.79999999999995</v>
      </c>
      <c r="AA147">
        <v>597.79999999999995</v>
      </c>
      <c r="AB147">
        <v>597.79999999999995</v>
      </c>
      <c r="AC147">
        <v>597.79999999999995</v>
      </c>
      <c r="AD147">
        <v>597.79999999999995</v>
      </c>
      <c r="AE147">
        <v>597.79999999999995</v>
      </c>
      <c r="AF147">
        <v>597.79999999999995</v>
      </c>
      <c r="AG147">
        <v>597.79999999999995</v>
      </c>
      <c r="AH147">
        <v>597.79999999999995</v>
      </c>
      <c r="AI147">
        <v>597.79999999999995</v>
      </c>
      <c r="AJ147">
        <v>597.79999999999995</v>
      </c>
      <c r="AK147">
        <v>597.79999999999995</v>
      </c>
      <c r="AL147">
        <v>597.79999999999995</v>
      </c>
      <c r="AM147">
        <v>597.79999999999995</v>
      </c>
      <c r="AN147">
        <v>597.79999999999995</v>
      </c>
      <c r="AO147">
        <v>597.79999999999995</v>
      </c>
      <c r="AP147">
        <v>597.79999999999995</v>
      </c>
      <c r="AQ147">
        <v>597.79999999999995</v>
      </c>
      <c r="AR147">
        <v>597.79999999999995</v>
      </c>
      <c r="AS147">
        <v>597.79999999999995</v>
      </c>
      <c r="AT147">
        <v>597.79999999999995</v>
      </c>
      <c r="AU147">
        <v>597.79999999999995</v>
      </c>
      <c r="AV147">
        <v>597.79999999999995</v>
      </c>
      <c r="AW147">
        <v>597.79999999999995</v>
      </c>
      <c r="AX147">
        <v>597.79999999999995</v>
      </c>
      <c r="AY147">
        <v>597.79999999999995</v>
      </c>
    </row>
    <row r="148" spans="1:51" x14ac:dyDescent="0.3">
      <c r="A148" t="s">
        <v>677</v>
      </c>
      <c r="B148" t="s">
        <v>62</v>
      </c>
      <c r="C148">
        <v>811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40.75</v>
      </c>
      <c r="X148">
        <v>122.25</v>
      </c>
      <c r="Y148">
        <v>203.75</v>
      </c>
      <c r="Z148">
        <v>285.25</v>
      </c>
      <c r="AA148">
        <v>366.75</v>
      </c>
      <c r="AB148">
        <v>448.25</v>
      </c>
      <c r="AC148">
        <v>529.75</v>
      </c>
      <c r="AD148">
        <v>611.25</v>
      </c>
      <c r="AE148">
        <v>692.75</v>
      </c>
      <c r="AF148">
        <v>771.74</v>
      </c>
      <c r="AG148">
        <v>794.78</v>
      </c>
      <c r="AH148">
        <v>794.78</v>
      </c>
      <c r="AI148">
        <v>794.78</v>
      </c>
      <c r="AJ148">
        <v>794.78</v>
      </c>
      <c r="AK148">
        <v>794.78</v>
      </c>
      <c r="AL148">
        <v>794.78</v>
      </c>
      <c r="AM148">
        <v>794.78</v>
      </c>
      <c r="AN148">
        <v>794.78</v>
      </c>
      <c r="AO148">
        <v>794.78</v>
      </c>
      <c r="AP148">
        <v>794.78</v>
      </c>
      <c r="AQ148">
        <v>794.78</v>
      </c>
      <c r="AR148">
        <v>794.78</v>
      </c>
      <c r="AS148">
        <v>794.78</v>
      </c>
      <c r="AT148">
        <v>794.78</v>
      </c>
      <c r="AU148">
        <v>794.78</v>
      </c>
      <c r="AV148">
        <v>794.78</v>
      </c>
      <c r="AW148">
        <v>794.78</v>
      </c>
      <c r="AX148">
        <v>794.78</v>
      </c>
      <c r="AY148">
        <v>794.78</v>
      </c>
    </row>
    <row r="149" spans="1:51" x14ac:dyDescent="0.3">
      <c r="A149" t="s">
        <v>677</v>
      </c>
      <c r="B149" t="s">
        <v>59</v>
      </c>
      <c r="C149">
        <v>610</v>
      </c>
      <c r="D149">
        <v>550</v>
      </c>
      <c r="E149">
        <v>500</v>
      </c>
      <c r="F149">
        <v>500</v>
      </c>
      <c r="G149">
        <v>500</v>
      </c>
      <c r="H149">
        <v>500</v>
      </c>
      <c r="I149">
        <v>500</v>
      </c>
      <c r="J149">
        <v>500</v>
      </c>
      <c r="K149">
        <v>550</v>
      </c>
      <c r="L149">
        <v>610</v>
      </c>
      <c r="M149">
        <v>610</v>
      </c>
      <c r="N149">
        <v>610</v>
      </c>
      <c r="O149">
        <v>610</v>
      </c>
      <c r="P149">
        <v>610</v>
      </c>
      <c r="Q149">
        <v>610</v>
      </c>
      <c r="R149">
        <v>610</v>
      </c>
      <c r="S149">
        <v>610</v>
      </c>
      <c r="T149">
        <v>610</v>
      </c>
      <c r="U149">
        <v>610</v>
      </c>
      <c r="V149">
        <v>610</v>
      </c>
      <c r="W149">
        <v>610</v>
      </c>
      <c r="X149">
        <v>610</v>
      </c>
      <c r="Y149">
        <v>610</v>
      </c>
      <c r="Z149">
        <v>610</v>
      </c>
      <c r="AA149">
        <v>610</v>
      </c>
      <c r="AB149">
        <v>610</v>
      </c>
      <c r="AC149">
        <v>610</v>
      </c>
      <c r="AD149">
        <v>610</v>
      </c>
      <c r="AE149">
        <v>610</v>
      </c>
      <c r="AF149">
        <v>610</v>
      </c>
      <c r="AG149">
        <v>610</v>
      </c>
      <c r="AH149">
        <v>610</v>
      </c>
      <c r="AI149">
        <v>610</v>
      </c>
      <c r="AJ149">
        <v>610</v>
      </c>
      <c r="AK149">
        <v>610</v>
      </c>
      <c r="AL149">
        <v>610</v>
      </c>
      <c r="AM149">
        <v>610</v>
      </c>
      <c r="AN149">
        <v>610</v>
      </c>
      <c r="AO149">
        <v>610</v>
      </c>
      <c r="AP149">
        <v>610</v>
      </c>
      <c r="AQ149">
        <v>610</v>
      </c>
      <c r="AR149">
        <v>610</v>
      </c>
      <c r="AS149">
        <v>610</v>
      </c>
      <c r="AT149">
        <v>610</v>
      </c>
      <c r="AU149">
        <v>610</v>
      </c>
      <c r="AV149">
        <v>610</v>
      </c>
      <c r="AW149">
        <v>610</v>
      </c>
      <c r="AX149">
        <v>610</v>
      </c>
      <c r="AY149">
        <v>610</v>
      </c>
    </row>
    <row r="150" spans="1:51" x14ac:dyDescent="0.3">
      <c r="A150" t="s">
        <v>677</v>
      </c>
      <c r="B150" t="s">
        <v>60</v>
      </c>
      <c r="C150">
        <v>610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3">
      <c r="A151" t="s">
        <v>677</v>
      </c>
      <c r="B151" t="s">
        <v>374</v>
      </c>
      <c r="C151">
        <v>35.866149999999998</v>
      </c>
      <c r="D151">
        <v>33.81</v>
      </c>
      <c r="E151">
        <v>33.81</v>
      </c>
      <c r="F151">
        <v>33.81</v>
      </c>
      <c r="G151">
        <v>33.81</v>
      </c>
      <c r="H151">
        <v>33.81</v>
      </c>
      <c r="I151">
        <v>33.81</v>
      </c>
      <c r="J151">
        <v>33.81</v>
      </c>
      <c r="K151">
        <v>33.81</v>
      </c>
      <c r="L151">
        <v>33.81</v>
      </c>
      <c r="M151">
        <v>33.81</v>
      </c>
      <c r="N151">
        <v>33.81</v>
      </c>
      <c r="O151">
        <v>33.81</v>
      </c>
      <c r="P151">
        <v>33.81</v>
      </c>
      <c r="Q151">
        <v>33.81</v>
      </c>
      <c r="R151">
        <v>33.81</v>
      </c>
      <c r="S151">
        <v>33.81</v>
      </c>
      <c r="T151">
        <v>33.81</v>
      </c>
      <c r="U151">
        <v>33.81</v>
      </c>
      <c r="V151">
        <v>33.81</v>
      </c>
      <c r="W151">
        <v>33.81</v>
      </c>
      <c r="X151">
        <v>33.81</v>
      </c>
      <c r="Y151">
        <v>33.81</v>
      </c>
      <c r="Z151">
        <v>33.81</v>
      </c>
      <c r="AA151">
        <v>33.81</v>
      </c>
      <c r="AB151">
        <v>33.81</v>
      </c>
      <c r="AC151">
        <v>33.81</v>
      </c>
      <c r="AD151">
        <v>33.81</v>
      </c>
      <c r="AE151">
        <v>33.81</v>
      </c>
      <c r="AF151">
        <v>33.81</v>
      </c>
      <c r="AG151">
        <v>33.81</v>
      </c>
      <c r="AH151">
        <v>33.81</v>
      </c>
      <c r="AI151">
        <v>33.81</v>
      </c>
      <c r="AJ151">
        <v>33.81</v>
      </c>
      <c r="AK151">
        <v>33.81</v>
      </c>
      <c r="AL151">
        <v>33.81</v>
      </c>
      <c r="AM151">
        <v>33.81</v>
      </c>
      <c r="AN151">
        <v>33.81</v>
      </c>
      <c r="AO151">
        <v>33.81</v>
      </c>
      <c r="AP151">
        <v>33.81</v>
      </c>
      <c r="AQ151">
        <v>33.81</v>
      </c>
      <c r="AR151">
        <v>33.81</v>
      </c>
      <c r="AS151">
        <v>33.81</v>
      </c>
      <c r="AT151">
        <v>33.81</v>
      </c>
      <c r="AU151">
        <v>33.81</v>
      </c>
      <c r="AV151">
        <v>33.81</v>
      </c>
      <c r="AW151">
        <v>33.81</v>
      </c>
      <c r="AX151">
        <v>33.81</v>
      </c>
      <c r="AY151">
        <v>33.81</v>
      </c>
    </row>
    <row r="152" spans="1:51" x14ac:dyDescent="0.3">
      <c r="A152" t="s">
        <v>677</v>
      </c>
      <c r="B152" t="s">
        <v>376</v>
      </c>
      <c r="D152">
        <v>108</v>
      </c>
      <c r="E152">
        <v>108</v>
      </c>
      <c r="F152">
        <v>108</v>
      </c>
      <c r="G152">
        <v>108</v>
      </c>
      <c r="H152">
        <v>108</v>
      </c>
      <c r="I152">
        <v>108</v>
      </c>
      <c r="J152">
        <v>108</v>
      </c>
      <c r="K152">
        <v>108</v>
      </c>
      <c r="L152">
        <v>108</v>
      </c>
      <c r="M152">
        <v>108</v>
      </c>
      <c r="N152">
        <v>108</v>
      </c>
      <c r="O152">
        <v>108</v>
      </c>
      <c r="P152">
        <v>108</v>
      </c>
      <c r="Q152">
        <v>108</v>
      </c>
      <c r="R152">
        <v>108</v>
      </c>
      <c r="S152">
        <v>108</v>
      </c>
      <c r="T152">
        <v>108</v>
      </c>
      <c r="U152">
        <v>108</v>
      </c>
      <c r="V152">
        <v>108</v>
      </c>
      <c r="W152">
        <v>108</v>
      </c>
      <c r="X152">
        <v>108</v>
      </c>
      <c r="Y152">
        <v>108</v>
      </c>
      <c r="Z152">
        <v>108</v>
      </c>
      <c r="AA152">
        <v>108</v>
      </c>
      <c r="AB152">
        <v>108</v>
      </c>
      <c r="AC152">
        <v>108</v>
      </c>
      <c r="AD152">
        <v>108</v>
      </c>
      <c r="AE152">
        <v>108</v>
      </c>
      <c r="AF152">
        <v>108</v>
      </c>
      <c r="AG152">
        <v>108</v>
      </c>
      <c r="AH152">
        <v>108</v>
      </c>
      <c r="AI152">
        <v>108</v>
      </c>
      <c r="AJ152">
        <v>108</v>
      </c>
      <c r="AK152">
        <v>108</v>
      </c>
      <c r="AL152">
        <v>108</v>
      </c>
      <c r="AM152">
        <v>108</v>
      </c>
      <c r="AN152">
        <v>108</v>
      </c>
      <c r="AO152">
        <v>108</v>
      </c>
      <c r="AP152">
        <v>108</v>
      </c>
      <c r="AQ152">
        <v>108</v>
      </c>
      <c r="AR152">
        <v>108</v>
      </c>
      <c r="AS152">
        <v>108</v>
      </c>
      <c r="AT152">
        <v>108</v>
      </c>
      <c r="AU152">
        <v>108</v>
      </c>
      <c r="AV152">
        <v>108</v>
      </c>
      <c r="AW152">
        <v>108</v>
      </c>
      <c r="AX152">
        <v>108</v>
      </c>
      <c r="AY152">
        <v>108</v>
      </c>
    </row>
    <row r="153" spans="1:51" x14ac:dyDescent="0.3">
      <c r="A153" t="s">
        <v>677</v>
      </c>
      <c r="B153" t="s">
        <v>377</v>
      </c>
      <c r="D153">
        <v>85</v>
      </c>
      <c r="E153">
        <v>85</v>
      </c>
      <c r="F153">
        <v>85</v>
      </c>
      <c r="G153">
        <v>85</v>
      </c>
      <c r="H153">
        <v>85</v>
      </c>
      <c r="I153">
        <v>85</v>
      </c>
      <c r="J153">
        <v>85</v>
      </c>
      <c r="K153">
        <v>85</v>
      </c>
      <c r="L153">
        <v>85</v>
      </c>
      <c r="M153">
        <v>85</v>
      </c>
      <c r="N153">
        <v>85</v>
      </c>
      <c r="O153">
        <v>85</v>
      </c>
      <c r="P153">
        <v>85</v>
      </c>
      <c r="Q153">
        <v>85</v>
      </c>
      <c r="R153">
        <v>85</v>
      </c>
      <c r="S153">
        <v>85</v>
      </c>
      <c r="T153">
        <v>85</v>
      </c>
      <c r="U153">
        <v>85</v>
      </c>
      <c r="V153">
        <v>92.55</v>
      </c>
      <c r="W153">
        <v>85.82</v>
      </c>
      <c r="X153">
        <v>85</v>
      </c>
      <c r="Y153">
        <v>89.05</v>
      </c>
      <c r="Z153">
        <v>92.05</v>
      </c>
      <c r="AA153">
        <v>85</v>
      </c>
      <c r="AB153">
        <v>85</v>
      </c>
      <c r="AC153">
        <v>89.85</v>
      </c>
      <c r="AD153">
        <v>85</v>
      </c>
      <c r="AE153">
        <v>88.08</v>
      </c>
      <c r="AF153">
        <v>85</v>
      </c>
      <c r="AG153">
        <v>85</v>
      </c>
      <c r="AH153">
        <v>85</v>
      </c>
      <c r="AI153">
        <v>85</v>
      </c>
      <c r="AJ153">
        <v>85</v>
      </c>
      <c r="AK153">
        <v>85</v>
      </c>
      <c r="AL153">
        <v>85</v>
      </c>
      <c r="AM153">
        <v>85</v>
      </c>
      <c r="AN153">
        <v>94</v>
      </c>
      <c r="AO153">
        <v>103</v>
      </c>
      <c r="AP153">
        <v>98</v>
      </c>
      <c r="AQ153">
        <v>94</v>
      </c>
      <c r="AR153">
        <v>85</v>
      </c>
      <c r="AS153">
        <v>114.67</v>
      </c>
      <c r="AT153">
        <v>85</v>
      </c>
      <c r="AU153">
        <v>85</v>
      </c>
      <c r="AV153">
        <v>96.44</v>
      </c>
      <c r="AW153">
        <v>89.47</v>
      </c>
      <c r="AX153">
        <v>87.17</v>
      </c>
      <c r="AY153">
        <v>92.53</v>
      </c>
    </row>
    <row r="154" spans="1:51" x14ac:dyDescent="0.3">
      <c r="A154" t="s">
        <v>677</v>
      </c>
      <c r="B154" t="s">
        <v>378</v>
      </c>
      <c r="C154">
        <v>40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10</v>
      </c>
      <c r="T154">
        <v>40</v>
      </c>
      <c r="U154">
        <v>40</v>
      </c>
      <c r="V154">
        <v>40</v>
      </c>
      <c r="W154">
        <v>40</v>
      </c>
      <c r="X154">
        <v>40</v>
      </c>
      <c r="Y154">
        <v>30</v>
      </c>
      <c r="Z154">
        <v>30</v>
      </c>
      <c r="AA154">
        <v>30</v>
      </c>
      <c r="AB154">
        <v>30</v>
      </c>
      <c r="AC154">
        <v>30</v>
      </c>
      <c r="AD154">
        <v>30</v>
      </c>
      <c r="AE154">
        <v>30</v>
      </c>
      <c r="AF154">
        <v>30</v>
      </c>
      <c r="AG154">
        <v>30</v>
      </c>
      <c r="AH154">
        <v>30</v>
      </c>
      <c r="AI154">
        <v>30</v>
      </c>
      <c r="AJ154">
        <v>30</v>
      </c>
      <c r="AK154">
        <v>30</v>
      </c>
      <c r="AL154">
        <v>28</v>
      </c>
      <c r="AM154">
        <v>28</v>
      </c>
      <c r="AN154">
        <v>36.299999999999997</v>
      </c>
      <c r="AO154">
        <v>40</v>
      </c>
      <c r="AP154">
        <v>40</v>
      </c>
      <c r="AQ154">
        <v>36</v>
      </c>
      <c r="AR154">
        <v>32</v>
      </c>
      <c r="AS154">
        <v>30</v>
      </c>
      <c r="AT154">
        <v>30</v>
      </c>
      <c r="AU154">
        <v>30</v>
      </c>
      <c r="AV154">
        <v>30</v>
      </c>
      <c r="AW154">
        <v>0</v>
      </c>
      <c r="AX154">
        <v>0</v>
      </c>
      <c r="AY154">
        <v>0</v>
      </c>
    </row>
    <row r="155" spans="1:51" x14ac:dyDescent="0.3">
      <c r="A155" t="s">
        <v>677</v>
      </c>
      <c r="B155" t="s">
        <v>379</v>
      </c>
      <c r="C155">
        <v>40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40</v>
      </c>
      <c r="AB155">
        <v>40</v>
      </c>
      <c r="AC155">
        <v>40</v>
      </c>
      <c r="AD155">
        <v>40</v>
      </c>
      <c r="AE155">
        <v>40</v>
      </c>
      <c r="AF155">
        <v>40</v>
      </c>
      <c r="AG155">
        <v>30</v>
      </c>
      <c r="AH155">
        <v>30</v>
      </c>
      <c r="AI155">
        <v>30</v>
      </c>
      <c r="AJ155">
        <v>30</v>
      </c>
      <c r="AK155">
        <v>30</v>
      </c>
      <c r="AL155">
        <v>28.5</v>
      </c>
      <c r="AM155">
        <v>28.5</v>
      </c>
      <c r="AN155">
        <v>30</v>
      </c>
      <c r="AO155">
        <v>40</v>
      </c>
      <c r="AP155">
        <v>39.44</v>
      </c>
      <c r="AQ155">
        <v>36</v>
      </c>
      <c r="AR155">
        <v>33</v>
      </c>
      <c r="AS155">
        <v>30</v>
      </c>
      <c r="AT155">
        <v>30</v>
      </c>
      <c r="AU155">
        <v>30</v>
      </c>
      <c r="AV155">
        <v>30</v>
      </c>
      <c r="AW155">
        <v>0</v>
      </c>
      <c r="AX155">
        <v>0</v>
      </c>
      <c r="AY155">
        <v>0</v>
      </c>
    </row>
    <row r="156" spans="1:51" x14ac:dyDescent="0.3">
      <c r="A156" t="s">
        <v>677</v>
      </c>
      <c r="B156" t="s">
        <v>380</v>
      </c>
    </row>
    <row r="157" spans="1:51" x14ac:dyDescent="0.3">
      <c r="A157" t="s">
        <v>677</v>
      </c>
      <c r="B157" t="s">
        <v>381</v>
      </c>
      <c r="C157">
        <v>16.670000000000002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16.2</v>
      </c>
      <c r="AM157">
        <v>16.2</v>
      </c>
      <c r="AN157">
        <v>16.2</v>
      </c>
      <c r="AO157">
        <v>16.2</v>
      </c>
      <c r="AP157">
        <v>16.2</v>
      </c>
      <c r="AQ157">
        <v>16.2</v>
      </c>
      <c r="AR157">
        <v>16.2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 x14ac:dyDescent="0.3">
      <c r="A158" t="s">
        <v>677</v>
      </c>
      <c r="B158" t="s">
        <v>382</v>
      </c>
      <c r="C158">
        <v>16.670000000000002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16.2</v>
      </c>
      <c r="AM158">
        <v>16.2</v>
      </c>
      <c r="AN158">
        <v>16.2</v>
      </c>
      <c r="AO158">
        <v>16.2</v>
      </c>
      <c r="AP158">
        <v>16.2</v>
      </c>
      <c r="AQ158">
        <v>16.2</v>
      </c>
      <c r="AR158">
        <v>16.2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 x14ac:dyDescent="0.3">
      <c r="A159" t="s">
        <v>677</v>
      </c>
      <c r="B159" t="s">
        <v>383</v>
      </c>
      <c r="C159">
        <v>16.670000000000002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16.2</v>
      </c>
      <c r="AM159">
        <v>16.2</v>
      </c>
      <c r="AN159">
        <v>16.2</v>
      </c>
      <c r="AO159">
        <v>16.2</v>
      </c>
      <c r="AP159">
        <v>16.2</v>
      </c>
      <c r="AQ159">
        <v>16.2</v>
      </c>
      <c r="AR159">
        <v>16.2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3">
      <c r="A160" t="s">
        <v>677</v>
      </c>
      <c r="B160" t="s">
        <v>384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42.52</v>
      </c>
      <c r="V160">
        <v>10</v>
      </c>
      <c r="W160">
        <v>45.6</v>
      </c>
      <c r="X160">
        <v>10</v>
      </c>
      <c r="Y160">
        <v>45.6</v>
      </c>
      <c r="Z160">
        <v>10</v>
      </c>
      <c r="AA160">
        <v>41.35</v>
      </c>
      <c r="AB160">
        <v>39.57</v>
      </c>
      <c r="AC160">
        <v>45.6</v>
      </c>
      <c r="AD160">
        <v>10</v>
      </c>
      <c r="AE160">
        <v>45.6</v>
      </c>
      <c r="AF160">
        <v>23.99</v>
      </c>
      <c r="AG160">
        <v>10</v>
      </c>
      <c r="AH160">
        <v>10</v>
      </c>
      <c r="AI160">
        <v>10</v>
      </c>
      <c r="AJ160">
        <v>10</v>
      </c>
      <c r="AK160">
        <v>25.13</v>
      </c>
      <c r="AL160">
        <v>10</v>
      </c>
      <c r="AM160">
        <v>10</v>
      </c>
      <c r="AN160">
        <v>45</v>
      </c>
      <c r="AO160">
        <v>45.6</v>
      </c>
      <c r="AP160">
        <v>39.4</v>
      </c>
      <c r="AQ160">
        <v>39.4</v>
      </c>
      <c r="AR160">
        <v>39.4</v>
      </c>
      <c r="AS160">
        <v>45</v>
      </c>
      <c r="AT160">
        <v>33.14</v>
      </c>
      <c r="AU160">
        <v>10</v>
      </c>
      <c r="AV160">
        <v>45.6</v>
      </c>
      <c r="AW160">
        <v>45.6</v>
      </c>
      <c r="AX160">
        <v>45.6</v>
      </c>
      <c r="AY160">
        <v>10</v>
      </c>
    </row>
    <row r="161" spans="1:51" x14ac:dyDescent="0.3">
      <c r="A161" t="s">
        <v>677</v>
      </c>
      <c r="B161" t="s">
        <v>385</v>
      </c>
      <c r="D161">
        <v>10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45.6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45</v>
      </c>
      <c r="AG161">
        <v>45</v>
      </c>
      <c r="AH161">
        <v>45</v>
      </c>
      <c r="AI161">
        <v>45</v>
      </c>
      <c r="AJ161">
        <v>45</v>
      </c>
      <c r="AK161">
        <v>45</v>
      </c>
      <c r="AL161">
        <v>10</v>
      </c>
      <c r="AM161">
        <v>10</v>
      </c>
      <c r="AN161">
        <v>45</v>
      </c>
      <c r="AO161">
        <v>45.6</v>
      </c>
      <c r="AP161">
        <v>45</v>
      </c>
      <c r="AQ161">
        <v>45</v>
      </c>
      <c r="AR161">
        <v>45</v>
      </c>
      <c r="AS161">
        <v>45</v>
      </c>
      <c r="AT161">
        <v>45</v>
      </c>
      <c r="AU161">
        <v>45</v>
      </c>
      <c r="AV161">
        <v>10</v>
      </c>
      <c r="AW161">
        <v>10</v>
      </c>
      <c r="AX161">
        <v>10</v>
      </c>
      <c r="AY161">
        <v>10</v>
      </c>
    </row>
    <row r="162" spans="1:51" x14ac:dyDescent="0.3">
      <c r="A162" t="s">
        <v>677</v>
      </c>
      <c r="B162" t="s">
        <v>386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10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45</v>
      </c>
      <c r="Y162">
        <v>45.6</v>
      </c>
      <c r="Z162">
        <v>45.6</v>
      </c>
      <c r="AA162">
        <v>10</v>
      </c>
      <c r="AB162">
        <v>10</v>
      </c>
      <c r="AC162">
        <v>10</v>
      </c>
      <c r="AD162">
        <v>45</v>
      </c>
      <c r="AE162">
        <v>45.6</v>
      </c>
      <c r="AF162">
        <v>45</v>
      </c>
      <c r="AG162">
        <v>45</v>
      </c>
      <c r="AH162">
        <v>45</v>
      </c>
      <c r="AI162">
        <v>45</v>
      </c>
      <c r="AJ162">
        <v>45</v>
      </c>
      <c r="AK162">
        <v>45</v>
      </c>
      <c r="AL162">
        <v>45</v>
      </c>
      <c r="AM162">
        <v>45</v>
      </c>
      <c r="AN162">
        <v>39.4</v>
      </c>
      <c r="AO162">
        <v>45.6</v>
      </c>
      <c r="AP162">
        <v>45</v>
      </c>
      <c r="AQ162">
        <v>45</v>
      </c>
      <c r="AR162">
        <v>45</v>
      </c>
      <c r="AS162">
        <v>45</v>
      </c>
      <c r="AT162">
        <v>45</v>
      </c>
      <c r="AU162">
        <v>45</v>
      </c>
      <c r="AV162">
        <v>10</v>
      </c>
      <c r="AW162">
        <v>45.6</v>
      </c>
      <c r="AX162">
        <v>10</v>
      </c>
      <c r="AY162">
        <v>10</v>
      </c>
    </row>
    <row r="163" spans="1:51" x14ac:dyDescent="0.3">
      <c r="A163" t="s">
        <v>677</v>
      </c>
      <c r="B163" t="s">
        <v>387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10</v>
      </c>
      <c r="X163">
        <v>36.380000000000003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33.83</v>
      </c>
      <c r="AE163">
        <v>10</v>
      </c>
      <c r="AF163">
        <v>10</v>
      </c>
      <c r="AG163">
        <v>40.799999999999997</v>
      </c>
      <c r="AH163">
        <v>39.68</v>
      </c>
      <c r="AI163">
        <v>38.17</v>
      </c>
      <c r="AJ163">
        <v>34.590000000000003</v>
      </c>
      <c r="AK163">
        <v>10</v>
      </c>
      <c r="AL163">
        <v>42.08</v>
      </c>
      <c r="AM163">
        <v>33.92</v>
      </c>
      <c r="AN163">
        <v>45</v>
      </c>
      <c r="AO163">
        <v>45.6</v>
      </c>
      <c r="AP163">
        <v>45</v>
      </c>
      <c r="AQ163">
        <v>45</v>
      </c>
      <c r="AR163">
        <v>45</v>
      </c>
      <c r="AS163">
        <v>39.4</v>
      </c>
      <c r="AT163">
        <v>45</v>
      </c>
      <c r="AU163">
        <v>30.72</v>
      </c>
      <c r="AV163">
        <v>10</v>
      </c>
      <c r="AW163">
        <v>10</v>
      </c>
      <c r="AX163">
        <v>10</v>
      </c>
      <c r="AY163">
        <v>10</v>
      </c>
    </row>
    <row r="164" spans="1:51" x14ac:dyDescent="0.3">
      <c r="A164" t="s">
        <v>677</v>
      </c>
      <c r="B164" t="s">
        <v>388</v>
      </c>
      <c r="C164">
        <v>125</v>
      </c>
      <c r="D164">
        <v>113</v>
      </c>
      <c r="E164">
        <v>105</v>
      </c>
      <c r="F164">
        <v>98</v>
      </c>
      <c r="G164">
        <v>91</v>
      </c>
      <c r="H164">
        <v>85</v>
      </c>
      <c r="I164">
        <v>85</v>
      </c>
      <c r="J164">
        <v>82</v>
      </c>
      <c r="K164">
        <v>79</v>
      </c>
      <c r="L164">
        <v>79</v>
      </c>
      <c r="M164">
        <v>81</v>
      </c>
      <c r="N164">
        <v>90</v>
      </c>
      <c r="O164">
        <v>80</v>
      </c>
      <c r="P164">
        <v>82</v>
      </c>
      <c r="Q164">
        <v>87</v>
      </c>
      <c r="R164">
        <v>100</v>
      </c>
      <c r="S164">
        <v>110</v>
      </c>
      <c r="T164">
        <v>123</v>
      </c>
      <c r="U164">
        <v>125</v>
      </c>
      <c r="V164">
        <v>125</v>
      </c>
      <c r="W164">
        <v>125</v>
      </c>
      <c r="X164">
        <v>125</v>
      </c>
      <c r="Y164">
        <v>125</v>
      </c>
      <c r="Z164">
        <v>125</v>
      </c>
      <c r="AA164">
        <v>125</v>
      </c>
      <c r="AB164">
        <v>125</v>
      </c>
      <c r="AC164">
        <v>125</v>
      </c>
      <c r="AD164">
        <v>125</v>
      </c>
      <c r="AE164">
        <v>125</v>
      </c>
      <c r="AF164">
        <v>125</v>
      </c>
      <c r="AG164">
        <v>125</v>
      </c>
      <c r="AH164">
        <v>125</v>
      </c>
      <c r="AI164">
        <v>125</v>
      </c>
      <c r="AJ164">
        <v>125</v>
      </c>
      <c r="AK164">
        <v>125</v>
      </c>
      <c r="AL164">
        <v>125</v>
      </c>
      <c r="AM164">
        <v>125</v>
      </c>
      <c r="AN164">
        <v>125</v>
      </c>
      <c r="AO164">
        <v>125</v>
      </c>
      <c r="AP164">
        <v>125</v>
      </c>
      <c r="AQ164">
        <v>125</v>
      </c>
      <c r="AR164">
        <v>125</v>
      </c>
      <c r="AS164">
        <v>125</v>
      </c>
      <c r="AT164">
        <v>125</v>
      </c>
      <c r="AU164">
        <v>125</v>
      </c>
      <c r="AV164">
        <v>125</v>
      </c>
      <c r="AW164">
        <v>125</v>
      </c>
      <c r="AX164">
        <v>125</v>
      </c>
      <c r="AY164">
        <v>125</v>
      </c>
    </row>
    <row r="165" spans="1:51" x14ac:dyDescent="0.3">
      <c r="A165" t="s">
        <v>677</v>
      </c>
      <c r="B165" t="s">
        <v>389</v>
      </c>
      <c r="C165">
        <v>125</v>
      </c>
      <c r="D165">
        <v>113</v>
      </c>
      <c r="E165">
        <v>105</v>
      </c>
      <c r="F165">
        <v>98</v>
      </c>
      <c r="G165">
        <v>91</v>
      </c>
      <c r="H165">
        <v>85</v>
      </c>
      <c r="I165">
        <v>85</v>
      </c>
      <c r="J165">
        <v>82</v>
      </c>
      <c r="K165">
        <v>79</v>
      </c>
      <c r="L165">
        <v>79</v>
      </c>
      <c r="M165">
        <v>81</v>
      </c>
      <c r="N165">
        <v>90</v>
      </c>
      <c r="O165">
        <v>80</v>
      </c>
      <c r="P165">
        <v>82</v>
      </c>
      <c r="Q165">
        <v>87</v>
      </c>
      <c r="R165">
        <v>100</v>
      </c>
      <c r="S165">
        <v>110</v>
      </c>
      <c r="T165">
        <v>123</v>
      </c>
      <c r="U165">
        <v>125</v>
      </c>
      <c r="V165">
        <v>125</v>
      </c>
      <c r="W165">
        <v>125</v>
      </c>
      <c r="X165">
        <v>125</v>
      </c>
      <c r="Y165">
        <v>125</v>
      </c>
      <c r="Z165">
        <v>125</v>
      </c>
      <c r="AA165">
        <v>125</v>
      </c>
      <c r="AB165">
        <v>125</v>
      </c>
      <c r="AC165">
        <v>125</v>
      </c>
      <c r="AD165">
        <v>125</v>
      </c>
      <c r="AE165">
        <v>125</v>
      </c>
      <c r="AF165">
        <v>125</v>
      </c>
      <c r="AG165">
        <v>125</v>
      </c>
      <c r="AH165">
        <v>125</v>
      </c>
      <c r="AI165">
        <v>125</v>
      </c>
      <c r="AJ165">
        <v>125</v>
      </c>
      <c r="AK165">
        <v>125</v>
      </c>
      <c r="AL165">
        <v>125</v>
      </c>
      <c r="AM165">
        <v>125</v>
      </c>
      <c r="AN165">
        <v>125</v>
      </c>
      <c r="AO165">
        <v>125</v>
      </c>
      <c r="AP165">
        <v>125</v>
      </c>
      <c r="AQ165">
        <v>125</v>
      </c>
      <c r="AR165">
        <v>125</v>
      </c>
      <c r="AS165">
        <v>125</v>
      </c>
      <c r="AT165">
        <v>125</v>
      </c>
      <c r="AU165">
        <v>125</v>
      </c>
      <c r="AV165">
        <v>125</v>
      </c>
      <c r="AW165">
        <v>125</v>
      </c>
      <c r="AX165">
        <v>125</v>
      </c>
      <c r="AY165">
        <v>125</v>
      </c>
    </row>
    <row r="166" spans="1:51" x14ac:dyDescent="0.3">
      <c r="A166" t="s">
        <v>677</v>
      </c>
      <c r="B166" t="s">
        <v>390</v>
      </c>
      <c r="C166">
        <v>130</v>
      </c>
      <c r="D166">
        <v>116.5</v>
      </c>
      <c r="E166">
        <v>112.5</v>
      </c>
      <c r="F166">
        <v>102</v>
      </c>
      <c r="G166">
        <v>95.5</v>
      </c>
      <c r="H166">
        <v>92.5</v>
      </c>
      <c r="I166">
        <v>86</v>
      </c>
      <c r="J166">
        <v>86</v>
      </c>
      <c r="K166">
        <v>81</v>
      </c>
      <c r="L166">
        <v>80</v>
      </c>
      <c r="M166">
        <v>87.5</v>
      </c>
      <c r="N166">
        <v>98.5</v>
      </c>
      <c r="O166">
        <v>86</v>
      </c>
      <c r="P166">
        <v>90.5</v>
      </c>
      <c r="Q166">
        <v>91.5</v>
      </c>
      <c r="R166">
        <v>103.5</v>
      </c>
      <c r="S166">
        <v>117.5</v>
      </c>
      <c r="T166">
        <v>129.5</v>
      </c>
      <c r="U166">
        <v>130</v>
      </c>
      <c r="V166">
        <v>130</v>
      </c>
      <c r="W166">
        <v>130</v>
      </c>
      <c r="X166">
        <v>130</v>
      </c>
      <c r="Y166">
        <v>130</v>
      </c>
      <c r="Z166">
        <v>130</v>
      </c>
      <c r="AA166">
        <v>130</v>
      </c>
      <c r="AB166">
        <v>130</v>
      </c>
      <c r="AC166">
        <v>130</v>
      </c>
      <c r="AD166">
        <v>130</v>
      </c>
      <c r="AE166">
        <v>130</v>
      </c>
      <c r="AF166">
        <v>130</v>
      </c>
      <c r="AG166">
        <v>130</v>
      </c>
      <c r="AH166">
        <v>130</v>
      </c>
      <c r="AI166">
        <v>130</v>
      </c>
      <c r="AJ166">
        <v>130</v>
      </c>
      <c r="AK166">
        <v>130</v>
      </c>
      <c r="AL166">
        <v>130</v>
      </c>
      <c r="AM166">
        <v>130</v>
      </c>
      <c r="AN166">
        <v>130</v>
      </c>
      <c r="AO166">
        <v>130</v>
      </c>
      <c r="AP166">
        <v>130</v>
      </c>
      <c r="AQ166">
        <v>130</v>
      </c>
      <c r="AR166">
        <v>130</v>
      </c>
      <c r="AS166">
        <v>130</v>
      </c>
      <c r="AT166">
        <v>130</v>
      </c>
      <c r="AU166">
        <v>130</v>
      </c>
      <c r="AV166">
        <v>130</v>
      </c>
      <c r="AW166">
        <v>130</v>
      </c>
      <c r="AX166">
        <v>130</v>
      </c>
      <c r="AY166">
        <v>130</v>
      </c>
    </row>
    <row r="167" spans="1:51" x14ac:dyDescent="0.3">
      <c r="A167" t="s">
        <v>677</v>
      </c>
      <c r="B167" t="s">
        <v>391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60</v>
      </c>
      <c r="W167">
        <v>60</v>
      </c>
      <c r="X167">
        <v>60</v>
      </c>
      <c r="Y167">
        <v>60</v>
      </c>
      <c r="Z167">
        <v>60</v>
      </c>
      <c r="AA167">
        <v>60</v>
      </c>
      <c r="AB167">
        <v>60</v>
      </c>
      <c r="AC167">
        <v>60</v>
      </c>
      <c r="AD167">
        <v>60</v>
      </c>
      <c r="AE167">
        <v>60</v>
      </c>
      <c r="AF167">
        <v>60</v>
      </c>
      <c r="AG167">
        <v>60</v>
      </c>
      <c r="AH167">
        <v>60</v>
      </c>
      <c r="AI167">
        <v>60</v>
      </c>
      <c r="AJ167">
        <v>60</v>
      </c>
      <c r="AK167">
        <v>60</v>
      </c>
      <c r="AL167">
        <v>15</v>
      </c>
      <c r="AM167">
        <v>15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">
      <c r="A168" t="s">
        <v>677</v>
      </c>
      <c r="B168" t="s">
        <v>392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3">
      <c r="A169" t="s">
        <v>677</v>
      </c>
      <c r="B169" t="s">
        <v>393</v>
      </c>
      <c r="C169">
        <v>22.2</v>
      </c>
    </row>
    <row r="170" spans="1:51" x14ac:dyDescent="0.3">
      <c r="A170" t="s">
        <v>677</v>
      </c>
      <c r="B170" t="s">
        <v>394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50</v>
      </c>
      <c r="P170">
        <v>50</v>
      </c>
      <c r="Q170">
        <v>50</v>
      </c>
      <c r="R170">
        <v>50</v>
      </c>
      <c r="S170">
        <v>50</v>
      </c>
      <c r="T170">
        <v>50</v>
      </c>
      <c r="U170">
        <v>50</v>
      </c>
      <c r="V170">
        <v>50</v>
      </c>
      <c r="W170">
        <v>50</v>
      </c>
      <c r="X170">
        <v>50</v>
      </c>
      <c r="Y170">
        <v>50</v>
      </c>
      <c r="Z170">
        <v>50</v>
      </c>
      <c r="AA170">
        <v>50</v>
      </c>
      <c r="AB170">
        <v>50</v>
      </c>
      <c r="AC170">
        <v>50</v>
      </c>
      <c r="AD170">
        <v>50</v>
      </c>
      <c r="AE170">
        <v>50</v>
      </c>
      <c r="AF170">
        <v>50</v>
      </c>
      <c r="AG170">
        <v>50</v>
      </c>
      <c r="AH170">
        <v>50</v>
      </c>
      <c r="AI170">
        <v>50</v>
      </c>
      <c r="AJ170">
        <v>50</v>
      </c>
      <c r="AK170">
        <v>50</v>
      </c>
      <c r="AL170">
        <v>50</v>
      </c>
      <c r="AM170">
        <v>50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">
      <c r="A171" t="s">
        <v>677</v>
      </c>
      <c r="B171" t="s">
        <v>395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 x14ac:dyDescent="0.3">
      <c r="A172" t="s">
        <v>677</v>
      </c>
      <c r="B172" t="s">
        <v>397</v>
      </c>
      <c r="D172">
        <v>28326.66</v>
      </c>
      <c r="E172">
        <v>28224.720000000001</v>
      </c>
      <c r="F172">
        <v>28066.77</v>
      </c>
      <c r="G172">
        <v>27734.62</v>
      </c>
      <c r="H172">
        <v>27520.35</v>
      </c>
      <c r="I172">
        <v>27328.49</v>
      </c>
      <c r="J172">
        <v>27159.96</v>
      </c>
      <c r="K172">
        <v>27322.25</v>
      </c>
      <c r="L172">
        <v>27861.99</v>
      </c>
      <c r="M172">
        <v>28412.41</v>
      </c>
      <c r="N172">
        <v>29074.34</v>
      </c>
      <c r="O172">
        <v>28543.25</v>
      </c>
      <c r="P172">
        <v>27974.65</v>
      </c>
      <c r="Q172">
        <v>28029.54</v>
      </c>
      <c r="R172">
        <v>29163.66</v>
      </c>
      <c r="S172">
        <v>30175.64</v>
      </c>
      <c r="T172">
        <v>31144.38</v>
      </c>
      <c r="U172">
        <v>31773.17</v>
      </c>
      <c r="V172">
        <v>32198.94</v>
      </c>
      <c r="W172">
        <v>32512.19</v>
      </c>
      <c r="X172">
        <v>32723.599999999999</v>
      </c>
      <c r="Y172">
        <v>32766.62</v>
      </c>
      <c r="Z172">
        <v>32549.27</v>
      </c>
      <c r="AA172">
        <v>31757.08</v>
      </c>
      <c r="AB172">
        <v>31673.98</v>
      </c>
      <c r="AC172">
        <v>32558.43</v>
      </c>
      <c r="AD172">
        <v>33718.379999999997</v>
      </c>
      <c r="AE172">
        <v>33877.01</v>
      </c>
      <c r="AF172">
        <v>33912.29</v>
      </c>
      <c r="AG172">
        <v>33868.129999999997</v>
      </c>
      <c r="AH172">
        <v>33846.04</v>
      </c>
      <c r="AI172">
        <v>33488.769999999997</v>
      </c>
      <c r="AJ172">
        <v>33223.54</v>
      </c>
      <c r="AK172">
        <v>33053.51</v>
      </c>
      <c r="AL172">
        <v>33669.620000000003</v>
      </c>
      <c r="AM172">
        <v>34697.01</v>
      </c>
      <c r="AN172">
        <v>34484.93</v>
      </c>
      <c r="AO172">
        <v>34138.879999999997</v>
      </c>
      <c r="AP172">
        <v>33951.410000000003</v>
      </c>
      <c r="AQ172">
        <v>33659.440000000002</v>
      </c>
      <c r="AR172">
        <v>33352.35</v>
      </c>
      <c r="AS172">
        <v>32911.019999999997</v>
      </c>
      <c r="AT172">
        <v>32206.36</v>
      </c>
      <c r="AU172">
        <v>31502.47</v>
      </c>
      <c r="AV172">
        <v>30867.5</v>
      </c>
      <c r="AW172">
        <v>30165.01</v>
      </c>
      <c r="AX172">
        <v>29659.55</v>
      </c>
      <c r="AY172">
        <v>29184.32</v>
      </c>
    </row>
    <row r="173" spans="1:51" x14ac:dyDescent="0.3">
      <c r="A173" t="s">
        <v>678</v>
      </c>
      <c r="B173" t="s">
        <v>255</v>
      </c>
      <c r="C173">
        <v>371.5</v>
      </c>
      <c r="D173">
        <v>284.2</v>
      </c>
      <c r="E173">
        <v>284.2</v>
      </c>
      <c r="F173">
        <v>284.2</v>
      </c>
      <c r="G173">
        <v>284.2</v>
      </c>
      <c r="H173">
        <v>284.2</v>
      </c>
      <c r="I173">
        <v>284.2</v>
      </c>
      <c r="J173">
        <v>284.2</v>
      </c>
      <c r="K173">
        <v>284.2</v>
      </c>
      <c r="L173">
        <v>284.2</v>
      </c>
      <c r="M173">
        <v>284.2</v>
      </c>
      <c r="N173">
        <v>284.2</v>
      </c>
      <c r="O173">
        <v>362.4</v>
      </c>
      <c r="P173">
        <v>362.4</v>
      </c>
      <c r="Q173">
        <v>362.4</v>
      </c>
      <c r="R173">
        <v>362.4</v>
      </c>
      <c r="S173">
        <v>320</v>
      </c>
      <c r="T173">
        <v>320</v>
      </c>
      <c r="U173">
        <v>362.6</v>
      </c>
      <c r="V173">
        <v>362.6</v>
      </c>
      <c r="W173">
        <v>362.6</v>
      </c>
      <c r="X173">
        <v>362.6</v>
      </c>
      <c r="Y173">
        <v>362.6</v>
      </c>
      <c r="Z173">
        <v>362.6</v>
      </c>
      <c r="AA173">
        <v>362.6</v>
      </c>
      <c r="AB173">
        <v>362.6</v>
      </c>
      <c r="AC173">
        <v>362.6</v>
      </c>
      <c r="AD173">
        <v>362.6</v>
      </c>
      <c r="AE173">
        <v>362.6</v>
      </c>
      <c r="AF173">
        <v>362.6</v>
      </c>
      <c r="AG173">
        <v>362.6</v>
      </c>
      <c r="AH173">
        <v>362.6</v>
      </c>
      <c r="AI173">
        <v>362.6</v>
      </c>
      <c r="AJ173">
        <v>362.6</v>
      </c>
      <c r="AK173">
        <v>362.6</v>
      </c>
      <c r="AL173">
        <v>362.6</v>
      </c>
      <c r="AM173">
        <v>362.6</v>
      </c>
      <c r="AN173">
        <v>362.6</v>
      </c>
      <c r="AO173">
        <v>362.6</v>
      </c>
      <c r="AP173">
        <v>362.6</v>
      </c>
      <c r="AQ173">
        <v>362.6</v>
      </c>
      <c r="AR173">
        <v>362.6</v>
      </c>
      <c r="AS173">
        <v>362.6</v>
      </c>
      <c r="AT173">
        <v>326.2</v>
      </c>
      <c r="AU173">
        <v>362.4</v>
      </c>
      <c r="AV173">
        <v>362.4</v>
      </c>
      <c r="AW173">
        <v>362.4</v>
      </c>
      <c r="AX173">
        <v>362.4</v>
      </c>
      <c r="AY173">
        <v>362.4</v>
      </c>
    </row>
    <row r="174" spans="1:51" x14ac:dyDescent="0.3">
      <c r="A174" t="s">
        <v>678</v>
      </c>
      <c r="B174" t="s">
        <v>256</v>
      </c>
      <c r="C174">
        <v>371.5</v>
      </c>
      <c r="D174">
        <v>279.8</v>
      </c>
      <c r="E174">
        <v>284.2</v>
      </c>
      <c r="F174">
        <v>284.2</v>
      </c>
      <c r="G174">
        <v>284.2</v>
      </c>
      <c r="H174">
        <v>284.2</v>
      </c>
      <c r="I174">
        <v>284.2</v>
      </c>
      <c r="J174">
        <v>284.2</v>
      </c>
      <c r="K174">
        <v>284.2</v>
      </c>
      <c r="L174">
        <v>284.2</v>
      </c>
      <c r="M174">
        <v>284.2</v>
      </c>
      <c r="N174">
        <v>284.2</v>
      </c>
      <c r="O174">
        <v>362.6</v>
      </c>
      <c r="P174">
        <v>362.6</v>
      </c>
      <c r="Q174">
        <v>362.6</v>
      </c>
      <c r="R174">
        <v>362.6</v>
      </c>
      <c r="S174">
        <v>323.5</v>
      </c>
      <c r="T174">
        <v>323.5</v>
      </c>
      <c r="U174">
        <v>362.6</v>
      </c>
      <c r="V174">
        <v>362.6</v>
      </c>
      <c r="W174">
        <v>362.6</v>
      </c>
      <c r="X174">
        <v>362.6</v>
      </c>
      <c r="Y174">
        <v>362.6</v>
      </c>
      <c r="Z174">
        <v>362.6</v>
      </c>
      <c r="AA174">
        <v>362.6</v>
      </c>
      <c r="AB174">
        <v>362.6</v>
      </c>
      <c r="AC174">
        <v>339.4</v>
      </c>
      <c r="AD174">
        <v>339.4</v>
      </c>
      <c r="AE174">
        <v>339.4</v>
      </c>
      <c r="AF174">
        <v>339.4</v>
      </c>
      <c r="AG174">
        <v>339.4</v>
      </c>
      <c r="AH174">
        <v>339.4</v>
      </c>
      <c r="AI174">
        <v>339.4</v>
      </c>
      <c r="AJ174">
        <v>339.4</v>
      </c>
      <c r="AK174">
        <v>339.4</v>
      </c>
      <c r="AL174">
        <v>339.4</v>
      </c>
      <c r="AM174">
        <v>339.4</v>
      </c>
      <c r="AN174">
        <v>339.4</v>
      </c>
      <c r="AO174">
        <v>339.4</v>
      </c>
      <c r="AP174">
        <v>339.4</v>
      </c>
      <c r="AQ174">
        <v>339.4</v>
      </c>
      <c r="AR174">
        <v>339.4</v>
      </c>
      <c r="AS174">
        <v>362.6</v>
      </c>
      <c r="AT174">
        <v>320</v>
      </c>
      <c r="AU174">
        <v>362.6</v>
      </c>
      <c r="AV174">
        <v>362.6</v>
      </c>
      <c r="AW174">
        <v>362.6</v>
      </c>
      <c r="AX174">
        <v>362.6</v>
      </c>
      <c r="AY174">
        <v>362.6</v>
      </c>
    </row>
    <row r="175" spans="1:51" x14ac:dyDescent="0.3">
      <c r="A175" t="s">
        <v>678</v>
      </c>
      <c r="B175" t="s">
        <v>257</v>
      </c>
      <c r="C175">
        <v>371.5</v>
      </c>
      <c r="D175">
        <v>290</v>
      </c>
      <c r="E175">
        <v>290</v>
      </c>
      <c r="F175">
        <v>290</v>
      </c>
      <c r="G175">
        <v>290</v>
      </c>
      <c r="H175">
        <v>290</v>
      </c>
      <c r="I175">
        <v>290</v>
      </c>
      <c r="J175">
        <v>290</v>
      </c>
      <c r="K175">
        <v>290</v>
      </c>
      <c r="L175">
        <v>290</v>
      </c>
      <c r="M175">
        <v>290</v>
      </c>
      <c r="N175">
        <v>290</v>
      </c>
      <c r="O175">
        <v>290</v>
      </c>
      <c r="P175">
        <v>290</v>
      </c>
      <c r="Q175">
        <v>290</v>
      </c>
      <c r="R175">
        <v>290</v>
      </c>
      <c r="S175">
        <v>371.5</v>
      </c>
      <c r="T175">
        <v>371.5</v>
      </c>
      <c r="U175">
        <v>371.5</v>
      </c>
      <c r="V175">
        <v>371.5</v>
      </c>
      <c r="W175">
        <v>371.5</v>
      </c>
      <c r="X175">
        <v>371.5</v>
      </c>
      <c r="Y175">
        <v>371.5</v>
      </c>
      <c r="Z175">
        <v>371.5</v>
      </c>
      <c r="AA175">
        <v>290</v>
      </c>
      <c r="AB175">
        <v>290</v>
      </c>
      <c r="AC175">
        <v>290</v>
      </c>
      <c r="AD175">
        <v>290</v>
      </c>
      <c r="AE175">
        <v>290</v>
      </c>
      <c r="AF175">
        <v>290</v>
      </c>
      <c r="AG175">
        <v>290</v>
      </c>
      <c r="AH175">
        <v>290</v>
      </c>
      <c r="AI175">
        <v>290</v>
      </c>
      <c r="AJ175">
        <v>290</v>
      </c>
      <c r="AK175">
        <v>290</v>
      </c>
      <c r="AL175">
        <v>290</v>
      </c>
      <c r="AM175">
        <v>290</v>
      </c>
      <c r="AN175">
        <v>290</v>
      </c>
      <c r="AO175">
        <v>290</v>
      </c>
      <c r="AP175">
        <v>290</v>
      </c>
      <c r="AQ175">
        <v>290</v>
      </c>
      <c r="AR175">
        <v>290</v>
      </c>
      <c r="AS175">
        <v>290</v>
      </c>
      <c r="AT175">
        <v>290</v>
      </c>
      <c r="AU175">
        <v>290</v>
      </c>
      <c r="AV175">
        <v>290</v>
      </c>
      <c r="AW175">
        <v>290</v>
      </c>
      <c r="AX175">
        <v>290</v>
      </c>
      <c r="AY175">
        <v>290</v>
      </c>
    </row>
    <row r="176" spans="1:51" x14ac:dyDescent="0.3">
      <c r="A176" t="s">
        <v>678</v>
      </c>
      <c r="B176" t="s">
        <v>258</v>
      </c>
      <c r="C176">
        <v>575.20000000000005</v>
      </c>
      <c r="D176">
        <v>441</v>
      </c>
      <c r="E176">
        <v>441</v>
      </c>
      <c r="F176">
        <v>441</v>
      </c>
      <c r="G176">
        <v>441</v>
      </c>
      <c r="H176">
        <v>441</v>
      </c>
      <c r="I176">
        <v>441</v>
      </c>
      <c r="J176">
        <v>441</v>
      </c>
      <c r="K176">
        <v>441</v>
      </c>
      <c r="L176">
        <v>441</v>
      </c>
      <c r="M176">
        <v>441</v>
      </c>
      <c r="N176">
        <v>390</v>
      </c>
      <c r="O176">
        <v>300</v>
      </c>
      <c r="P176">
        <v>300</v>
      </c>
      <c r="Q176">
        <v>300</v>
      </c>
      <c r="R176">
        <v>300</v>
      </c>
      <c r="S176">
        <v>300</v>
      </c>
      <c r="T176">
        <v>300</v>
      </c>
      <c r="U176">
        <v>336.3</v>
      </c>
      <c r="V176">
        <v>336.3</v>
      </c>
      <c r="W176">
        <v>336.3</v>
      </c>
      <c r="X176">
        <v>336.3</v>
      </c>
      <c r="Y176">
        <v>336.3</v>
      </c>
      <c r="Z176">
        <v>336.3</v>
      </c>
      <c r="AA176">
        <v>351</v>
      </c>
      <c r="AB176">
        <v>441</v>
      </c>
      <c r="AC176">
        <v>441</v>
      </c>
      <c r="AD176">
        <v>441</v>
      </c>
      <c r="AE176">
        <v>441</v>
      </c>
      <c r="AF176">
        <v>441</v>
      </c>
      <c r="AG176">
        <v>441</v>
      </c>
      <c r="AH176">
        <v>441</v>
      </c>
      <c r="AI176">
        <v>441</v>
      </c>
      <c r="AJ176">
        <v>441</v>
      </c>
      <c r="AK176">
        <v>441</v>
      </c>
      <c r="AL176">
        <v>441</v>
      </c>
      <c r="AM176">
        <v>441</v>
      </c>
      <c r="AN176">
        <v>441</v>
      </c>
      <c r="AO176">
        <v>441</v>
      </c>
      <c r="AP176">
        <v>441</v>
      </c>
      <c r="AQ176">
        <v>441</v>
      </c>
      <c r="AR176">
        <v>441</v>
      </c>
      <c r="AS176">
        <v>417.8</v>
      </c>
      <c r="AT176">
        <v>327.8</v>
      </c>
      <c r="AU176">
        <v>300</v>
      </c>
      <c r="AV176">
        <v>300</v>
      </c>
      <c r="AW176">
        <v>300</v>
      </c>
      <c r="AX176">
        <v>300</v>
      </c>
      <c r="AY176">
        <v>300</v>
      </c>
    </row>
    <row r="177" spans="1:51" x14ac:dyDescent="0.3">
      <c r="A177" t="s">
        <v>678</v>
      </c>
      <c r="B177" t="s">
        <v>259</v>
      </c>
      <c r="C177">
        <v>575.20000000000005</v>
      </c>
      <c r="D177">
        <v>300</v>
      </c>
      <c r="E177">
        <v>300</v>
      </c>
      <c r="F177">
        <v>300</v>
      </c>
      <c r="G177">
        <v>300</v>
      </c>
      <c r="H177">
        <v>300</v>
      </c>
      <c r="I177">
        <v>300</v>
      </c>
      <c r="J177">
        <v>300</v>
      </c>
      <c r="K177">
        <v>300</v>
      </c>
      <c r="L177">
        <v>300</v>
      </c>
      <c r="M177">
        <v>300</v>
      </c>
      <c r="N177">
        <v>300</v>
      </c>
      <c r="O177">
        <v>300</v>
      </c>
      <c r="P177">
        <v>300</v>
      </c>
      <c r="Q177">
        <v>300</v>
      </c>
      <c r="R177">
        <v>300</v>
      </c>
      <c r="S177">
        <v>300</v>
      </c>
      <c r="T177">
        <v>300</v>
      </c>
      <c r="U177">
        <v>441</v>
      </c>
      <c r="V177">
        <v>441</v>
      </c>
      <c r="W177">
        <v>441</v>
      </c>
      <c r="X177">
        <v>441</v>
      </c>
      <c r="Y177">
        <v>441</v>
      </c>
      <c r="Z177">
        <v>441</v>
      </c>
      <c r="AA177">
        <v>300</v>
      </c>
      <c r="AB177">
        <v>300</v>
      </c>
      <c r="AC177">
        <v>441</v>
      </c>
      <c r="AD177">
        <v>441</v>
      </c>
      <c r="AE177">
        <v>441</v>
      </c>
      <c r="AF177">
        <v>441</v>
      </c>
      <c r="AG177">
        <v>441</v>
      </c>
      <c r="AH177">
        <v>441</v>
      </c>
      <c r="AI177">
        <v>441</v>
      </c>
      <c r="AJ177">
        <v>441</v>
      </c>
      <c r="AK177">
        <v>441</v>
      </c>
      <c r="AL177">
        <v>441</v>
      </c>
      <c r="AM177">
        <v>441</v>
      </c>
      <c r="AN177">
        <v>441</v>
      </c>
      <c r="AO177">
        <v>441</v>
      </c>
      <c r="AP177">
        <v>441</v>
      </c>
      <c r="AQ177">
        <v>441</v>
      </c>
      <c r="AR177">
        <v>441</v>
      </c>
      <c r="AS177">
        <v>441</v>
      </c>
      <c r="AT177">
        <v>300</v>
      </c>
      <c r="AU177">
        <v>300</v>
      </c>
      <c r="AV177">
        <v>300</v>
      </c>
      <c r="AW177">
        <v>300</v>
      </c>
      <c r="AX177">
        <v>300</v>
      </c>
      <c r="AY177">
        <v>300</v>
      </c>
    </row>
    <row r="178" spans="1:51" x14ac:dyDescent="0.3">
      <c r="A178" t="s">
        <v>678</v>
      </c>
      <c r="B178" t="s">
        <v>260</v>
      </c>
      <c r="C178">
        <v>575.20000000000005</v>
      </c>
      <c r="D178">
        <v>320</v>
      </c>
      <c r="E178">
        <v>315.60000000000002</v>
      </c>
      <c r="F178">
        <v>315.60000000000002</v>
      </c>
      <c r="G178">
        <v>315.60000000000002</v>
      </c>
      <c r="H178">
        <v>315.60000000000002</v>
      </c>
      <c r="I178">
        <v>315.60000000000002</v>
      </c>
      <c r="J178">
        <v>315.60000000000002</v>
      </c>
      <c r="K178">
        <v>315.60000000000002</v>
      </c>
      <c r="L178">
        <v>315.60000000000002</v>
      </c>
      <c r="M178">
        <v>315.60000000000002</v>
      </c>
      <c r="N178">
        <v>366.6</v>
      </c>
      <c r="O178">
        <v>300</v>
      </c>
      <c r="P178">
        <v>300</v>
      </c>
      <c r="Q178">
        <v>300</v>
      </c>
      <c r="R178">
        <v>300</v>
      </c>
      <c r="S178">
        <v>300</v>
      </c>
      <c r="T178">
        <v>300</v>
      </c>
      <c r="U178">
        <v>441</v>
      </c>
      <c r="V178">
        <v>441</v>
      </c>
      <c r="W178">
        <v>441</v>
      </c>
      <c r="X178">
        <v>441</v>
      </c>
      <c r="Y178">
        <v>441</v>
      </c>
      <c r="Z178">
        <v>441</v>
      </c>
      <c r="AA178">
        <v>441</v>
      </c>
      <c r="AB178">
        <v>351</v>
      </c>
      <c r="AC178">
        <v>441</v>
      </c>
      <c r="AD178">
        <v>441</v>
      </c>
      <c r="AE178">
        <v>441</v>
      </c>
      <c r="AF178">
        <v>441</v>
      </c>
      <c r="AG178">
        <v>441</v>
      </c>
      <c r="AH178">
        <v>441</v>
      </c>
      <c r="AI178">
        <v>441</v>
      </c>
      <c r="AJ178">
        <v>441</v>
      </c>
      <c r="AK178">
        <v>441</v>
      </c>
      <c r="AL178">
        <v>441</v>
      </c>
      <c r="AM178">
        <v>441</v>
      </c>
      <c r="AN178">
        <v>441</v>
      </c>
      <c r="AO178">
        <v>441</v>
      </c>
      <c r="AP178">
        <v>441</v>
      </c>
      <c r="AQ178">
        <v>441</v>
      </c>
      <c r="AR178">
        <v>441</v>
      </c>
      <c r="AS178">
        <v>441</v>
      </c>
      <c r="AT178">
        <v>351</v>
      </c>
      <c r="AU178">
        <v>300</v>
      </c>
      <c r="AV178">
        <v>300</v>
      </c>
      <c r="AW178">
        <v>300</v>
      </c>
      <c r="AX178">
        <v>300</v>
      </c>
      <c r="AY178">
        <v>300</v>
      </c>
    </row>
    <row r="179" spans="1:51" x14ac:dyDescent="0.3">
      <c r="A179" t="s">
        <v>678</v>
      </c>
      <c r="B179" t="s">
        <v>261</v>
      </c>
      <c r="D179">
        <v>239.37</v>
      </c>
      <c r="E179">
        <v>251.41</v>
      </c>
      <c r="F179">
        <v>251.97</v>
      </c>
      <c r="G179">
        <v>214.84</v>
      </c>
      <c r="H179">
        <v>204.4</v>
      </c>
      <c r="I179">
        <v>204.4</v>
      </c>
      <c r="J179">
        <v>204.4</v>
      </c>
      <c r="K179">
        <v>204.4</v>
      </c>
      <c r="L179">
        <v>204.4</v>
      </c>
      <c r="M179">
        <v>204.4</v>
      </c>
      <c r="N179">
        <v>252.58</v>
      </c>
      <c r="O179">
        <v>252.58</v>
      </c>
      <c r="P179">
        <v>252.58</v>
      </c>
      <c r="Q179">
        <v>243.2</v>
      </c>
      <c r="R179">
        <v>327.73</v>
      </c>
      <c r="S179">
        <v>354.78</v>
      </c>
      <c r="T179">
        <v>379.63</v>
      </c>
      <c r="U179">
        <v>388.36</v>
      </c>
      <c r="V179">
        <v>476.99</v>
      </c>
      <c r="W179">
        <v>485.17</v>
      </c>
      <c r="X179">
        <v>544.16999999999996</v>
      </c>
      <c r="Y179">
        <v>517.64</v>
      </c>
      <c r="Z179">
        <v>510.74</v>
      </c>
      <c r="AA179">
        <v>495.16</v>
      </c>
      <c r="AB179">
        <v>483.2</v>
      </c>
      <c r="AC179">
        <v>503.73</v>
      </c>
      <c r="AD179">
        <v>547.5</v>
      </c>
      <c r="AE179">
        <v>547.5</v>
      </c>
      <c r="AF179">
        <v>547.5</v>
      </c>
      <c r="AG179">
        <v>547.5</v>
      </c>
      <c r="AH179">
        <v>547.5</v>
      </c>
      <c r="AI179">
        <v>470.02</v>
      </c>
      <c r="AJ179">
        <v>386.85</v>
      </c>
      <c r="AK179">
        <v>380.61</v>
      </c>
      <c r="AL179">
        <v>354.78</v>
      </c>
      <c r="AM179">
        <v>386.9</v>
      </c>
      <c r="AN179">
        <v>381.06</v>
      </c>
      <c r="AO179">
        <v>354.78</v>
      </c>
      <c r="AP179">
        <v>354.78</v>
      </c>
      <c r="AQ179">
        <v>354.78</v>
      </c>
      <c r="AR179">
        <v>381.06</v>
      </c>
      <c r="AS179">
        <v>380.48</v>
      </c>
      <c r="AT179">
        <v>374.94</v>
      </c>
      <c r="AU179">
        <v>354.78</v>
      </c>
      <c r="AV179">
        <v>258.11</v>
      </c>
      <c r="AW179">
        <v>252.58</v>
      </c>
      <c r="AX179">
        <v>252.58</v>
      </c>
      <c r="AY179">
        <v>252.26</v>
      </c>
    </row>
    <row r="180" spans="1:51" x14ac:dyDescent="0.3">
      <c r="A180" t="s">
        <v>678</v>
      </c>
      <c r="B180" t="s">
        <v>262</v>
      </c>
      <c r="D180">
        <v>251.47</v>
      </c>
      <c r="E180">
        <v>204.4</v>
      </c>
      <c r="F180">
        <v>204.4</v>
      </c>
      <c r="G180">
        <v>210.11</v>
      </c>
      <c r="H180">
        <v>204.4</v>
      </c>
      <c r="I180">
        <v>204.4</v>
      </c>
      <c r="J180">
        <v>204.4</v>
      </c>
      <c r="K180">
        <v>204.4</v>
      </c>
      <c r="L180">
        <v>204.4</v>
      </c>
      <c r="M180">
        <v>204.4</v>
      </c>
      <c r="N180">
        <v>217.31</v>
      </c>
      <c r="O180">
        <v>220.02</v>
      </c>
      <c r="P180">
        <v>252.58</v>
      </c>
      <c r="Q180">
        <v>240.79</v>
      </c>
      <c r="R180">
        <v>252.58</v>
      </c>
      <c r="S180">
        <v>252.58</v>
      </c>
      <c r="T180">
        <v>261.08</v>
      </c>
      <c r="U180">
        <v>332.88</v>
      </c>
      <c r="V180">
        <v>296.95</v>
      </c>
      <c r="W180">
        <v>336.15</v>
      </c>
      <c r="X180">
        <v>364.96</v>
      </c>
      <c r="Y180">
        <v>359.1</v>
      </c>
      <c r="Z180">
        <v>359.16</v>
      </c>
      <c r="AA180">
        <v>359.12</v>
      </c>
      <c r="AB180">
        <v>345.23</v>
      </c>
      <c r="AC180">
        <v>358.95</v>
      </c>
      <c r="AD180">
        <v>365</v>
      </c>
      <c r="AE180">
        <v>365</v>
      </c>
      <c r="AF180">
        <v>365</v>
      </c>
      <c r="AG180">
        <v>365</v>
      </c>
      <c r="AH180">
        <v>365</v>
      </c>
      <c r="AI180">
        <v>358.55</v>
      </c>
      <c r="AJ180">
        <v>315.01</v>
      </c>
      <c r="AK180">
        <v>277.45999999999998</v>
      </c>
      <c r="AL180">
        <v>252.58</v>
      </c>
      <c r="AM180">
        <v>284.7</v>
      </c>
      <c r="AN180">
        <v>278.86</v>
      </c>
      <c r="AO180">
        <v>252.58</v>
      </c>
      <c r="AP180">
        <v>252.58</v>
      </c>
      <c r="AQ180">
        <v>252.58</v>
      </c>
      <c r="AR180">
        <v>262.63</v>
      </c>
      <c r="AS180">
        <v>277.27</v>
      </c>
      <c r="AT180">
        <v>252.58</v>
      </c>
      <c r="AU180">
        <v>252.58</v>
      </c>
      <c r="AV180">
        <v>256.26</v>
      </c>
      <c r="AW180">
        <v>252.58</v>
      </c>
      <c r="AX180">
        <v>252.58</v>
      </c>
      <c r="AY180">
        <v>250.56</v>
      </c>
    </row>
    <row r="181" spans="1:51" x14ac:dyDescent="0.3">
      <c r="A181" t="s">
        <v>678</v>
      </c>
      <c r="B181" t="s">
        <v>263</v>
      </c>
      <c r="D181">
        <v>539.23</v>
      </c>
      <c r="E181">
        <v>537.53</v>
      </c>
      <c r="F181">
        <v>532.91999999999996</v>
      </c>
      <c r="G181">
        <v>539.23</v>
      </c>
      <c r="H181">
        <v>518.24</v>
      </c>
      <c r="I181">
        <v>522.64</v>
      </c>
      <c r="J181">
        <v>493.89</v>
      </c>
      <c r="K181">
        <v>520.36</v>
      </c>
      <c r="L181">
        <v>521.80999999999995</v>
      </c>
      <c r="M181">
        <v>521.11</v>
      </c>
      <c r="N181">
        <v>539.23</v>
      </c>
      <c r="O181">
        <v>539.23</v>
      </c>
      <c r="P181">
        <v>541.26</v>
      </c>
      <c r="Q181">
        <v>619.73</v>
      </c>
      <c r="R181">
        <v>627.66999999999996</v>
      </c>
      <c r="S181">
        <v>677.14</v>
      </c>
      <c r="T181">
        <v>720</v>
      </c>
      <c r="U181">
        <v>720</v>
      </c>
      <c r="V181">
        <v>720</v>
      </c>
      <c r="W181">
        <v>720</v>
      </c>
      <c r="X181">
        <v>720</v>
      </c>
      <c r="Y181">
        <v>720</v>
      </c>
      <c r="Z181">
        <v>720</v>
      </c>
      <c r="AA181">
        <v>720</v>
      </c>
      <c r="AB181">
        <v>720</v>
      </c>
      <c r="AC181">
        <v>720</v>
      </c>
      <c r="AD181">
        <v>720</v>
      </c>
      <c r="AE181">
        <v>720</v>
      </c>
      <c r="AF181">
        <v>720</v>
      </c>
      <c r="AG181">
        <v>720</v>
      </c>
      <c r="AH181">
        <v>720</v>
      </c>
      <c r="AI181">
        <v>720</v>
      </c>
      <c r="AJ181">
        <v>720</v>
      </c>
      <c r="AK181">
        <v>720</v>
      </c>
      <c r="AL181">
        <v>694.4</v>
      </c>
      <c r="AM181">
        <v>720</v>
      </c>
      <c r="AN181">
        <v>720</v>
      </c>
      <c r="AO181">
        <v>713.87</v>
      </c>
      <c r="AP181">
        <v>712.31</v>
      </c>
      <c r="AQ181">
        <v>713.87</v>
      </c>
      <c r="AR181">
        <v>720</v>
      </c>
      <c r="AS181">
        <v>720</v>
      </c>
      <c r="AT181">
        <v>717.46</v>
      </c>
      <c r="AU181">
        <v>697.13</v>
      </c>
      <c r="AV181">
        <v>720</v>
      </c>
      <c r="AW181">
        <v>697.62</v>
      </c>
      <c r="AX181">
        <v>652.91999999999996</v>
      </c>
      <c r="AY181">
        <v>626.46</v>
      </c>
    </row>
    <row r="182" spans="1:51" x14ac:dyDescent="0.3">
      <c r="A182" t="s">
        <v>678</v>
      </c>
      <c r="B182" t="s">
        <v>264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53.74</v>
      </c>
      <c r="AJ182">
        <v>162.41999999999999</v>
      </c>
      <c r="AK182">
        <v>150</v>
      </c>
      <c r="AL182">
        <v>150</v>
      </c>
      <c r="AM182">
        <v>274.81</v>
      </c>
      <c r="AN182">
        <v>185.75</v>
      </c>
      <c r="AO182">
        <v>150</v>
      </c>
      <c r="AP182">
        <v>150</v>
      </c>
      <c r="AQ182">
        <v>75</v>
      </c>
      <c r="AR182">
        <v>25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3">
      <c r="A183" t="s">
        <v>678</v>
      </c>
      <c r="B183" t="s">
        <v>265</v>
      </c>
      <c r="C183">
        <v>56.5</v>
      </c>
      <c r="D183">
        <v>56.5</v>
      </c>
      <c r="E183">
        <v>56.5</v>
      </c>
      <c r="F183">
        <v>56.5</v>
      </c>
      <c r="G183">
        <v>56.5</v>
      </c>
      <c r="H183">
        <v>56.5</v>
      </c>
      <c r="I183">
        <v>56.5</v>
      </c>
      <c r="J183">
        <v>56.5</v>
      </c>
      <c r="K183">
        <v>56.5</v>
      </c>
      <c r="L183">
        <v>56.5</v>
      </c>
      <c r="M183">
        <v>56.5</v>
      </c>
      <c r="N183">
        <v>56.5</v>
      </c>
      <c r="O183">
        <v>56.5</v>
      </c>
      <c r="P183">
        <v>56.5</v>
      </c>
      <c r="Q183">
        <v>56.5</v>
      </c>
      <c r="R183">
        <v>56.5</v>
      </c>
      <c r="S183">
        <v>56.5</v>
      </c>
      <c r="T183">
        <v>56.5</v>
      </c>
      <c r="U183">
        <v>56.5</v>
      </c>
      <c r="V183">
        <v>56.5</v>
      </c>
      <c r="W183">
        <v>56.5</v>
      </c>
      <c r="X183">
        <v>56.5</v>
      </c>
      <c r="Y183">
        <v>56.5</v>
      </c>
      <c r="Z183">
        <v>56.5</v>
      </c>
      <c r="AA183">
        <v>56.5</v>
      </c>
      <c r="AB183">
        <v>56.5</v>
      </c>
      <c r="AC183">
        <v>56.5</v>
      </c>
      <c r="AD183">
        <v>56.5</v>
      </c>
      <c r="AE183">
        <v>56.5</v>
      </c>
      <c r="AF183">
        <v>56.5</v>
      </c>
      <c r="AG183">
        <v>56.5</v>
      </c>
      <c r="AH183">
        <v>56.5</v>
      </c>
      <c r="AI183">
        <v>56.5</v>
      </c>
      <c r="AJ183">
        <v>56.5</v>
      </c>
      <c r="AK183">
        <v>56.5</v>
      </c>
      <c r="AL183">
        <v>56.5</v>
      </c>
      <c r="AM183">
        <v>56.5</v>
      </c>
      <c r="AN183">
        <v>56.5</v>
      </c>
      <c r="AO183">
        <v>56.5</v>
      </c>
      <c r="AP183">
        <v>56.5</v>
      </c>
      <c r="AQ183">
        <v>56.5</v>
      </c>
      <c r="AR183">
        <v>56.5</v>
      </c>
      <c r="AS183">
        <v>56.5</v>
      </c>
      <c r="AT183">
        <v>56.5</v>
      </c>
      <c r="AU183">
        <v>56.5</v>
      </c>
      <c r="AV183">
        <v>56.5</v>
      </c>
      <c r="AW183">
        <v>56.5</v>
      </c>
      <c r="AX183">
        <v>56.5</v>
      </c>
      <c r="AY183">
        <v>56.5</v>
      </c>
    </row>
    <row r="184" spans="1:51" x14ac:dyDescent="0.3">
      <c r="A184" t="s">
        <v>678</v>
      </c>
      <c r="B184" t="s">
        <v>266</v>
      </c>
      <c r="C184">
        <v>56.5</v>
      </c>
      <c r="D184">
        <v>56.5</v>
      </c>
      <c r="E184">
        <v>56.5</v>
      </c>
      <c r="F184">
        <v>56.5</v>
      </c>
      <c r="G184">
        <v>56.5</v>
      </c>
      <c r="H184">
        <v>56.5</v>
      </c>
      <c r="I184">
        <v>56.5</v>
      </c>
      <c r="J184">
        <v>56.5</v>
      </c>
      <c r="K184">
        <v>56.5</v>
      </c>
      <c r="L184">
        <v>56.5</v>
      </c>
      <c r="M184">
        <v>56.5</v>
      </c>
      <c r="N184">
        <v>56.5</v>
      </c>
      <c r="O184">
        <v>56.5</v>
      </c>
      <c r="P184">
        <v>56.5</v>
      </c>
      <c r="Q184">
        <v>56.5</v>
      </c>
      <c r="R184">
        <v>56.5</v>
      </c>
      <c r="S184">
        <v>46.5</v>
      </c>
      <c r="T184">
        <v>46.5</v>
      </c>
      <c r="U184">
        <v>46.5</v>
      </c>
      <c r="V184">
        <v>46.5</v>
      </c>
      <c r="W184">
        <v>46.5</v>
      </c>
      <c r="X184">
        <v>46.5</v>
      </c>
      <c r="Y184">
        <v>56.5</v>
      </c>
      <c r="Z184">
        <v>56.5</v>
      </c>
      <c r="AA184">
        <v>56.5</v>
      </c>
      <c r="AB184">
        <v>56.5</v>
      </c>
      <c r="AC184">
        <v>56.5</v>
      </c>
      <c r="AD184">
        <v>56.5</v>
      </c>
      <c r="AE184">
        <v>56.5</v>
      </c>
      <c r="AF184">
        <v>56.5</v>
      </c>
      <c r="AG184">
        <v>56.5</v>
      </c>
      <c r="AH184">
        <v>56.5</v>
      </c>
      <c r="AI184">
        <v>56.5</v>
      </c>
      <c r="AJ184">
        <v>56.5</v>
      </c>
      <c r="AK184">
        <v>56.5</v>
      </c>
      <c r="AL184">
        <v>56.5</v>
      </c>
      <c r="AM184">
        <v>56.5</v>
      </c>
      <c r="AN184">
        <v>56.5</v>
      </c>
      <c r="AO184">
        <v>56.5</v>
      </c>
      <c r="AP184">
        <v>56.5</v>
      </c>
      <c r="AQ184">
        <v>56.5</v>
      </c>
      <c r="AR184">
        <v>56.5</v>
      </c>
      <c r="AS184">
        <v>56.5</v>
      </c>
      <c r="AT184">
        <v>56.5</v>
      </c>
      <c r="AU184">
        <v>56.5</v>
      </c>
      <c r="AV184">
        <v>56.5</v>
      </c>
      <c r="AW184">
        <v>56.5</v>
      </c>
      <c r="AX184">
        <v>56.5</v>
      </c>
      <c r="AY184">
        <v>56.5</v>
      </c>
    </row>
    <row r="185" spans="1:51" x14ac:dyDescent="0.3">
      <c r="A185" t="s">
        <v>678</v>
      </c>
      <c r="B185" t="s">
        <v>267</v>
      </c>
      <c r="C185">
        <v>57</v>
      </c>
      <c r="D185">
        <v>57</v>
      </c>
      <c r="E185">
        <v>57</v>
      </c>
      <c r="F185">
        <v>57</v>
      </c>
      <c r="G185">
        <v>57</v>
      </c>
      <c r="H185">
        <v>57</v>
      </c>
      <c r="I185">
        <v>57</v>
      </c>
      <c r="J185">
        <v>57</v>
      </c>
      <c r="K185">
        <v>57</v>
      </c>
      <c r="L185">
        <v>57</v>
      </c>
      <c r="M185">
        <v>57</v>
      </c>
      <c r="N185">
        <v>57</v>
      </c>
      <c r="O185">
        <v>57</v>
      </c>
      <c r="P185">
        <v>57</v>
      </c>
      <c r="Q185">
        <v>57</v>
      </c>
      <c r="R185">
        <v>57</v>
      </c>
      <c r="S185">
        <v>57</v>
      </c>
      <c r="T185">
        <v>57</v>
      </c>
      <c r="U185">
        <v>57</v>
      </c>
      <c r="V185">
        <v>57</v>
      </c>
      <c r="W185">
        <v>57</v>
      </c>
      <c r="X185">
        <v>57</v>
      </c>
      <c r="Y185">
        <v>57</v>
      </c>
      <c r="Z185">
        <v>57</v>
      </c>
      <c r="AA185">
        <v>57</v>
      </c>
      <c r="AB185">
        <v>57</v>
      </c>
      <c r="AC185">
        <v>57</v>
      </c>
      <c r="AD185">
        <v>57</v>
      </c>
      <c r="AE185">
        <v>57</v>
      </c>
      <c r="AF185">
        <v>57</v>
      </c>
      <c r="AG185">
        <v>57</v>
      </c>
      <c r="AH185">
        <v>57</v>
      </c>
      <c r="AI185">
        <v>57</v>
      </c>
      <c r="AJ185">
        <v>57</v>
      </c>
      <c r="AK185">
        <v>57</v>
      </c>
      <c r="AL185">
        <v>57</v>
      </c>
      <c r="AM185">
        <v>57</v>
      </c>
      <c r="AN185">
        <v>57</v>
      </c>
      <c r="AO185">
        <v>57</v>
      </c>
      <c r="AP185">
        <v>57</v>
      </c>
      <c r="AQ185">
        <v>57</v>
      </c>
      <c r="AR185">
        <v>57</v>
      </c>
      <c r="AS185">
        <v>57</v>
      </c>
      <c r="AT185">
        <v>57</v>
      </c>
      <c r="AU185">
        <v>57</v>
      </c>
      <c r="AV185">
        <v>57</v>
      </c>
      <c r="AW185">
        <v>57</v>
      </c>
      <c r="AX185">
        <v>57</v>
      </c>
      <c r="AY185">
        <v>57</v>
      </c>
    </row>
    <row r="186" spans="1:51" x14ac:dyDescent="0.3">
      <c r="A186" t="s">
        <v>678</v>
      </c>
      <c r="B186" t="s">
        <v>268</v>
      </c>
      <c r="C186">
        <v>17.02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3">
      <c r="A187" t="s">
        <v>678</v>
      </c>
      <c r="B187" t="s">
        <v>269</v>
      </c>
      <c r="C187">
        <v>17.02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 x14ac:dyDescent="0.3">
      <c r="A188" t="s">
        <v>678</v>
      </c>
      <c r="B188" t="s">
        <v>270</v>
      </c>
      <c r="C188">
        <v>17.02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3">
      <c r="A189" t="s">
        <v>678</v>
      </c>
      <c r="B189" t="s">
        <v>271</v>
      </c>
      <c r="C189">
        <v>17.02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3">
      <c r="A190" t="s">
        <v>678</v>
      </c>
      <c r="B190" t="s">
        <v>272</v>
      </c>
      <c r="C190">
        <v>17.02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 x14ac:dyDescent="0.3">
      <c r="A191" t="s">
        <v>678</v>
      </c>
      <c r="B191" t="s">
        <v>273</v>
      </c>
      <c r="C191">
        <v>17.02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 x14ac:dyDescent="0.3">
      <c r="A192" t="s">
        <v>678</v>
      </c>
      <c r="B192" t="s">
        <v>274</v>
      </c>
      <c r="D192">
        <v>140.09</v>
      </c>
      <c r="E192">
        <v>140.09</v>
      </c>
      <c r="F192">
        <v>140.09</v>
      </c>
      <c r="G192">
        <v>140.09</v>
      </c>
      <c r="H192">
        <v>140.09</v>
      </c>
      <c r="I192">
        <v>140.09</v>
      </c>
      <c r="J192">
        <v>140.09</v>
      </c>
      <c r="K192">
        <v>140.09</v>
      </c>
      <c r="L192">
        <v>140.09</v>
      </c>
      <c r="M192">
        <v>140.09</v>
      </c>
      <c r="N192">
        <v>140.09</v>
      </c>
      <c r="O192">
        <v>140.09</v>
      </c>
      <c r="P192">
        <v>140.09</v>
      </c>
      <c r="Q192">
        <v>140.09</v>
      </c>
      <c r="R192">
        <v>140.09</v>
      </c>
      <c r="S192">
        <v>140.09</v>
      </c>
      <c r="T192">
        <v>140.09</v>
      </c>
      <c r="U192">
        <v>140.09</v>
      </c>
      <c r="V192">
        <v>140.09</v>
      </c>
      <c r="W192">
        <v>233.49</v>
      </c>
      <c r="X192">
        <v>233.49</v>
      </c>
      <c r="Y192">
        <v>233.49</v>
      </c>
      <c r="Z192">
        <v>233.49</v>
      </c>
      <c r="AA192">
        <v>233.49</v>
      </c>
      <c r="AB192">
        <v>233.49</v>
      </c>
      <c r="AC192">
        <v>233.49</v>
      </c>
      <c r="AD192">
        <v>233.49</v>
      </c>
      <c r="AE192">
        <v>233.49</v>
      </c>
      <c r="AF192">
        <v>233.49</v>
      </c>
      <c r="AG192">
        <v>233.49</v>
      </c>
      <c r="AH192">
        <v>233.49</v>
      </c>
      <c r="AI192">
        <v>233.49</v>
      </c>
      <c r="AJ192">
        <v>233.49</v>
      </c>
      <c r="AK192">
        <v>233.49</v>
      </c>
      <c r="AL192">
        <v>233.49</v>
      </c>
      <c r="AM192">
        <v>233.49</v>
      </c>
      <c r="AN192">
        <v>233.49</v>
      </c>
      <c r="AO192">
        <v>233.49</v>
      </c>
      <c r="AP192">
        <v>140.09</v>
      </c>
      <c r="AQ192">
        <v>140.09</v>
      </c>
      <c r="AR192">
        <v>140.09</v>
      </c>
      <c r="AS192">
        <v>140.09</v>
      </c>
      <c r="AT192">
        <v>140.09</v>
      </c>
      <c r="AU192">
        <v>140.09</v>
      </c>
      <c r="AV192">
        <v>140.09</v>
      </c>
      <c r="AW192">
        <v>140.09</v>
      </c>
      <c r="AX192">
        <v>140.09</v>
      </c>
      <c r="AY192">
        <v>140.09</v>
      </c>
    </row>
    <row r="193" spans="1:51" x14ac:dyDescent="0.3">
      <c r="A193" t="s">
        <v>678</v>
      </c>
      <c r="B193" t="s">
        <v>275</v>
      </c>
      <c r="C193">
        <v>280</v>
      </c>
      <c r="D193">
        <v>240</v>
      </c>
      <c r="E193">
        <v>240</v>
      </c>
      <c r="F193">
        <v>240</v>
      </c>
      <c r="G193">
        <v>240</v>
      </c>
      <c r="H193">
        <v>240</v>
      </c>
      <c r="I193">
        <v>240</v>
      </c>
      <c r="J193">
        <v>240</v>
      </c>
      <c r="K193">
        <v>240</v>
      </c>
      <c r="L193">
        <v>240</v>
      </c>
      <c r="M193">
        <v>240</v>
      </c>
      <c r="N193">
        <v>240</v>
      </c>
      <c r="O193">
        <v>240</v>
      </c>
      <c r="P193">
        <v>240</v>
      </c>
      <c r="Q193">
        <v>240</v>
      </c>
      <c r="R193">
        <v>240</v>
      </c>
      <c r="S193">
        <v>240</v>
      </c>
      <c r="T193">
        <v>240</v>
      </c>
      <c r="U193">
        <v>240</v>
      </c>
      <c r="V193">
        <v>240</v>
      </c>
      <c r="W193">
        <v>240</v>
      </c>
      <c r="X193">
        <v>240</v>
      </c>
      <c r="Y193">
        <v>240</v>
      </c>
      <c r="Z193">
        <v>240</v>
      </c>
      <c r="AA193">
        <v>240</v>
      </c>
      <c r="AB193">
        <v>240</v>
      </c>
      <c r="AC193">
        <v>260</v>
      </c>
      <c r="AD193">
        <v>260</v>
      </c>
      <c r="AE193">
        <v>260</v>
      </c>
      <c r="AF193">
        <v>260</v>
      </c>
      <c r="AG193">
        <v>260</v>
      </c>
      <c r="AH193">
        <v>260</v>
      </c>
      <c r="AI193">
        <v>260</v>
      </c>
      <c r="AJ193">
        <v>260</v>
      </c>
      <c r="AK193">
        <v>260</v>
      </c>
      <c r="AL193">
        <v>260</v>
      </c>
      <c r="AM193">
        <v>260</v>
      </c>
      <c r="AN193">
        <v>260</v>
      </c>
      <c r="AO193">
        <v>260</v>
      </c>
      <c r="AP193">
        <v>260</v>
      </c>
      <c r="AQ193">
        <v>260</v>
      </c>
      <c r="AR193">
        <v>260</v>
      </c>
      <c r="AS193">
        <v>260</v>
      </c>
      <c r="AT193">
        <v>260</v>
      </c>
      <c r="AU193">
        <v>260</v>
      </c>
      <c r="AV193">
        <v>240</v>
      </c>
      <c r="AW193">
        <v>240</v>
      </c>
      <c r="AX193">
        <v>240</v>
      </c>
      <c r="AY193">
        <v>240</v>
      </c>
    </row>
    <row r="194" spans="1:51" x14ac:dyDescent="0.3">
      <c r="A194" t="s">
        <v>678</v>
      </c>
      <c r="B194" t="s">
        <v>276</v>
      </c>
      <c r="C194">
        <v>280</v>
      </c>
      <c r="D194">
        <v>240</v>
      </c>
      <c r="E194">
        <v>240</v>
      </c>
      <c r="F194">
        <v>240</v>
      </c>
      <c r="G194">
        <v>240</v>
      </c>
      <c r="H194">
        <v>240</v>
      </c>
      <c r="I194">
        <v>240</v>
      </c>
      <c r="J194">
        <v>240</v>
      </c>
      <c r="K194">
        <v>240</v>
      </c>
      <c r="L194">
        <v>240</v>
      </c>
      <c r="M194">
        <v>240</v>
      </c>
      <c r="N194">
        <v>240</v>
      </c>
      <c r="O194">
        <v>240</v>
      </c>
      <c r="P194">
        <v>240</v>
      </c>
      <c r="Q194">
        <v>240</v>
      </c>
      <c r="R194">
        <v>240</v>
      </c>
      <c r="S194">
        <v>240</v>
      </c>
      <c r="T194">
        <v>240</v>
      </c>
      <c r="U194">
        <v>240</v>
      </c>
      <c r="V194">
        <v>240</v>
      </c>
      <c r="W194">
        <v>240</v>
      </c>
      <c r="X194">
        <v>240</v>
      </c>
      <c r="Y194">
        <v>240</v>
      </c>
      <c r="Z194">
        <v>240</v>
      </c>
      <c r="AA194">
        <v>240</v>
      </c>
      <c r="AB194">
        <v>240</v>
      </c>
      <c r="AC194">
        <v>260</v>
      </c>
      <c r="AD194">
        <v>260</v>
      </c>
      <c r="AE194">
        <v>260</v>
      </c>
      <c r="AF194">
        <v>260</v>
      </c>
      <c r="AG194">
        <v>260</v>
      </c>
      <c r="AH194">
        <v>260</v>
      </c>
      <c r="AI194">
        <v>260</v>
      </c>
      <c r="AJ194">
        <v>260</v>
      </c>
      <c r="AK194">
        <v>260</v>
      </c>
      <c r="AL194">
        <v>260</v>
      </c>
      <c r="AM194">
        <v>260</v>
      </c>
      <c r="AN194">
        <v>260</v>
      </c>
      <c r="AO194">
        <v>260</v>
      </c>
      <c r="AP194">
        <v>260</v>
      </c>
      <c r="AQ194">
        <v>260</v>
      </c>
      <c r="AR194">
        <v>260</v>
      </c>
      <c r="AS194">
        <v>260</v>
      </c>
      <c r="AT194">
        <v>260</v>
      </c>
      <c r="AU194">
        <v>260</v>
      </c>
      <c r="AV194">
        <v>240</v>
      </c>
      <c r="AW194">
        <v>240</v>
      </c>
      <c r="AX194">
        <v>240</v>
      </c>
      <c r="AY194">
        <v>240</v>
      </c>
    </row>
    <row r="195" spans="1:51" x14ac:dyDescent="0.3">
      <c r="A195" t="s">
        <v>678</v>
      </c>
      <c r="B195" t="s">
        <v>83</v>
      </c>
      <c r="C195">
        <v>540</v>
      </c>
      <c r="D195">
        <v>400</v>
      </c>
      <c r="E195">
        <v>400</v>
      </c>
      <c r="F195">
        <v>400</v>
      </c>
      <c r="G195">
        <v>400</v>
      </c>
      <c r="H195">
        <v>400</v>
      </c>
      <c r="I195">
        <v>400</v>
      </c>
      <c r="J195">
        <v>400</v>
      </c>
      <c r="K195">
        <v>400</v>
      </c>
      <c r="L195">
        <v>400</v>
      </c>
      <c r="M195">
        <v>400</v>
      </c>
      <c r="N195">
        <v>400</v>
      </c>
      <c r="O195">
        <v>400</v>
      </c>
      <c r="P195">
        <v>400</v>
      </c>
      <c r="Q195">
        <v>400</v>
      </c>
      <c r="R195">
        <v>400</v>
      </c>
      <c r="S195">
        <v>400</v>
      </c>
      <c r="T195">
        <v>400</v>
      </c>
      <c r="U195">
        <v>400</v>
      </c>
      <c r="V195">
        <v>400</v>
      </c>
      <c r="W195">
        <v>400</v>
      </c>
      <c r="X195">
        <v>400</v>
      </c>
      <c r="Y195">
        <v>400</v>
      </c>
      <c r="Z195">
        <v>400</v>
      </c>
      <c r="AA195">
        <v>400</v>
      </c>
      <c r="AB195">
        <v>400</v>
      </c>
      <c r="AC195">
        <v>400</v>
      </c>
      <c r="AD195">
        <v>400</v>
      </c>
      <c r="AE195">
        <v>400</v>
      </c>
      <c r="AF195">
        <v>400</v>
      </c>
      <c r="AG195">
        <v>400</v>
      </c>
      <c r="AH195">
        <v>400</v>
      </c>
      <c r="AI195">
        <v>400</v>
      </c>
      <c r="AJ195">
        <v>400</v>
      </c>
      <c r="AK195">
        <v>400</v>
      </c>
      <c r="AL195">
        <v>400</v>
      </c>
      <c r="AM195">
        <v>400</v>
      </c>
      <c r="AN195">
        <v>400</v>
      </c>
      <c r="AO195">
        <v>400</v>
      </c>
      <c r="AP195">
        <v>400</v>
      </c>
      <c r="AQ195">
        <v>400</v>
      </c>
      <c r="AR195">
        <v>400</v>
      </c>
      <c r="AS195">
        <v>400</v>
      </c>
      <c r="AT195">
        <v>400</v>
      </c>
      <c r="AU195">
        <v>400</v>
      </c>
      <c r="AV195">
        <v>400</v>
      </c>
      <c r="AW195">
        <v>400</v>
      </c>
      <c r="AX195">
        <v>400</v>
      </c>
      <c r="AY195">
        <v>400</v>
      </c>
    </row>
    <row r="196" spans="1:51" x14ac:dyDescent="0.3">
      <c r="A196" t="s">
        <v>678</v>
      </c>
      <c r="B196" t="s">
        <v>80</v>
      </c>
      <c r="C196">
        <v>323</v>
      </c>
      <c r="D196">
        <v>276.86</v>
      </c>
      <c r="E196">
        <v>254.95</v>
      </c>
      <c r="F196">
        <v>254.95</v>
      </c>
      <c r="G196">
        <v>254.95</v>
      </c>
      <c r="H196">
        <v>254.95</v>
      </c>
      <c r="I196">
        <v>254.95</v>
      </c>
      <c r="J196">
        <v>254.95</v>
      </c>
      <c r="K196">
        <v>254.95</v>
      </c>
      <c r="L196">
        <v>254.95</v>
      </c>
      <c r="M196">
        <v>254.95</v>
      </c>
      <c r="N196">
        <v>254.95</v>
      </c>
      <c r="O196">
        <v>254.95</v>
      </c>
      <c r="P196">
        <v>254.95</v>
      </c>
      <c r="Q196">
        <v>254.95</v>
      </c>
      <c r="R196">
        <v>254.95</v>
      </c>
      <c r="S196">
        <v>268.19</v>
      </c>
      <c r="T196">
        <v>268.19</v>
      </c>
      <c r="U196">
        <v>268.19</v>
      </c>
      <c r="V196">
        <v>268.19</v>
      </c>
      <c r="W196">
        <v>268.19</v>
      </c>
      <c r="X196">
        <v>268.19</v>
      </c>
      <c r="Y196">
        <v>268.19</v>
      </c>
      <c r="Z196">
        <v>268.19</v>
      </c>
      <c r="AA196">
        <v>254.95</v>
      </c>
      <c r="AB196">
        <v>254.95</v>
      </c>
      <c r="AC196">
        <v>261.94</v>
      </c>
      <c r="AD196">
        <v>268.19</v>
      </c>
      <c r="AE196">
        <v>268.19</v>
      </c>
      <c r="AF196">
        <v>268.19</v>
      </c>
      <c r="AG196">
        <v>268.19</v>
      </c>
      <c r="AH196">
        <v>268.19</v>
      </c>
      <c r="AI196">
        <v>268.19</v>
      </c>
      <c r="AJ196">
        <v>268.19</v>
      </c>
      <c r="AK196">
        <v>268.19</v>
      </c>
      <c r="AL196">
        <v>268.19</v>
      </c>
      <c r="AM196">
        <v>268.19</v>
      </c>
      <c r="AN196">
        <v>268.19</v>
      </c>
      <c r="AO196">
        <v>268.19</v>
      </c>
      <c r="AP196">
        <v>268.19</v>
      </c>
      <c r="AQ196">
        <v>268.19</v>
      </c>
      <c r="AR196">
        <v>268.19</v>
      </c>
      <c r="AS196">
        <v>268.19</v>
      </c>
      <c r="AT196">
        <v>268.19</v>
      </c>
      <c r="AU196">
        <v>268.19</v>
      </c>
      <c r="AV196">
        <v>268.19</v>
      </c>
      <c r="AW196">
        <v>268.19</v>
      </c>
      <c r="AX196">
        <v>268.19</v>
      </c>
      <c r="AY196">
        <v>254.95</v>
      </c>
    </row>
    <row r="197" spans="1:51" x14ac:dyDescent="0.3">
      <c r="A197" t="s">
        <v>678</v>
      </c>
      <c r="B197" t="s">
        <v>81</v>
      </c>
      <c r="C197">
        <v>323</v>
      </c>
      <c r="D197">
        <v>254.95</v>
      </c>
      <c r="E197">
        <v>254.95</v>
      </c>
      <c r="F197">
        <v>254.95</v>
      </c>
      <c r="G197">
        <v>254.95</v>
      </c>
      <c r="H197">
        <v>254.95</v>
      </c>
      <c r="I197">
        <v>254.95</v>
      </c>
      <c r="J197">
        <v>254.95</v>
      </c>
      <c r="K197">
        <v>254.95</v>
      </c>
      <c r="L197">
        <v>254.95</v>
      </c>
      <c r="M197">
        <v>276.86</v>
      </c>
      <c r="N197">
        <v>276.86</v>
      </c>
      <c r="O197">
        <v>276.86</v>
      </c>
      <c r="P197">
        <v>254.95</v>
      </c>
      <c r="Q197">
        <v>254.95</v>
      </c>
      <c r="R197">
        <v>254.95</v>
      </c>
      <c r="S197">
        <v>254.95</v>
      </c>
      <c r="T197">
        <v>254.95</v>
      </c>
      <c r="U197">
        <v>254.95</v>
      </c>
      <c r="V197">
        <v>254.95</v>
      </c>
      <c r="W197">
        <v>254.95</v>
      </c>
      <c r="X197">
        <v>254.95</v>
      </c>
      <c r="Y197">
        <v>254.95</v>
      </c>
      <c r="Z197">
        <v>254.95</v>
      </c>
      <c r="AA197">
        <v>254.95</v>
      </c>
      <c r="AB197">
        <v>254.95</v>
      </c>
      <c r="AC197">
        <v>254.95</v>
      </c>
      <c r="AD197">
        <v>254.95</v>
      </c>
      <c r="AE197">
        <v>254.95</v>
      </c>
      <c r="AF197">
        <v>254.95</v>
      </c>
      <c r="AG197">
        <v>254.95</v>
      </c>
      <c r="AH197">
        <v>254.95</v>
      </c>
      <c r="AI197">
        <v>254.95</v>
      </c>
      <c r="AJ197">
        <v>254.95</v>
      </c>
      <c r="AK197">
        <v>254.95</v>
      </c>
      <c r="AL197">
        <v>254.95</v>
      </c>
      <c r="AM197">
        <v>254.95</v>
      </c>
      <c r="AN197">
        <v>254.95</v>
      </c>
      <c r="AO197">
        <v>254.95</v>
      </c>
      <c r="AP197">
        <v>254.95</v>
      </c>
      <c r="AQ197">
        <v>254.95</v>
      </c>
      <c r="AR197">
        <v>254.95</v>
      </c>
      <c r="AS197">
        <v>254.95</v>
      </c>
      <c r="AT197">
        <v>254.95</v>
      </c>
      <c r="AU197">
        <v>254.95</v>
      </c>
      <c r="AV197">
        <v>254.95</v>
      </c>
      <c r="AW197">
        <v>254.95</v>
      </c>
      <c r="AX197">
        <v>254.95</v>
      </c>
      <c r="AY197">
        <v>254.95</v>
      </c>
    </row>
    <row r="198" spans="1:51" x14ac:dyDescent="0.3">
      <c r="A198" t="s">
        <v>678</v>
      </c>
      <c r="B198" t="s">
        <v>82</v>
      </c>
      <c r="C198">
        <v>323</v>
      </c>
      <c r="D198">
        <v>268.19</v>
      </c>
      <c r="E198">
        <v>254.95</v>
      </c>
      <c r="F198">
        <v>254.95</v>
      </c>
      <c r="G198">
        <v>254.95</v>
      </c>
      <c r="H198">
        <v>254.95</v>
      </c>
      <c r="I198">
        <v>254.95</v>
      </c>
      <c r="J198">
        <v>254.95</v>
      </c>
      <c r="K198">
        <v>254.95</v>
      </c>
      <c r="L198">
        <v>254.95</v>
      </c>
      <c r="M198">
        <v>268.19</v>
      </c>
      <c r="N198">
        <v>268.19</v>
      </c>
      <c r="O198">
        <v>268.19</v>
      </c>
      <c r="P198">
        <v>254.95</v>
      </c>
      <c r="Q198">
        <v>254.95</v>
      </c>
      <c r="R198">
        <v>254.95</v>
      </c>
      <c r="S198">
        <v>276.86</v>
      </c>
      <c r="T198">
        <v>276.86</v>
      </c>
      <c r="U198">
        <v>276.86</v>
      </c>
      <c r="V198">
        <v>276.86</v>
      </c>
      <c r="W198">
        <v>276.86</v>
      </c>
      <c r="X198">
        <v>276.86</v>
      </c>
      <c r="Y198">
        <v>276.86</v>
      </c>
      <c r="Z198">
        <v>276.86</v>
      </c>
      <c r="AA198">
        <v>272.23</v>
      </c>
      <c r="AB198">
        <v>254.95</v>
      </c>
      <c r="AC198">
        <v>276.86</v>
      </c>
      <c r="AD198">
        <v>276.86</v>
      </c>
      <c r="AE198">
        <v>276.86</v>
      </c>
      <c r="AF198">
        <v>276.86</v>
      </c>
      <c r="AG198">
        <v>276.86</v>
      </c>
      <c r="AH198">
        <v>276.86</v>
      </c>
      <c r="AI198">
        <v>276.86</v>
      </c>
      <c r="AJ198">
        <v>276.86</v>
      </c>
      <c r="AK198">
        <v>276.86</v>
      </c>
      <c r="AL198">
        <v>276.86</v>
      </c>
      <c r="AM198">
        <v>276.86</v>
      </c>
      <c r="AN198">
        <v>276.86</v>
      </c>
      <c r="AO198">
        <v>276.86</v>
      </c>
      <c r="AP198">
        <v>276.86</v>
      </c>
      <c r="AQ198">
        <v>276.86</v>
      </c>
      <c r="AR198">
        <v>276.86</v>
      </c>
      <c r="AS198">
        <v>276.86</v>
      </c>
      <c r="AT198">
        <v>276.86</v>
      </c>
      <c r="AU198">
        <v>276.86</v>
      </c>
      <c r="AV198">
        <v>276.86</v>
      </c>
      <c r="AW198">
        <v>276.86</v>
      </c>
      <c r="AX198">
        <v>276.86</v>
      </c>
      <c r="AY198">
        <v>254.95</v>
      </c>
    </row>
    <row r="199" spans="1:51" x14ac:dyDescent="0.3">
      <c r="A199" t="s">
        <v>678</v>
      </c>
      <c r="B199" t="s">
        <v>277</v>
      </c>
      <c r="C199">
        <v>280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3">
      <c r="A200" t="s">
        <v>678</v>
      </c>
      <c r="B200" t="s">
        <v>278</v>
      </c>
      <c r="C200">
        <v>280</v>
      </c>
      <c r="D200">
        <v>250</v>
      </c>
      <c r="E200">
        <v>250</v>
      </c>
      <c r="F200">
        <v>250</v>
      </c>
      <c r="G200">
        <v>250</v>
      </c>
      <c r="H200">
        <v>250</v>
      </c>
      <c r="I200">
        <v>250</v>
      </c>
      <c r="J200">
        <v>250</v>
      </c>
      <c r="K200">
        <v>250</v>
      </c>
      <c r="L200">
        <v>250</v>
      </c>
      <c r="M200">
        <v>250</v>
      </c>
      <c r="N200">
        <v>250</v>
      </c>
      <c r="O200">
        <v>260</v>
      </c>
      <c r="P200">
        <v>260</v>
      </c>
      <c r="Q200">
        <v>275</v>
      </c>
      <c r="R200">
        <v>275</v>
      </c>
      <c r="S200">
        <v>280</v>
      </c>
      <c r="T200">
        <v>280</v>
      </c>
      <c r="U200">
        <v>280</v>
      </c>
      <c r="V200">
        <v>280</v>
      </c>
      <c r="W200">
        <v>280</v>
      </c>
      <c r="X200">
        <v>280</v>
      </c>
      <c r="Y200">
        <v>280</v>
      </c>
      <c r="Z200">
        <v>280</v>
      </c>
      <c r="AA200">
        <v>280</v>
      </c>
      <c r="AB200">
        <v>280</v>
      </c>
      <c r="AC200">
        <v>280</v>
      </c>
      <c r="AD200">
        <v>280</v>
      </c>
      <c r="AE200">
        <v>280</v>
      </c>
      <c r="AF200">
        <v>280</v>
      </c>
      <c r="AG200">
        <v>280</v>
      </c>
      <c r="AH200">
        <v>280</v>
      </c>
      <c r="AI200">
        <v>280</v>
      </c>
      <c r="AJ200">
        <v>280</v>
      </c>
      <c r="AK200">
        <v>280</v>
      </c>
      <c r="AL200">
        <v>280</v>
      </c>
      <c r="AM200">
        <v>280</v>
      </c>
      <c r="AN200">
        <v>280</v>
      </c>
      <c r="AO200">
        <v>280</v>
      </c>
      <c r="AP200">
        <v>280</v>
      </c>
      <c r="AQ200">
        <v>280</v>
      </c>
      <c r="AR200">
        <v>280</v>
      </c>
      <c r="AS200">
        <v>275</v>
      </c>
      <c r="AT200">
        <v>275</v>
      </c>
      <c r="AU200">
        <v>250</v>
      </c>
      <c r="AV200">
        <v>250</v>
      </c>
      <c r="AW200">
        <v>250</v>
      </c>
      <c r="AX200">
        <v>250</v>
      </c>
      <c r="AY200">
        <v>250</v>
      </c>
    </row>
    <row r="201" spans="1:51" x14ac:dyDescent="0.3">
      <c r="A201" t="s">
        <v>678</v>
      </c>
      <c r="B201" t="s">
        <v>279</v>
      </c>
      <c r="C201">
        <v>280</v>
      </c>
      <c r="D201">
        <v>250</v>
      </c>
      <c r="E201">
        <v>250</v>
      </c>
      <c r="F201">
        <v>250</v>
      </c>
      <c r="G201">
        <v>250</v>
      </c>
      <c r="H201">
        <v>250</v>
      </c>
      <c r="I201">
        <v>250</v>
      </c>
      <c r="J201">
        <v>250</v>
      </c>
      <c r="K201">
        <v>250</v>
      </c>
      <c r="L201">
        <v>250</v>
      </c>
      <c r="M201">
        <v>250</v>
      </c>
      <c r="N201">
        <v>250</v>
      </c>
      <c r="O201">
        <v>260</v>
      </c>
      <c r="P201">
        <v>260</v>
      </c>
      <c r="Q201">
        <v>275</v>
      </c>
      <c r="R201">
        <v>275</v>
      </c>
      <c r="S201">
        <v>280</v>
      </c>
      <c r="T201">
        <v>280</v>
      </c>
      <c r="U201">
        <v>280</v>
      </c>
      <c r="V201">
        <v>280</v>
      </c>
      <c r="W201">
        <v>280</v>
      </c>
      <c r="X201">
        <v>280</v>
      </c>
      <c r="Y201">
        <v>280</v>
      </c>
      <c r="Z201">
        <v>280</v>
      </c>
      <c r="AA201">
        <v>280</v>
      </c>
      <c r="AB201">
        <v>280</v>
      </c>
      <c r="AC201">
        <v>280</v>
      </c>
      <c r="AD201">
        <v>280</v>
      </c>
      <c r="AE201">
        <v>280</v>
      </c>
      <c r="AF201">
        <v>280</v>
      </c>
      <c r="AG201">
        <v>280</v>
      </c>
      <c r="AH201">
        <v>280</v>
      </c>
      <c r="AI201">
        <v>280</v>
      </c>
      <c r="AJ201">
        <v>280</v>
      </c>
      <c r="AK201">
        <v>280</v>
      </c>
      <c r="AL201">
        <v>280</v>
      </c>
      <c r="AM201">
        <v>280</v>
      </c>
      <c r="AN201">
        <v>280</v>
      </c>
      <c r="AO201">
        <v>280</v>
      </c>
      <c r="AP201">
        <v>280</v>
      </c>
      <c r="AQ201">
        <v>280</v>
      </c>
      <c r="AR201">
        <v>280</v>
      </c>
      <c r="AS201">
        <v>275</v>
      </c>
      <c r="AT201">
        <v>275</v>
      </c>
      <c r="AU201">
        <v>250</v>
      </c>
      <c r="AV201">
        <v>250</v>
      </c>
      <c r="AW201">
        <v>250</v>
      </c>
      <c r="AX201">
        <v>250</v>
      </c>
      <c r="AY201">
        <v>250</v>
      </c>
    </row>
    <row r="202" spans="1:51" x14ac:dyDescent="0.3">
      <c r="A202" t="s">
        <v>678</v>
      </c>
      <c r="B202" t="s">
        <v>280</v>
      </c>
      <c r="C202">
        <v>293</v>
      </c>
      <c r="D202">
        <v>220</v>
      </c>
      <c r="E202">
        <v>220</v>
      </c>
      <c r="F202">
        <v>220</v>
      </c>
      <c r="G202">
        <v>220</v>
      </c>
      <c r="H202">
        <v>220</v>
      </c>
      <c r="I202">
        <v>220</v>
      </c>
      <c r="J202">
        <v>220</v>
      </c>
      <c r="K202">
        <v>220</v>
      </c>
      <c r="L202">
        <v>220</v>
      </c>
      <c r="M202">
        <v>220</v>
      </c>
      <c r="N202">
        <v>220</v>
      </c>
      <c r="O202">
        <v>220</v>
      </c>
      <c r="P202">
        <v>220</v>
      </c>
      <c r="Q202">
        <v>220</v>
      </c>
      <c r="R202">
        <v>220</v>
      </c>
      <c r="S202">
        <v>220</v>
      </c>
      <c r="T202">
        <v>220</v>
      </c>
      <c r="U202">
        <v>220</v>
      </c>
      <c r="V202">
        <v>220</v>
      </c>
      <c r="W202">
        <v>220</v>
      </c>
      <c r="X202">
        <v>220</v>
      </c>
      <c r="Y202">
        <v>220</v>
      </c>
      <c r="Z202">
        <v>220</v>
      </c>
      <c r="AA202">
        <v>220</v>
      </c>
      <c r="AB202">
        <v>220</v>
      </c>
      <c r="AC202">
        <v>220</v>
      </c>
      <c r="AD202">
        <v>220</v>
      </c>
      <c r="AE202">
        <v>220</v>
      </c>
      <c r="AF202">
        <v>220</v>
      </c>
      <c r="AG202">
        <v>220</v>
      </c>
      <c r="AH202">
        <v>220</v>
      </c>
      <c r="AI202">
        <v>220</v>
      </c>
      <c r="AJ202">
        <v>220</v>
      </c>
      <c r="AK202">
        <v>220</v>
      </c>
      <c r="AL202">
        <v>220</v>
      </c>
      <c r="AM202">
        <v>220</v>
      </c>
      <c r="AN202">
        <v>220</v>
      </c>
      <c r="AO202">
        <v>220</v>
      </c>
      <c r="AP202">
        <v>220</v>
      </c>
      <c r="AQ202">
        <v>220</v>
      </c>
      <c r="AR202">
        <v>220</v>
      </c>
      <c r="AS202">
        <v>220</v>
      </c>
      <c r="AT202">
        <v>220</v>
      </c>
      <c r="AU202">
        <v>220</v>
      </c>
      <c r="AV202">
        <v>220</v>
      </c>
      <c r="AW202">
        <v>220</v>
      </c>
      <c r="AX202">
        <v>220</v>
      </c>
      <c r="AY202">
        <v>220</v>
      </c>
    </row>
    <row r="203" spans="1:51" x14ac:dyDescent="0.3">
      <c r="A203" t="s">
        <v>678</v>
      </c>
      <c r="B203" t="s">
        <v>281</v>
      </c>
      <c r="C203">
        <v>371.5</v>
      </c>
      <c r="D203">
        <v>185</v>
      </c>
      <c r="E203">
        <v>185</v>
      </c>
      <c r="F203">
        <v>185</v>
      </c>
      <c r="G203">
        <v>185</v>
      </c>
      <c r="H203">
        <v>185</v>
      </c>
      <c r="I203">
        <v>185</v>
      </c>
      <c r="J203">
        <v>185</v>
      </c>
      <c r="K203">
        <v>185</v>
      </c>
      <c r="L203">
        <v>185</v>
      </c>
      <c r="M203">
        <v>185</v>
      </c>
      <c r="N203">
        <v>185</v>
      </c>
      <c r="O203">
        <v>185</v>
      </c>
      <c r="P203">
        <v>185</v>
      </c>
      <c r="Q203">
        <v>185</v>
      </c>
      <c r="R203">
        <v>185</v>
      </c>
      <c r="S203">
        <v>185</v>
      </c>
      <c r="T203">
        <v>185</v>
      </c>
      <c r="U203">
        <v>185</v>
      </c>
      <c r="V203">
        <v>185</v>
      </c>
      <c r="W203">
        <v>185</v>
      </c>
      <c r="X203">
        <v>185</v>
      </c>
      <c r="Y203">
        <v>185</v>
      </c>
      <c r="Z203">
        <v>185</v>
      </c>
      <c r="AA203">
        <v>185</v>
      </c>
      <c r="AB203">
        <v>185</v>
      </c>
      <c r="AC203">
        <v>185</v>
      </c>
      <c r="AD203">
        <v>185</v>
      </c>
      <c r="AE203">
        <v>185</v>
      </c>
      <c r="AF203">
        <v>185</v>
      </c>
      <c r="AG203">
        <v>185</v>
      </c>
      <c r="AH203">
        <v>185</v>
      </c>
      <c r="AI203">
        <v>185</v>
      </c>
      <c r="AJ203">
        <v>185</v>
      </c>
      <c r="AK203">
        <v>185</v>
      </c>
      <c r="AL203">
        <v>185</v>
      </c>
      <c r="AM203">
        <v>185</v>
      </c>
      <c r="AN203">
        <v>185</v>
      </c>
      <c r="AO203">
        <v>185</v>
      </c>
      <c r="AP203">
        <v>185</v>
      </c>
      <c r="AQ203">
        <v>185</v>
      </c>
      <c r="AR203">
        <v>185</v>
      </c>
      <c r="AS203">
        <v>185</v>
      </c>
      <c r="AT203">
        <v>185</v>
      </c>
      <c r="AU203">
        <v>185</v>
      </c>
      <c r="AV203">
        <v>185</v>
      </c>
      <c r="AW203">
        <v>185</v>
      </c>
      <c r="AX203">
        <v>185</v>
      </c>
      <c r="AY203">
        <v>185</v>
      </c>
    </row>
    <row r="204" spans="1:51" x14ac:dyDescent="0.3">
      <c r="A204" t="s">
        <v>678</v>
      </c>
      <c r="B204" t="s">
        <v>283</v>
      </c>
      <c r="C204">
        <v>162</v>
      </c>
      <c r="D204">
        <v>90</v>
      </c>
      <c r="E204">
        <v>90</v>
      </c>
      <c r="F204">
        <v>90</v>
      </c>
      <c r="G204">
        <v>90</v>
      </c>
      <c r="H204">
        <v>90</v>
      </c>
      <c r="I204">
        <v>90</v>
      </c>
      <c r="J204">
        <v>90</v>
      </c>
      <c r="K204">
        <v>90</v>
      </c>
      <c r="L204">
        <v>90</v>
      </c>
      <c r="M204">
        <v>90</v>
      </c>
      <c r="N204">
        <v>90</v>
      </c>
      <c r="O204">
        <v>90</v>
      </c>
      <c r="P204">
        <v>90</v>
      </c>
      <c r="Q204">
        <v>90</v>
      </c>
      <c r="R204">
        <v>90</v>
      </c>
      <c r="S204">
        <v>90</v>
      </c>
      <c r="T204">
        <v>90</v>
      </c>
      <c r="U204">
        <v>90</v>
      </c>
      <c r="V204">
        <v>90</v>
      </c>
      <c r="W204">
        <v>90</v>
      </c>
      <c r="X204">
        <v>90</v>
      </c>
      <c r="Y204">
        <v>90</v>
      </c>
      <c r="Z204">
        <v>90</v>
      </c>
      <c r="AA204">
        <v>90</v>
      </c>
      <c r="AB204">
        <v>90</v>
      </c>
      <c r="AC204">
        <v>90</v>
      </c>
      <c r="AD204">
        <v>90</v>
      </c>
      <c r="AE204">
        <v>90</v>
      </c>
      <c r="AF204">
        <v>90</v>
      </c>
      <c r="AG204">
        <v>90</v>
      </c>
      <c r="AH204">
        <v>90</v>
      </c>
      <c r="AI204">
        <v>90</v>
      </c>
      <c r="AJ204">
        <v>90</v>
      </c>
      <c r="AK204">
        <v>90</v>
      </c>
      <c r="AL204">
        <v>90</v>
      </c>
      <c r="AM204">
        <v>90</v>
      </c>
      <c r="AN204">
        <v>90</v>
      </c>
      <c r="AO204">
        <v>90</v>
      </c>
      <c r="AP204">
        <v>90</v>
      </c>
      <c r="AQ204">
        <v>90</v>
      </c>
      <c r="AR204">
        <v>90</v>
      </c>
      <c r="AS204">
        <v>90</v>
      </c>
      <c r="AT204">
        <v>90</v>
      </c>
      <c r="AU204">
        <v>90</v>
      </c>
      <c r="AV204">
        <v>90</v>
      </c>
      <c r="AW204">
        <v>90</v>
      </c>
      <c r="AX204">
        <v>90</v>
      </c>
      <c r="AY204">
        <v>90</v>
      </c>
    </row>
    <row r="205" spans="1:51" x14ac:dyDescent="0.3">
      <c r="A205" t="s">
        <v>678</v>
      </c>
      <c r="B205" t="s">
        <v>284</v>
      </c>
      <c r="C205">
        <v>162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3">
      <c r="A206" t="s">
        <v>678</v>
      </c>
      <c r="B206" t="s">
        <v>285</v>
      </c>
      <c r="D206">
        <v>82.5</v>
      </c>
      <c r="E206">
        <v>114.03</v>
      </c>
      <c r="F206">
        <v>122.28</v>
      </c>
      <c r="G206">
        <v>122.28</v>
      </c>
      <c r="H206">
        <v>122.28</v>
      </c>
      <c r="I206">
        <v>122.28</v>
      </c>
      <c r="J206">
        <v>122.28</v>
      </c>
      <c r="K206">
        <v>122.28</v>
      </c>
      <c r="L206">
        <v>122.28</v>
      </c>
      <c r="M206">
        <v>122.28</v>
      </c>
      <c r="N206">
        <v>122.28</v>
      </c>
      <c r="O206">
        <v>122.28</v>
      </c>
      <c r="P206">
        <v>122.28</v>
      </c>
      <c r="Q206">
        <v>122.28</v>
      </c>
      <c r="R206">
        <v>151.25</v>
      </c>
      <c r="S206">
        <v>245.04</v>
      </c>
      <c r="T206">
        <v>281.36</v>
      </c>
      <c r="U206">
        <v>400</v>
      </c>
      <c r="V206">
        <v>400</v>
      </c>
      <c r="W206">
        <v>400</v>
      </c>
      <c r="X206">
        <v>400</v>
      </c>
      <c r="Y206">
        <v>400</v>
      </c>
      <c r="Z206">
        <v>400</v>
      </c>
      <c r="AA206">
        <v>281.36</v>
      </c>
      <c r="AB206">
        <v>281.36</v>
      </c>
      <c r="AC206">
        <v>281.36</v>
      </c>
      <c r="AD206">
        <v>281.36</v>
      </c>
      <c r="AE206">
        <v>281.36</v>
      </c>
      <c r="AF206">
        <v>281.36</v>
      </c>
      <c r="AG206">
        <v>281.36</v>
      </c>
      <c r="AH206">
        <v>281.36</v>
      </c>
      <c r="AI206">
        <v>281.36</v>
      </c>
      <c r="AJ206">
        <v>281.36</v>
      </c>
      <c r="AK206">
        <v>281.36</v>
      </c>
      <c r="AL206">
        <v>281.36</v>
      </c>
      <c r="AM206">
        <v>367.93</v>
      </c>
      <c r="AN206">
        <v>281.36</v>
      </c>
      <c r="AO206">
        <v>281.36</v>
      </c>
      <c r="AP206">
        <v>281.36</v>
      </c>
      <c r="AQ206">
        <v>270.72000000000003</v>
      </c>
      <c r="AR206">
        <v>187.57</v>
      </c>
      <c r="AS206">
        <v>176.94</v>
      </c>
      <c r="AT206">
        <v>122.28</v>
      </c>
      <c r="AU206">
        <v>122.28</v>
      </c>
      <c r="AV206">
        <v>122.28</v>
      </c>
      <c r="AW206">
        <v>122.28</v>
      </c>
      <c r="AX206">
        <v>122.28</v>
      </c>
      <c r="AY206">
        <v>122.28</v>
      </c>
    </row>
    <row r="207" spans="1:51" x14ac:dyDescent="0.3">
      <c r="A207" t="s">
        <v>678</v>
      </c>
      <c r="B207" t="s">
        <v>286</v>
      </c>
      <c r="D207">
        <v>180.85</v>
      </c>
      <c r="E207">
        <v>180.85</v>
      </c>
      <c r="F207">
        <v>180.85</v>
      </c>
      <c r="G207">
        <v>180.85</v>
      </c>
      <c r="H207">
        <v>180.85</v>
      </c>
      <c r="I207">
        <v>180.85</v>
      </c>
      <c r="J207">
        <v>180.85</v>
      </c>
      <c r="K207">
        <v>180.85</v>
      </c>
      <c r="L207">
        <v>180.85</v>
      </c>
      <c r="M207">
        <v>180.85</v>
      </c>
      <c r="N207">
        <v>180.85</v>
      </c>
      <c r="O207">
        <v>180.85</v>
      </c>
      <c r="P207">
        <v>180.85</v>
      </c>
      <c r="Q207">
        <v>180.85</v>
      </c>
      <c r="R207">
        <v>180.85</v>
      </c>
      <c r="S207">
        <v>180.85</v>
      </c>
      <c r="T207">
        <v>180.85</v>
      </c>
      <c r="U207">
        <v>180.85</v>
      </c>
      <c r="V207">
        <v>180.85</v>
      </c>
      <c r="W207">
        <v>180.85</v>
      </c>
      <c r="X207">
        <v>180.85</v>
      </c>
      <c r="Y207">
        <v>180.85</v>
      </c>
      <c r="Z207">
        <v>180.85</v>
      </c>
      <c r="AA207">
        <v>201.96</v>
      </c>
      <c r="AB207">
        <v>180.85</v>
      </c>
      <c r="AC207">
        <v>180.85</v>
      </c>
      <c r="AD207">
        <v>231.44</v>
      </c>
      <c r="AE207">
        <v>215.24</v>
      </c>
      <c r="AF207">
        <v>216.66</v>
      </c>
      <c r="AG207">
        <v>248.24</v>
      </c>
      <c r="AH207">
        <v>204.59</v>
      </c>
      <c r="AI207">
        <v>240.04</v>
      </c>
      <c r="AJ207">
        <v>192.31</v>
      </c>
      <c r="AK207">
        <v>180.85</v>
      </c>
      <c r="AL207">
        <v>180.85</v>
      </c>
      <c r="AM207">
        <v>340</v>
      </c>
      <c r="AN207">
        <v>340</v>
      </c>
      <c r="AO207">
        <v>251.74</v>
      </c>
      <c r="AP207">
        <v>251.74</v>
      </c>
      <c r="AQ207">
        <v>251.74</v>
      </c>
      <c r="AR207">
        <v>251.74</v>
      </c>
      <c r="AS207">
        <v>180.85</v>
      </c>
      <c r="AT207">
        <v>251.74</v>
      </c>
      <c r="AU207">
        <v>180.85</v>
      </c>
      <c r="AV207">
        <v>180.85</v>
      </c>
      <c r="AW207">
        <v>207.96</v>
      </c>
      <c r="AX207">
        <v>200.84</v>
      </c>
      <c r="AY207">
        <v>199.83</v>
      </c>
    </row>
    <row r="208" spans="1:51" x14ac:dyDescent="0.3">
      <c r="A208" t="s">
        <v>678</v>
      </c>
      <c r="B208" t="s">
        <v>287</v>
      </c>
      <c r="C208">
        <v>165</v>
      </c>
      <c r="D208">
        <v>119.75</v>
      </c>
      <c r="E208">
        <v>82.5</v>
      </c>
      <c r="F208">
        <v>82.5</v>
      </c>
      <c r="G208">
        <v>82.5</v>
      </c>
      <c r="H208">
        <v>82.5</v>
      </c>
      <c r="I208">
        <v>82.5</v>
      </c>
      <c r="J208">
        <v>82.5</v>
      </c>
      <c r="K208">
        <v>82.5</v>
      </c>
      <c r="L208">
        <v>82.5</v>
      </c>
      <c r="M208">
        <v>82.5</v>
      </c>
      <c r="N208">
        <v>82.5</v>
      </c>
      <c r="O208">
        <v>82.5</v>
      </c>
      <c r="P208">
        <v>104.52</v>
      </c>
      <c r="Q208">
        <v>115.64</v>
      </c>
      <c r="R208">
        <v>144.24</v>
      </c>
      <c r="S208">
        <v>165</v>
      </c>
      <c r="T208">
        <v>143.91999999999999</v>
      </c>
      <c r="U208">
        <v>96.28</v>
      </c>
      <c r="V208">
        <v>165</v>
      </c>
      <c r="W208">
        <v>165</v>
      </c>
      <c r="X208">
        <v>165</v>
      </c>
      <c r="Y208">
        <v>165</v>
      </c>
      <c r="Z208">
        <v>165</v>
      </c>
      <c r="AA208">
        <v>164.14</v>
      </c>
      <c r="AB208">
        <v>159.86000000000001</v>
      </c>
      <c r="AC208">
        <v>162.15</v>
      </c>
      <c r="AD208">
        <v>165</v>
      </c>
      <c r="AE208">
        <v>165</v>
      </c>
      <c r="AF208">
        <v>165</v>
      </c>
      <c r="AG208">
        <v>165</v>
      </c>
      <c r="AH208">
        <v>165</v>
      </c>
      <c r="AI208">
        <v>165</v>
      </c>
      <c r="AJ208">
        <v>165</v>
      </c>
      <c r="AK208">
        <v>165</v>
      </c>
      <c r="AL208">
        <v>165</v>
      </c>
      <c r="AM208">
        <v>165</v>
      </c>
      <c r="AN208">
        <v>165</v>
      </c>
      <c r="AO208">
        <v>165</v>
      </c>
      <c r="AP208">
        <v>165</v>
      </c>
      <c r="AQ208">
        <v>165</v>
      </c>
      <c r="AR208">
        <v>165</v>
      </c>
      <c r="AS208">
        <v>165</v>
      </c>
      <c r="AT208">
        <v>165</v>
      </c>
      <c r="AU208">
        <v>139.94999999999999</v>
      </c>
      <c r="AV208">
        <v>118.47</v>
      </c>
      <c r="AW208">
        <v>82.5</v>
      </c>
      <c r="AX208">
        <v>82.5</v>
      </c>
      <c r="AY208">
        <v>163.16</v>
      </c>
    </row>
    <row r="209" spans="1:51" x14ac:dyDescent="0.3">
      <c r="A209" t="s">
        <v>678</v>
      </c>
      <c r="B209" t="s">
        <v>288</v>
      </c>
      <c r="C209">
        <v>330</v>
      </c>
      <c r="D209">
        <v>239.51</v>
      </c>
      <c r="E209">
        <v>165</v>
      </c>
      <c r="F209">
        <v>165</v>
      </c>
      <c r="G209">
        <v>165</v>
      </c>
      <c r="H209">
        <v>165</v>
      </c>
      <c r="I209">
        <v>165</v>
      </c>
      <c r="J209">
        <v>165</v>
      </c>
      <c r="K209">
        <v>165</v>
      </c>
      <c r="L209">
        <v>165</v>
      </c>
      <c r="M209">
        <v>165</v>
      </c>
      <c r="N209">
        <v>165</v>
      </c>
      <c r="O209">
        <v>165</v>
      </c>
      <c r="P209">
        <v>209.04</v>
      </c>
      <c r="Q209">
        <v>231.28</v>
      </c>
      <c r="R209">
        <v>288.49</v>
      </c>
      <c r="S209">
        <v>330</v>
      </c>
      <c r="T209">
        <v>287.83999999999997</v>
      </c>
      <c r="U209">
        <v>192.55</v>
      </c>
      <c r="V209">
        <v>330</v>
      </c>
      <c r="W209">
        <v>330</v>
      </c>
      <c r="X209">
        <v>330</v>
      </c>
      <c r="Y209">
        <v>330</v>
      </c>
      <c r="Z209">
        <v>330</v>
      </c>
      <c r="AA209">
        <v>328.27</v>
      </c>
      <c r="AB209">
        <v>319.73</v>
      </c>
      <c r="AC209">
        <v>324.3</v>
      </c>
      <c r="AD209">
        <v>330</v>
      </c>
      <c r="AE209">
        <v>330</v>
      </c>
      <c r="AF209">
        <v>330</v>
      </c>
      <c r="AG209">
        <v>330</v>
      </c>
      <c r="AH209">
        <v>330</v>
      </c>
      <c r="AI209">
        <v>330</v>
      </c>
      <c r="AJ209">
        <v>330</v>
      </c>
      <c r="AK209">
        <v>330</v>
      </c>
      <c r="AL209">
        <v>330</v>
      </c>
      <c r="AM209">
        <v>330</v>
      </c>
      <c r="AN209">
        <v>330</v>
      </c>
      <c r="AO209">
        <v>330</v>
      </c>
      <c r="AP209">
        <v>330</v>
      </c>
      <c r="AQ209">
        <v>330</v>
      </c>
      <c r="AR209">
        <v>330</v>
      </c>
      <c r="AS209">
        <v>330</v>
      </c>
      <c r="AT209">
        <v>330</v>
      </c>
      <c r="AU209">
        <v>279.89999999999998</v>
      </c>
      <c r="AV209">
        <v>236.93</v>
      </c>
      <c r="AW209">
        <v>165</v>
      </c>
      <c r="AX209">
        <v>165</v>
      </c>
      <c r="AY209">
        <v>326.32</v>
      </c>
    </row>
    <row r="210" spans="1:51" x14ac:dyDescent="0.3">
      <c r="A210" t="s">
        <v>678</v>
      </c>
      <c r="B210" t="s">
        <v>290</v>
      </c>
      <c r="D210">
        <v>188.19</v>
      </c>
      <c r="E210">
        <v>188.19</v>
      </c>
      <c r="F210">
        <v>188.19</v>
      </c>
      <c r="G210">
        <v>188.19</v>
      </c>
      <c r="H210">
        <v>188.19</v>
      </c>
      <c r="I210">
        <v>188.19</v>
      </c>
      <c r="J210">
        <v>188.19</v>
      </c>
      <c r="K210">
        <v>188.19</v>
      </c>
      <c r="L210">
        <v>188.19</v>
      </c>
      <c r="M210">
        <v>188.19</v>
      </c>
      <c r="N210">
        <v>188.19</v>
      </c>
      <c r="O210">
        <v>188.19</v>
      </c>
      <c r="P210">
        <v>188.19</v>
      </c>
      <c r="Q210">
        <v>188.19</v>
      </c>
      <c r="R210">
        <v>188.19</v>
      </c>
      <c r="S210">
        <v>188.19</v>
      </c>
      <c r="T210">
        <v>188.19</v>
      </c>
      <c r="U210">
        <v>173.77</v>
      </c>
      <c r="V210">
        <v>188.19</v>
      </c>
      <c r="W210">
        <v>188.19</v>
      </c>
      <c r="X210">
        <v>188.19</v>
      </c>
      <c r="Y210">
        <v>188.19</v>
      </c>
      <c r="Z210">
        <v>188.19</v>
      </c>
      <c r="AA210">
        <v>188.19</v>
      </c>
      <c r="AB210">
        <v>188.19</v>
      </c>
      <c r="AC210">
        <v>188.19</v>
      </c>
      <c r="AD210">
        <v>188.19</v>
      </c>
      <c r="AE210">
        <v>188.19</v>
      </c>
      <c r="AF210">
        <v>188.19</v>
      </c>
      <c r="AG210">
        <v>188.19</v>
      </c>
      <c r="AH210">
        <v>188.19</v>
      </c>
      <c r="AI210">
        <v>188.19</v>
      </c>
      <c r="AJ210">
        <v>188.19</v>
      </c>
      <c r="AK210">
        <v>188.19</v>
      </c>
      <c r="AL210">
        <v>188.19</v>
      </c>
      <c r="AM210">
        <v>208.77</v>
      </c>
      <c r="AN210">
        <v>188.19</v>
      </c>
      <c r="AO210">
        <v>188.19</v>
      </c>
      <c r="AP210">
        <v>188.19</v>
      </c>
      <c r="AQ210">
        <v>188.19</v>
      </c>
      <c r="AR210">
        <v>188.19</v>
      </c>
      <c r="AS210">
        <v>188.19</v>
      </c>
      <c r="AT210">
        <v>188.19</v>
      </c>
      <c r="AU210">
        <v>188.19</v>
      </c>
      <c r="AV210">
        <v>188.19</v>
      </c>
      <c r="AW210">
        <v>188.19</v>
      </c>
      <c r="AX210">
        <v>188.19</v>
      </c>
      <c r="AY210">
        <v>188.19</v>
      </c>
    </row>
    <row r="211" spans="1:51" x14ac:dyDescent="0.3">
      <c r="A211" t="s">
        <v>678</v>
      </c>
      <c r="B211" t="s">
        <v>291</v>
      </c>
    </row>
    <row r="212" spans="1:51" x14ac:dyDescent="0.3">
      <c r="A212" t="s">
        <v>678</v>
      </c>
      <c r="B212" t="s">
        <v>31</v>
      </c>
      <c r="C212">
        <v>625</v>
      </c>
      <c r="D212">
        <v>612.5</v>
      </c>
      <c r="E212">
        <v>612.5</v>
      </c>
      <c r="F212">
        <v>612.5</v>
      </c>
      <c r="G212">
        <v>612.5</v>
      </c>
      <c r="H212">
        <v>612.5</v>
      </c>
      <c r="I212">
        <v>612.5</v>
      </c>
      <c r="J212">
        <v>612.5</v>
      </c>
      <c r="K212">
        <v>612.5</v>
      </c>
      <c r="L212">
        <v>612.5</v>
      </c>
      <c r="M212">
        <v>612.5</v>
      </c>
      <c r="N212">
        <v>612.5</v>
      </c>
      <c r="O212">
        <v>612.5</v>
      </c>
      <c r="P212">
        <v>612.5</v>
      </c>
      <c r="Q212">
        <v>612.5</v>
      </c>
      <c r="R212">
        <v>612.5</v>
      </c>
      <c r="S212">
        <v>612.5</v>
      </c>
      <c r="T212">
        <v>612.5</v>
      </c>
      <c r="U212">
        <v>612.5</v>
      </c>
      <c r="V212">
        <v>612.5</v>
      </c>
      <c r="W212">
        <v>612.5</v>
      </c>
      <c r="X212">
        <v>612.5</v>
      </c>
      <c r="Y212">
        <v>612.5</v>
      </c>
      <c r="Z212">
        <v>612.5</v>
      </c>
      <c r="AA212">
        <v>612.5</v>
      </c>
      <c r="AB212">
        <v>612.5</v>
      </c>
      <c r="AC212">
        <v>612.5</v>
      </c>
      <c r="AD212">
        <v>612.5</v>
      </c>
      <c r="AE212">
        <v>612.5</v>
      </c>
      <c r="AF212">
        <v>612.5</v>
      </c>
      <c r="AG212">
        <v>612.5</v>
      </c>
      <c r="AH212">
        <v>612.5</v>
      </c>
      <c r="AI212">
        <v>612.5</v>
      </c>
      <c r="AJ212">
        <v>612.5</v>
      </c>
      <c r="AK212">
        <v>612.5</v>
      </c>
      <c r="AL212">
        <v>612.5</v>
      </c>
      <c r="AM212">
        <v>612.5</v>
      </c>
      <c r="AN212">
        <v>612.5</v>
      </c>
      <c r="AO212">
        <v>612.5</v>
      </c>
      <c r="AP212">
        <v>612.5</v>
      </c>
      <c r="AQ212">
        <v>612.5</v>
      </c>
      <c r="AR212">
        <v>612.5</v>
      </c>
      <c r="AS212">
        <v>612.5</v>
      </c>
      <c r="AT212">
        <v>612.5</v>
      </c>
      <c r="AU212">
        <v>612.5</v>
      </c>
      <c r="AV212">
        <v>612.5</v>
      </c>
      <c r="AW212">
        <v>612.5</v>
      </c>
      <c r="AX212">
        <v>612.5</v>
      </c>
      <c r="AY212">
        <v>612.5</v>
      </c>
    </row>
    <row r="213" spans="1:51" x14ac:dyDescent="0.3">
      <c r="A213" t="s">
        <v>678</v>
      </c>
      <c r="B213" t="s">
        <v>66</v>
      </c>
      <c r="C213">
        <v>991</v>
      </c>
      <c r="D213">
        <v>921.2</v>
      </c>
      <c r="E213">
        <v>921.2</v>
      </c>
      <c r="F213">
        <v>921.2</v>
      </c>
      <c r="G213">
        <v>921.2</v>
      </c>
      <c r="H213">
        <v>921.2</v>
      </c>
      <c r="I213">
        <v>921.2</v>
      </c>
      <c r="J213">
        <v>921.2</v>
      </c>
      <c r="K213">
        <v>921.2</v>
      </c>
      <c r="L213">
        <v>921.2</v>
      </c>
      <c r="M213">
        <v>921.2</v>
      </c>
      <c r="N213">
        <v>921.2</v>
      </c>
      <c r="O213">
        <v>921.2</v>
      </c>
      <c r="P213">
        <v>921.2</v>
      </c>
      <c r="Q213">
        <v>921.2</v>
      </c>
      <c r="R213">
        <v>921.2</v>
      </c>
      <c r="S213">
        <v>921.2</v>
      </c>
      <c r="T213">
        <v>921.2</v>
      </c>
      <c r="U213">
        <v>921.2</v>
      </c>
      <c r="V213">
        <v>921.2</v>
      </c>
      <c r="W213">
        <v>921.2</v>
      </c>
      <c r="X213">
        <v>921.2</v>
      </c>
      <c r="Y213">
        <v>921.2</v>
      </c>
      <c r="Z213">
        <v>921.2</v>
      </c>
      <c r="AA213">
        <v>921.2</v>
      </c>
      <c r="AB213">
        <v>921.2</v>
      </c>
      <c r="AC213">
        <v>921.2</v>
      </c>
      <c r="AD213">
        <v>921.2</v>
      </c>
      <c r="AE213">
        <v>921.2</v>
      </c>
      <c r="AF213">
        <v>921.2</v>
      </c>
      <c r="AG213">
        <v>921.2</v>
      </c>
      <c r="AH213">
        <v>921.2</v>
      </c>
      <c r="AI213">
        <v>921.2</v>
      </c>
      <c r="AJ213">
        <v>921.2</v>
      </c>
      <c r="AK213">
        <v>921.2</v>
      </c>
      <c r="AL213">
        <v>921.2</v>
      </c>
      <c r="AM213">
        <v>921.2</v>
      </c>
      <c r="AN213">
        <v>921.2</v>
      </c>
      <c r="AO213">
        <v>921.2</v>
      </c>
      <c r="AP213">
        <v>921.2</v>
      </c>
      <c r="AQ213">
        <v>921.2</v>
      </c>
      <c r="AR213">
        <v>921.2</v>
      </c>
      <c r="AS213">
        <v>921.2</v>
      </c>
      <c r="AT213">
        <v>921.2</v>
      </c>
      <c r="AU213">
        <v>921.2</v>
      </c>
      <c r="AV213">
        <v>921.2</v>
      </c>
      <c r="AW213">
        <v>921.2</v>
      </c>
      <c r="AX213">
        <v>921.2</v>
      </c>
      <c r="AY213">
        <v>921.2</v>
      </c>
    </row>
    <row r="214" spans="1:51" x14ac:dyDescent="0.3">
      <c r="A214" t="s">
        <v>678</v>
      </c>
      <c r="B214" t="s">
        <v>68</v>
      </c>
      <c r="C214">
        <v>991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3">
      <c r="A215" t="s">
        <v>678</v>
      </c>
      <c r="B215" t="s">
        <v>41</v>
      </c>
      <c r="C215">
        <v>1000</v>
      </c>
      <c r="D215">
        <v>980</v>
      </c>
      <c r="E215">
        <v>980</v>
      </c>
      <c r="F215">
        <v>980</v>
      </c>
      <c r="G215">
        <v>980</v>
      </c>
      <c r="H215">
        <v>980</v>
      </c>
      <c r="I215">
        <v>980</v>
      </c>
      <c r="J215">
        <v>980</v>
      </c>
      <c r="K215">
        <v>980</v>
      </c>
      <c r="L215">
        <v>980</v>
      </c>
      <c r="M215">
        <v>980</v>
      </c>
      <c r="N215">
        <v>980</v>
      </c>
      <c r="O215">
        <v>980</v>
      </c>
      <c r="P215">
        <v>980</v>
      </c>
      <c r="Q215">
        <v>980</v>
      </c>
      <c r="R215">
        <v>980</v>
      </c>
      <c r="S215">
        <v>980</v>
      </c>
      <c r="T215">
        <v>980</v>
      </c>
      <c r="U215">
        <v>980</v>
      </c>
      <c r="V215">
        <v>980</v>
      </c>
      <c r="W215">
        <v>980</v>
      </c>
      <c r="X215">
        <v>980</v>
      </c>
      <c r="Y215">
        <v>980</v>
      </c>
      <c r="Z215">
        <v>980</v>
      </c>
      <c r="AA215">
        <v>980</v>
      </c>
      <c r="AB215">
        <v>980</v>
      </c>
      <c r="AC215">
        <v>980</v>
      </c>
      <c r="AD215">
        <v>980</v>
      </c>
      <c r="AE215">
        <v>980</v>
      </c>
      <c r="AF215">
        <v>980</v>
      </c>
      <c r="AG215">
        <v>980</v>
      </c>
      <c r="AH215">
        <v>980</v>
      </c>
      <c r="AI215">
        <v>980</v>
      </c>
      <c r="AJ215">
        <v>980</v>
      </c>
      <c r="AK215">
        <v>980</v>
      </c>
      <c r="AL215">
        <v>980</v>
      </c>
      <c r="AM215">
        <v>980</v>
      </c>
      <c r="AN215">
        <v>980</v>
      </c>
      <c r="AO215">
        <v>980</v>
      </c>
      <c r="AP215">
        <v>980</v>
      </c>
      <c r="AQ215">
        <v>980</v>
      </c>
      <c r="AR215">
        <v>980</v>
      </c>
      <c r="AS215">
        <v>980</v>
      </c>
      <c r="AT215">
        <v>980</v>
      </c>
      <c r="AU215">
        <v>980</v>
      </c>
      <c r="AV215">
        <v>980</v>
      </c>
      <c r="AW215">
        <v>980</v>
      </c>
      <c r="AX215">
        <v>980</v>
      </c>
      <c r="AY215">
        <v>980</v>
      </c>
    </row>
    <row r="216" spans="1:51" x14ac:dyDescent="0.3">
      <c r="A216" t="s">
        <v>678</v>
      </c>
      <c r="B216" t="s">
        <v>45</v>
      </c>
      <c r="C216">
        <v>1000</v>
      </c>
      <c r="D216">
        <v>980</v>
      </c>
      <c r="E216">
        <v>980</v>
      </c>
      <c r="F216">
        <v>980</v>
      </c>
      <c r="G216">
        <v>980</v>
      </c>
      <c r="H216">
        <v>980</v>
      </c>
      <c r="I216">
        <v>980</v>
      </c>
      <c r="J216">
        <v>980</v>
      </c>
      <c r="K216">
        <v>980</v>
      </c>
      <c r="L216">
        <v>980</v>
      </c>
      <c r="M216">
        <v>980</v>
      </c>
      <c r="N216">
        <v>980</v>
      </c>
      <c r="O216">
        <v>980</v>
      </c>
      <c r="P216">
        <v>980</v>
      </c>
      <c r="Q216">
        <v>980</v>
      </c>
      <c r="R216">
        <v>980</v>
      </c>
      <c r="S216">
        <v>980</v>
      </c>
      <c r="T216">
        <v>980</v>
      </c>
      <c r="U216">
        <v>980</v>
      </c>
      <c r="V216">
        <v>980</v>
      </c>
      <c r="W216">
        <v>980</v>
      </c>
      <c r="X216">
        <v>980</v>
      </c>
      <c r="Y216">
        <v>980</v>
      </c>
      <c r="Z216">
        <v>980</v>
      </c>
      <c r="AA216">
        <v>980</v>
      </c>
      <c r="AB216">
        <v>980</v>
      </c>
      <c r="AC216">
        <v>980</v>
      </c>
      <c r="AD216">
        <v>980</v>
      </c>
      <c r="AE216">
        <v>980</v>
      </c>
      <c r="AF216">
        <v>980</v>
      </c>
      <c r="AG216">
        <v>980</v>
      </c>
      <c r="AH216">
        <v>980</v>
      </c>
      <c r="AI216">
        <v>980</v>
      </c>
      <c r="AJ216">
        <v>980</v>
      </c>
      <c r="AK216">
        <v>980</v>
      </c>
      <c r="AL216">
        <v>980</v>
      </c>
      <c r="AM216">
        <v>980</v>
      </c>
      <c r="AN216">
        <v>980</v>
      </c>
      <c r="AO216">
        <v>980</v>
      </c>
      <c r="AP216">
        <v>980</v>
      </c>
      <c r="AQ216">
        <v>980</v>
      </c>
      <c r="AR216">
        <v>980</v>
      </c>
      <c r="AS216">
        <v>980</v>
      </c>
      <c r="AT216">
        <v>980</v>
      </c>
      <c r="AU216">
        <v>980</v>
      </c>
      <c r="AV216">
        <v>980</v>
      </c>
      <c r="AW216">
        <v>980</v>
      </c>
      <c r="AX216">
        <v>980</v>
      </c>
      <c r="AY216">
        <v>980</v>
      </c>
    </row>
    <row r="217" spans="1:51" x14ac:dyDescent="0.3">
      <c r="A217" t="s">
        <v>678</v>
      </c>
      <c r="B217" t="s">
        <v>292</v>
      </c>
      <c r="C217">
        <v>14.48911</v>
      </c>
      <c r="D217">
        <v>14.49</v>
      </c>
      <c r="E217">
        <v>14.49</v>
      </c>
      <c r="F217">
        <v>14.49</v>
      </c>
      <c r="G217">
        <v>14.49</v>
      </c>
      <c r="H217">
        <v>14.49</v>
      </c>
      <c r="I217">
        <v>14.49</v>
      </c>
      <c r="J217">
        <v>14.49</v>
      </c>
      <c r="K217">
        <v>14.49</v>
      </c>
      <c r="L217">
        <v>14.49</v>
      </c>
      <c r="M217">
        <v>14.49</v>
      </c>
      <c r="N217">
        <v>14.49</v>
      </c>
      <c r="O217">
        <v>14.49</v>
      </c>
      <c r="P217">
        <v>14.49</v>
      </c>
      <c r="Q217">
        <v>14.49</v>
      </c>
      <c r="R217">
        <v>14.49</v>
      </c>
      <c r="S217">
        <v>14.49</v>
      </c>
      <c r="T217">
        <v>14.49</v>
      </c>
      <c r="U217">
        <v>14.49</v>
      </c>
      <c r="V217">
        <v>14.49</v>
      </c>
      <c r="W217">
        <v>14.49</v>
      </c>
      <c r="X217">
        <v>14.49</v>
      </c>
      <c r="Y217">
        <v>14.49</v>
      </c>
      <c r="Z217">
        <v>14.49</v>
      </c>
      <c r="AA217">
        <v>14.49</v>
      </c>
      <c r="AB217">
        <v>14.49</v>
      </c>
      <c r="AC217">
        <v>14.49</v>
      </c>
      <c r="AD217">
        <v>14.49</v>
      </c>
      <c r="AE217">
        <v>14.49</v>
      </c>
      <c r="AF217">
        <v>14.49</v>
      </c>
      <c r="AG217">
        <v>14.49</v>
      </c>
      <c r="AH217">
        <v>14.49</v>
      </c>
      <c r="AI217">
        <v>14.49</v>
      </c>
      <c r="AJ217">
        <v>14.49</v>
      </c>
      <c r="AK217">
        <v>14.49</v>
      </c>
      <c r="AL217">
        <v>14.49</v>
      </c>
      <c r="AM217">
        <v>14.49</v>
      </c>
      <c r="AN217">
        <v>14.49</v>
      </c>
      <c r="AO217">
        <v>14.49</v>
      </c>
      <c r="AP217">
        <v>14.49</v>
      </c>
      <c r="AQ217">
        <v>14.49</v>
      </c>
      <c r="AR217">
        <v>14.49</v>
      </c>
      <c r="AS217">
        <v>14.49</v>
      </c>
      <c r="AT217">
        <v>14.49</v>
      </c>
      <c r="AU217">
        <v>14.49</v>
      </c>
      <c r="AV217">
        <v>14.49</v>
      </c>
      <c r="AW217">
        <v>14.49</v>
      </c>
      <c r="AX217">
        <v>14.49</v>
      </c>
      <c r="AY217">
        <v>14.49</v>
      </c>
    </row>
    <row r="218" spans="1:51" x14ac:dyDescent="0.3">
      <c r="A218" t="s">
        <v>678</v>
      </c>
      <c r="B218" t="s">
        <v>297</v>
      </c>
      <c r="C218">
        <v>174.6</v>
      </c>
      <c r="D218">
        <v>100</v>
      </c>
      <c r="E218">
        <v>100</v>
      </c>
      <c r="F218">
        <v>75.28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150</v>
      </c>
      <c r="N218">
        <v>150</v>
      </c>
      <c r="O218">
        <v>150</v>
      </c>
      <c r="P218">
        <v>150</v>
      </c>
      <c r="Q218">
        <v>0</v>
      </c>
      <c r="R218">
        <v>150</v>
      </c>
      <c r="S218">
        <v>150</v>
      </c>
      <c r="T218">
        <v>150</v>
      </c>
      <c r="U218">
        <v>150</v>
      </c>
      <c r="V218">
        <v>150</v>
      </c>
      <c r="W218">
        <v>150</v>
      </c>
      <c r="X218">
        <v>150</v>
      </c>
      <c r="Y218">
        <v>150</v>
      </c>
      <c r="Z218">
        <v>150</v>
      </c>
      <c r="AA218">
        <v>150</v>
      </c>
      <c r="AB218">
        <v>150</v>
      </c>
      <c r="AC218">
        <v>150</v>
      </c>
      <c r="AD218">
        <v>150</v>
      </c>
      <c r="AE218">
        <v>150</v>
      </c>
      <c r="AF218">
        <v>150</v>
      </c>
      <c r="AG218">
        <v>150</v>
      </c>
      <c r="AH218">
        <v>150</v>
      </c>
      <c r="AI218">
        <v>150</v>
      </c>
      <c r="AJ218">
        <v>150</v>
      </c>
      <c r="AK218">
        <v>150</v>
      </c>
      <c r="AL218">
        <v>150</v>
      </c>
      <c r="AM218">
        <v>150</v>
      </c>
      <c r="AN218">
        <v>150</v>
      </c>
      <c r="AO218">
        <v>150</v>
      </c>
      <c r="AP218">
        <v>150</v>
      </c>
      <c r="AQ218">
        <v>150</v>
      </c>
      <c r="AR218">
        <v>150</v>
      </c>
      <c r="AS218">
        <v>150</v>
      </c>
      <c r="AT218">
        <v>150</v>
      </c>
      <c r="AU218">
        <v>150</v>
      </c>
      <c r="AV218">
        <v>150</v>
      </c>
      <c r="AW218">
        <v>150</v>
      </c>
      <c r="AX218">
        <v>150</v>
      </c>
      <c r="AY218">
        <v>99.81</v>
      </c>
    </row>
    <row r="219" spans="1:51" x14ac:dyDescent="0.3">
      <c r="A219" t="s">
        <v>678</v>
      </c>
      <c r="B219" t="s">
        <v>298</v>
      </c>
      <c r="C219">
        <v>174.6</v>
      </c>
      <c r="D219">
        <v>100</v>
      </c>
      <c r="E219">
        <v>100</v>
      </c>
      <c r="F219">
        <v>75.28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150</v>
      </c>
      <c r="T219">
        <v>150</v>
      </c>
      <c r="U219">
        <v>150</v>
      </c>
      <c r="V219">
        <v>150</v>
      </c>
      <c r="W219">
        <v>150</v>
      </c>
      <c r="X219">
        <v>150</v>
      </c>
      <c r="Y219">
        <v>150</v>
      </c>
      <c r="Z219">
        <v>150</v>
      </c>
      <c r="AA219">
        <v>150</v>
      </c>
      <c r="AB219">
        <v>150</v>
      </c>
      <c r="AC219">
        <v>150</v>
      </c>
      <c r="AD219">
        <v>150</v>
      </c>
      <c r="AE219">
        <v>150</v>
      </c>
      <c r="AF219">
        <v>150</v>
      </c>
      <c r="AG219">
        <v>150</v>
      </c>
      <c r="AH219">
        <v>150</v>
      </c>
      <c r="AI219">
        <v>150</v>
      </c>
      <c r="AJ219">
        <v>150</v>
      </c>
      <c r="AK219">
        <v>150</v>
      </c>
      <c r="AL219">
        <v>150</v>
      </c>
      <c r="AM219">
        <v>150</v>
      </c>
      <c r="AN219">
        <v>150</v>
      </c>
      <c r="AO219">
        <v>150</v>
      </c>
      <c r="AP219">
        <v>150</v>
      </c>
      <c r="AQ219">
        <v>150</v>
      </c>
      <c r="AR219">
        <v>150</v>
      </c>
      <c r="AS219">
        <v>150</v>
      </c>
      <c r="AT219">
        <v>150</v>
      </c>
      <c r="AU219">
        <v>150</v>
      </c>
      <c r="AV219">
        <v>150</v>
      </c>
      <c r="AW219">
        <v>150</v>
      </c>
      <c r="AX219">
        <v>150</v>
      </c>
      <c r="AY219">
        <v>99.81</v>
      </c>
    </row>
    <row r="220" spans="1:51" x14ac:dyDescent="0.3">
      <c r="A220" t="s">
        <v>678</v>
      </c>
      <c r="B220" t="s">
        <v>299</v>
      </c>
      <c r="C220">
        <v>174.6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150</v>
      </c>
      <c r="T220">
        <v>150</v>
      </c>
      <c r="U220">
        <v>150</v>
      </c>
      <c r="V220">
        <v>150</v>
      </c>
      <c r="W220">
        <v>150</v>
      </c>
      <c r="X220">
        <v>150</v>
      </c>
      <c r="Y220">
        <v>150</v>
      </c>
      <c r="Z220">
        <v>150</v>
      </c>
      <c r="AA220">
        <v>150</v>
      </c>
      <c r="AB220">
        <v>150</v>
      </c>
      <c r="AC220">
        <v>150</v>
      </c>
      <c r="AD220">
        <v>150</v>
      </c>
      <c r="AE220">
        <v>150</v>
      </c>
      <c r="AF220">
        <v>150</v>
      </c>
      <c r="AG220">
        <v>150</v>
      </c>
      <c r="AH220">
        <v>150</v>
      </c>
      <c r="AI220">
        <v>150</v>
      </c>
      <c r="AJ220">
        <v>150</v>
      </c>
      <c r="AK220">
        <v>150</v>
      </c>
      <c r="AL220">
        <v>150</v>
      </c>
      <c r="AM220">
        <v>150</v>
      </c>
      <c r="AN220">
        <v>150</v>
      </c>
      <c r="AO220">
        <v>150</v>
      </c>
      <c r="AP220">
        <v>150</v>
      </c>
      <c r="AQ220">
        <v>150</v>
      </c>
      <c r="AR220">
        <v>150</v>
      </c>
      <c r="AS220">
        <v>150</v>
      </c>
      <c r="AT220">
        <v>150</v>
      </c>
      <c r="AU220">
        <v>150</v>
      </c>
      <c r="AV220">
        <v>150</v>
      </c>
      <c r="AW220">
        <v>150</v>
      </c>
      <c r="AX220">
        <v>150</v>
      </c>
      <c r="AY220">
        <v>99.81</v>
      </c>
    </row>
    <row r="221" spans="1:51" x14ac:dyDescent="0.3">
      <c r="A221" t="s">
        <v>678</v>
      </c>
      <c r="B221" t="s">
        <v>300</v>
      </c>
      <c r="C221">
        <v>174.6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 x14ac:dyDescent="0.3">
      <c r="A222" t="s">
        <v>678</v>
      </c>
      <c r="B222" t="s">
        <v>301</v>
      </c>
      <c r="C222">
        <v>30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 x14ac:dyDescent="0.3">
      <c r="A223" t="s">
        <v>678</v>
      </c>
      <c r="B223" t="s">
        <v>302</v>
      </c>
      <c r="C223">
        <v>52.3</v>
      </c>
      <c r="D223">
        <v>52.3</v>
      </c>
      <c r="E223">
        <v>52.3</v>
      </c>
      <c r="F223">
        <v>52.3</v>
      </c>
      <c r="G223">
        <v>52.3</v>
      </c>
      <c r="H223">
        <v>52.3</v>
      </c>
      <c r="I223">
        <v>52.3</v>
      </c>
      <c r="J223">
        <v>52.3</v>
      </c>
      <c r="K223">
        <v>52.3</v>
      </c>
      <c r="L223">
        <v>52.3</v>
      </c>
      <c r="M223">
        <v>52.3</v>
      </c>
      <c r="N223">
        <v>52.3</v>
      </c>
      <c r="O223">
        <v>52.3</v>
      </c>
      <c r="P223">
        <v>52.3</v>
      </c>
      <c r="Q223">
        <v>52.3</v>
      </c>
      <c r="R223">
        <v>52.3</v>
      </c>
      <c r="S223">
        <v>52.3</v>
      </c>
      <c r="T223">
        <v>52.3</v>
      </c>
      <c r="U223">
        <v>52.3</v>
      </c>
      <c r="V223">
        <v>52.3</v>
      </c>
      <c r="W223">
        <v>52.3</v>
      </c>
      <c r="X223">
        <v>52.3</v>
      </c>
      <c r="Y223">
        <v>52.3</v>
      </c>
      <c r="Z223">
        <v>52.3</v>
      </c>
      <c r="AA223">
        <v>52.3</v>
      </c>
      <c r="AB223">
        <v>52.3</v>
      </c>
      <c r="AC223">
        <v>52.3</v>
      </c>
      <c r="AD223">
        <v>52.3</v>
      </c>
      <c r="AE223">
        <v>52.3</v>
      </c>
      <c r="AF223">
        <v>52.3</v>
      </c>
      <c r="AG223">
        <v>52.3</v>
      </c>
      <c r="AH223">
        <v>52.3</v>
      </c>
      <c r="AI223">
        <v>52.3</v>
      </c>
      <c r="AJ223">
        <v>52.3</v>
      </c>
      <c r="AK223">
        <v>52.3</v>
      </c>
      <c r="AL223">
        <v>52.3</v>
      </c>
      <c r="AM223">
        <v>52.3</v>
      </c>
      <c r="AN223">
        <v>52.3</v>
      </c>
      <c r="AO223">
        <v>52.3</v>
      </c>
      <c r="AP223">
        <v>52.3</v>
      </c>
      <c r="AQ223">
        <v>52.3</v>
      </c>
      <c r="AR223">
        <v>52.3</v>
      </c>
      <c r="AS223">
        <v>52.3</v>
      </c>
      <c r="AT223">
        <v>52.3</v>
      </c>
      <c r="AU223">
        <v>52.3</v>
      </c>
      <c r="AV223">
        <v>52.3</v>
      </c>
      <c r="AW223">
        <v>52.3</v>
      </c>
      <c r="AX223">
        <v>52.3</v>
      </c>
      <c r="AY223">
        <v>52.3</v>
      </c>
    </row>
    <row r="224" spans="1:51" x14ac:dyDescent="0.3">
      <c r="A224" t="s">
        <v>678</v>
      </c>
      <c r="B224" t="s">
        <v>303</v>
      </c>
      <c r="C224">
        <v>52.3</v>
      </c>
      <c r="D224">
        <v>52.3</v>
      </c>
      <c r="E224">
        <v>52.3</v>
      </c>
      <c r="F224">
        <v>52.3</v>
      </c>
      <c r="G224">
        <v>52.3</v>
      </c>
      <c r="H224">
        <v>52.3</v>
      </c>
      <c r="I224">
        <v>52.3</v>
      </c>
      <c r="J224">
        <v>52.3</v>
      </c>
      <c r="K224">
        <v>52.3</v>
      </c>
      <c r="L224">
        <v>52.3</v>
      </c>
      <c r="M224">
        <v>52.3</v>
      </c>
      <c r="N224">
        <v>52.3</v>
      </c>
      <c r="O224">
        <v>52.3</v>
      </c>
      <c r="P224">
        <v>52.3</v>
      </c>
      <c r="Q224">
        <v>52.3</v>
      </c>
      <c r="R224">
        <v>52.3</v>
      </c>
      <c r="S224">
        <v>52.3</v>
      </c>
      <c r="T224">
        <v>52.3</v>
      </c>
      <c r="U224">
        <v>52.3</v>
      </c>
      <c r="V224">
        <v>52.3</v>
      </c>
      <c r="W224">
        <v>52.3</v>
      </c>
      <c r="X224">
        <v>52.3</v>
      </c>
      <c r="Y224">
        <v>52.3</v>
      </c>
      <c r="Z224">
        <v>52.3</v>
      </c>
      <c r="AA224">
        <v>52.3</v>
      </c>
      <c r="AB224">
        <v>52.3</v>
      </c>
      <c r="AC224">
        <v>52.3</v>
      </c>
      <c r="AD224">
        <v>52.3</v>
      </c>
      <c r="AE224">
        <v>52.3</v>
      </c>
      <c r="AF224">
        <v>52.3</v>
      </c>
      <c r="AG224">
        <v>52.3</v>
      </c>
      <c r="AH224">
        <v>52.3</v>
      </c>
      <c r="AI224">
        <v>52.3</v>
      </c>
      <c r="AJ224">
        <v>52.3</v>
      </c>
      <c r="AK224">
        <v>52.3</v>
      </c>
      <c r="AL224">
        <v>52.3</v>
      </c>
      <c r="AM224">
        <v>52.3</v>
      </c>
      <c r="AN224">
        <v>52.3</v>
      </c>
      <c r="AO224">
        <v>52.3</v>
      </c>
      <c r="AP224">
        <v>52.3</v>
      </c>
      <c r="AQ224">
        <v>52.3</v>
      </c>
      <c r="AR224">
        <v>52.3</v>
      </c>
      <c r="AS224">
        <v>52.3</v>
      </c>
      <c r="AT224">
        <v>52.3</v>
      </c>
      <c r="AU224">
        <v>52.3</v>
      </c>
      <c r="AV224">
        <v>52.3</v>
      </c>
      <c r="AW224">
        <v>52.3</v>
      </c>
      <c r="AX224">
        <v>52.3</v>
      </c>
      <c r="AY224">
        <v>52.3</v>
      </c>
    </row>
    <row r="225" spans="1:51" x14ac:dyDescent="0.3">
      <c r="A225" t="s">
        <v>678</v>
      </c>
      <c r="B225" t="s">
        <v>304</v>
      </c>
      <c r="C225">
        <v>52</v>
      </c>
      <c r="D225">
        <v>52</v>
      </c>
      <c r="E225">
        <v>52</v>
      </c>
      <c r="F225">
        <v>52</v>
      </c>
      <c r="G225">
        <v>52</v>
      </c>
      <c r="H225">
        <v>52</v>
      </c>
      <c r="I225">
        <v>52</v>
      </c>
      <c r="J225">
        <v>52</v>
      </c>
      <c r="K225">
        <v>52</v>
      </c>
      <c r="L225">
        <v>52</v>
      </c>
      <c r="M225">
        <v>52</v>
      </c>
      <c r="N225">
        <v>52</v>
      </c>
      <c r="O225">
        <v>52</v>
      </c>
      <c r="P225">
        <v>52</v>
      </c>
      <c r="Q225">
        <v>52</v>
      </c>
      <c r="R225">
        <v>52</v>
      </c>
      <c r="S225">
        <v>52</v>
      </c>
      <c r="T225">
        <v>52</v>
      </c>
      <c r="U225">
        <v>52</v>
      </c>
      <c r="V225">
        <v>52</v>
      </c>
      <c r="W225">
        <v>52</v>
      </c>
      <c r="X225">
        <v>52</v>
      </c>
      <c r="Y225">
        <v>52</v>
      </c>
      <c r="Z225">
        <v>52</v>
      </c>
      <c r="AA225">
        <v>52</v>
      </c>
      <c r="AB225">
        <v>52</v>
      </c>
      <c r="AC225">
        <v>52</v>
      </c>
      <c r="AD225">
        <v>52</v>
      </c>
      <c r="AE225">
        <v>52</v>
      </c>
      <c r="AF225">
        <v>52</v>
      </c>
      <c r="AG225">
        <v>52</v>
      </c>
      <c r="AH225">
        <v>52</v>
      </c>
      <c r="AI225">
        <v>52</v>
      </c>
      <c r="AJ225">
        <v>52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52</v>
      </c>
      <c r="AS225">
        <v>52</v>
      </c>
      <c r="AT225">
        <v>52</v>
      </c>
      <c r="AU225">
        <v>52</v>
      </c>
      <c r="AV225">
        <v>52</v>
      </c>
      <c r="AW225">
        <v>52</v>
      </c>
      <c r="AX225">
        <v>52</v>
      </c>
      <c r="AY225">
        <v>52</v>
      </c>
    </row>
    <row r="226" spans="1:51" x14ac:dyDescent="0.3">
      <c r="A226" t="s">
        <v>678</v>
      </c>
      <c r="B226" t="s">
        <v>305</v>
      </c>
      <c r="C226">
        <v>55</v>
      </c>
      <c r="D226">
        <v>45</v>
      </c>
      <c r="E226">
        <v>45</v>
      </c>
      <c r="F226">
        <v>45</v>
      </c>
      <c r="G226">
        <v>45</v>
      </c>
      <c r="H226">
        <v>45</v>
      </c>
      <c r="I226">
        <v>45</v>
      </c>
      <c r="J226">
        <v>45</v>
      </c>
      <c r="K226">
        <v>45</v>
      </c>
      <c r="L226">
        <v>45</v>
      </c>
      <c r="M226">
        <v>45</v>
      </c>
      <c r="N226">
        <v>45</v>
      </c>
      <c r="O226">
        <v>45</v>
      </c>
      <c r="P226">
        <v>45</v>
      </c>
      <c r="Q226">
        <v>45</v>
      </c>
      <c r="R226">
        <v>45</v>
      </c>
      <c r="S226">
        <v>45</v>
      </c>
      <c r="T226">
        <v>45</v>
      </c>
      <c r="U226">
        <v>45</v>
      </c>
      <c r="V226">
        <v>45</v>
      </c>
      <c r="W226">
        <v>45</v>
      </c>
      <c r="X226">
        <v>45</v>
      </c>
      <c r="Y226">
        <v>45</v>
      </c>
      <c r="Z226">
        <v>45</v>
      </c>
      <c r="AA226">
        <v>45</v>
      </c>
      <c r="AB226">
        <v>45</v>
      </c>
      <c r="AC226">
        <v>45</v>
      </c>
      <c r="AD226">
        <v>45</v>
      </c>
      <c r="AE226">
        <v>45</v>
      </c>
      <c r="AF226">
        <v>45</v>
      </c>
      <c r="AG226">
        <v>45</v>
      </c>
      <c r="AH226">
        <v>45</v>
      </c>
      <c r="AI226">
        <v>52</v>
      </c>
      <c r="AJ226">
        <v>52</v>
      </c>
      <c r="AK226">
        <v>52</v>
      </c>
      <c r="AL226">
        <v>52</v>
      </c>
      <c r="AM226">
        <v>52</v>
      </c>
      <c r="AN226">
        <v>52</v>
      </c>
      <c r="AO226">
        <v>52</v>
      </c>
      <c r="AP226">
        <v>52</v>
      </c>
      <c r="AQ226">
        <v>52</v>
      </c>
      <c r="AR226">
        <v>52</v>
      </c>
      <c r="AS226">
        <v>45</v>
      </c>
      <c r="AT226">
        <v>45</v>
      </c>
      <c r="AU226">
        <v>45</v>
      </c>
      <c r="AV226">
        <v>45</v>
      </c>
      <c r="AW226">
        <v>45</v>
      </c>
      <c r="AX226">
        <v>45</v>
      </c>
      <c r="AY226">
        <v>45</v>
      </c>
    </row>
    <row r="227" spans="1:51" x14ac:dyDescent="0.3">
      <c r="A227" t="s">
        <v>678</v>
      </c>
      <c r="B227" t="s">
        <v>306</v>
      </c>
      <c r="C227">
        <v>55</v>
      </c>
      <c r="D227">
        <v>45</v>
      </c>
      <c r="E227">
        <v>45</v>
      </c>
      <c r="F227">
        <v>45</v>
      </c>
      <c r="G227">
        <v>45</v>
      </c>
      <c r="H227">
        <v>45</v>
      </c>
      <c r="I227">
        <v>45</v>
      </c>
      <c r="J227">
        <v>45</v>
      </c>
      <c r="K227">
        <v>45</v>
      </c>
      <c r="L227">
        <v>45</v>
      </c>
      <c r="M227">
        <v>45</v>
      </c>
      <c r="N227">
        <v>45</v>
      </c>
      <c r="O227">
        <v>45</v>
      </c>
      <c r="P227">
        <v>45</v>
      </c>
      <c r="Q227">
        <v>45</v>
      </c>
      <c r="R227">
        <v>45</v>
      </c>
      <c r="S227">
        <v>45</v>
      </c>
      <c r="T227">
        <v>45</v>
      </c>
      <c r="U227">
        <v>45</v>
      </c>
      <c r="V227">
        <v>45</v>
      </c>
      <c r="W227">
        <v>45</v>
      </c>
      <c r="X227">
        <v>45</v>
      </c>
      <c r="Y227">
        <v>45</v>
      </c>
      <c r="Z227">
        <v>45</v>
      </c>
      <c r="AA227">
        <v>45</v>
      </c>
      <c r="AB227">
        <v>45</v>
      </c>
      <c r="AC227">
        <v>45</v>
      </c>
      <c r="AD227">
        <v>45</v>
      </c>
      <c r="AE227">
        <v>45</v>
      </c>
      <c r="AF227">
        <v>45</v>
      </c>
      <c r="AG227">
        <v>45</v>
      </c>
      <c r="AH227">
        <v>45</v>
      </c>
      <c r="AI227">
        <v>52</v>
      </c>
      <c r="AJ227">
        <v>52</v>
      </c>
      <c r="AK227">
        <v>52</v>
      </c>
      <c r="AL227">
        <v>52</v>
      </c>
      <c r="AM227">
        <v>52</v>
      </c>
      <c r="AN227">
        <v>52</v>
      </c>
      <c r="AO227">
        <v>52</v>
      </c>
      <c r="AP227">
        <v>52</v>
      </c>
      <c r="AQ227">
        <v>52</v>
      </c>
      <c r="AR227">
        <v>52</v>
      </c>
      <c r="AS227">
        <v>45</v>
      </c>
      <c r="AT227">
        <v>45</v>
      </c>
      <c r="AU227">
        <v>45</v>
      </c>
      <c r="AV227">
        <v>45</v>
      </c>
      <c r="AW227">
        <v>45</v>
      </c>
      <c r="AX227">
        <v>45</v>
      </c>
      <c r="AY227">
        <v>45</v>
      </c>
    </row>
    <row r="228" spans="1:51" x14ac:dyDescent="0.3">
      <c r="A228" t="s">
        <v>678</v>
      </c>
      <c r="B228" t="s">
        <v>307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 x14ac:dyDescent="0.3">
      <c r="A229" t="s">
        <v>678</v>
      </c>
      <c r="B229" t="s">
        <v>308</v>
      </c>
      <c r="C229">
        <v>144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">
      <c r="A230" t="s">
        <v>678</v>
      </c>
      <c r="B230" t="s">
        <v>309</v>
      </c>
      <c r="C230">
        <v>137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 x14ac:dyDescent="0.3">
      <c r="A231" t="s">
        <v>678</v>
      </c>
      <c r="B231" t="s">
        <v>310</v>
      </c>
      <c r="C231">
        <v>137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3">
      <c r="A232" t="s">
        <v>678</v>
      </c>
      <c r="B232" t="s">
        <v>311</v>
      </c>
      <c r="C232">
        <v>123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100</v>
      </c>
      <c r="O232">
        <v>38.6</v>
      </c>
      <c r="P232">
        <v>0</v>
      </c>
      <c r="Q232">
        <v>0</v>
      </c>
      <c r="R232">
        <v>0</v>
      </c>
      <c r="S232">
        <v>18.260000000000002</v>
      </c>
      <c r="T232">
        <v>100</v>
      </c>
      <c r="U232">
        <v>100</v>
      </c>
      <c r="V232">
        <v>100</v>
      </c>
      <c r="W232">
        <v>100</v>
      </c>
      <c r="X232">
        <v>150</v>
      </c>
      <c r="Y232">
        <v>150</v>
      </c>
      <c r="Z232">
        <v>88.08</v>
      </c>
      <c r="AA232">
        <v>0</v>
      </c>
      <c r="AB232">
        <v>0</v>
      </c>
      <c r="AC232">
        <v>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  <c r="AK232">
        <v>100</v>
      </c>
      <c r="AL232">
        <v>100</v>
      </c>
      <c r="AM232">
        <v>100</v>
      </c>
      <c r="AN232">
        <v>100</v>
      </c>
      <c r="AO232">
        <v>100</v>
      </c>
      <c r="AP232">
        <v>100</v>
      </c>
      <c r="AQ232">
        <v>100</v>
      </c>
      <c r="AR232">
        <v>100</v>
      </c>
      <c r="AS232">
        <v>100</v>
      </c>
      <c r="AT232">
        <v>100</v>
      </c>
      <c r="AU232">
        <v>94.42</v>
      </c>
      <c r="AV232">
        <v>81.36</v>
      </c>
      <c r="AW232">
        <v>0</v>
      </c>
      <c r="AX232">
        <v>0</v>
      </c>
      <c r="AY232">
        <v>0</v>
      </c>
    </row>
    <row r="233" spans="1:51" x14ac:dyDescent="0.3">
      <c r="A233" t="s">
        <v>678</v>
      </c>
      <c r="B233" t="s">
        <v>312</v>
      </c>
      <c r="C233">
        <v>123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100</v>
      </c>
      <c r="U233">
        <v>100</v>
      </c>
      <c r="V233">
        <v>100</v>
      </c>
      <c r="W233">
        <v>100</v>
      </c>
      <c r="X233">
        <v>150</v>
      </c>
      <c r="Y233">
        <v>150</v>
      </c>
      <c r="Z233">
        <v>88.08</v>
      </c>
      <c r="AA233">
        <v>0</v>
      </c>
      <c r="AB233">
        <v>0</v>
      </c>
      <c r="AC233">
        <v>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100</v>
      </c>
      <c r="AJ233">
        <v>100</v>
      </c>
      <c r="AK233">
        <v>100</v>
      </c>
      <c r="AL233">
        <v>100</v>
      </c>
      <c r="AM233">
        <v>100</v>
      </c>
      <c r="AN233">
        <v>100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100</v>
      </c>
      <c r="AU233">
        <v>94.42</v>
      </c>
      <c r="AV233">
        <v>81.36</v>
      </c>
      <c r="AW233">
        <v>0</v>
      </c>
      <c r="AX233">
        <v>0</v>
      </c>
      <c r="AY233">
        <v>0</v>
      </c>
    </row>
    <row r="234" spans="1:51" x14ac:dyDescent="0.3">
      <c r="A234" t="s">
        <v>678</v>
      </c>
      <c r="B234" t="s">
        <v>313</v>
      </c>
      <c r="C234">
        <v>123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100</v>
      </c>
      <c r="U234">
        <v>100</v>
      </c>
      <c r="V234">
        <v>100</v>
      </c>
      <c r="W234">
        <v>100</v>
      </c>
      <c r="X234">
        <v>150</v>
      </c>
      <c r="Y234">
        <v>150</v>
      </c>
      <c r="Z234">
        <v>88.08</v>
      </c>
      <c r="AA234">
        <v>0</v>
      </c>
      <c r="AB234">
        <v>0</v>
      </c>
      <c r="AC234">
        <v>0</v>
      </c>
      <c r="AD234">
        <v>100</v>
      </c>
      <c r="AE234">
        <v>100</v>
      </c>
      <c r="AF234">
        <v>100</v>
      </c>
      <c r="AG234">
        <v>100</v>
      </c>
      <c r="AH234">
        <v>100</v>
      </c>
      <c r="AI234">
        <v>100</v>
      </c>
      <c r="AJ234">
        <v>100</v>
      </c>
      <c r="AK234">
        <v>100</v>
      </c>
      <c r="AL234">
        <v>100</v>
      </c>
      <c r="AM234">
        <v>100</v>
      </c>
      <c r="AN234">
        <v>100</v>
      </c>
      <c r="AO234">
        <v>100</v>
      </c>
      <c r="AP234">
        <v>100</v>
      </c>
      <c r="AQ234">
        <v>100</v>
      </c>
      <c r="AR234">
        <v>100</v>
      </c>
      <c r="AS234">
        <v>100</v>
      </c>
      <c r="AT234">
        <v>100</v>
      </c>
      <c r="AU234">
        <v>94.42</v>
      </c>
      <c r="AV234">
        <v>81.36</v>
      </c>
      <c r="AW234">
        <v>0</v>
      </c>
      <c r="AX234">
        <v>0</v>
      </c>
      <c r="AY234">
        <v>0</v>
      </c>
    </row>
    <row r="235" spans="1:51" x14ac:dyDescent="0.3">
      <c r="A235" t="s">
        <v>678</v>
      </c>
      <c r="B235" t="s">
        <v>314</v>
      </c>
      <c r="C235">
        <v>123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>
        <v>100</v>
      </c>
      <c r="AJ235">
        <v>100</v>
      </c>
      <c r="AK235">
        <v>100</v>
      </c>
      <c r="AL235">
        <v>100</v>
      </c>
      <c r="AM235">
        <v>100</v>
      </c>
      <c r="AN235">
        <v>100</v>
      </c>
      <c r="AO235">
        <v>100</v>
      </c>
      <c r="AP235">
        <v>100</v>
      </c>
      <c r="AQ235">
        <v>100</v>
      </c>
      <c r="AR235">
        <v>100</v>
      </c>
      <c r="AS235">
        <v>100</v>
      </c>
      <c r="AT235">
        <v>100</v>
      </c>
      <c r="AU235">
        <v>94.42</v>
      </c>
      <c r="AV235">
        <v>81.36</v>
      </c>
      <c r="AW235">
        <v>0</v>
      </c>
      <c r="AX235">
        <v>0</v>
      </c>
      <c r="AY235">
        <v>0</v>
      </c>
    </row>
    <row r="236" spans="1:51" x14ac:dyDescent="0.3">
      <c r="A236" t="s">
        <v>678</v>
      </c>
      <c r="B236" t="s">
        <v>315</v>
      </c>
      <c r="C236">
        <v>123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100</v>
      </c>
      <c r="AL236">
        <v>100</v>
      </c>
      <c r="AM236">
        <v>100</v>
      </c>
      <c r="AN236">
        <v>100</v>
      </c>
      <c r="AO236">
        <v>100</v>
      </c>
      <c r="AP236">
        <v>100</v>
      </c>
      <c r="AQ236">
        <v>100</v>
      </c>
      <c r="AR236">
        <v>100</v>
      </c>
      <c r="AS236">
        <v>100</v>
      </c>
      <c r="AT236">
        <v>100</v>
      </c>
      <c r="AU236">
        <v>94.42</v>
      </c>
      <c r="AV236">
        <v>81.36</v>
      </c>
      <c r="AW236">
        <v>0</v>
      </c>
      <c r="AX236">
        <v>0</v>
      </c>
      <c r="AY236">
        <v>0</v>
      </c>
    </row>
    <row r="237" spans="1:51" x14ac:dyDescent="0.3">
      <c r="A237" t="s">
        <v>678</v>
      </c>
      <c r="B237" t="s">
        <v>316</v>
      </c>
      <c r="C237">
        <v>123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3">
      <c r="A238" t="s">
        <v>678</v>
      </c>
      <c r="B238" t="s">
        <v>317</v>
      </c>
      <c r="C238">
        <v>123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3">
      <c r="A239" t="s">
        <v>678</v>
      </c>
      <c r="B239" t="s">
        <v>318</v>
      </c>
      <c r="C239">
        <v>123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3">
      <c r="A240" t="s">
        <v>678</v>
      </c>
      <c r="B240" t="s">
        <v>319</v>
      </c>
      <c r="C240">
        <v>239.55</v>
      </c>
      <c r="D240">
        <v>57.14</v>
      </c>
      <c r="E240">
        <v>57.14</v>
      </c>
      <c r="F240">
        <v>57.14</v>
      </c>
      <c r="G240">
        <v>57.14</v>
      </c>
      <c r="H240">
        <v>57.14</v>
      </c>
      <c r="I240">
        <v>57.14</v>
      </c>
      <c r="J240">
        <v>57.14</v>
      </c>
      <c r="K240">
        <v>57.14</v>
      </c>
      <c r="L240">
        <v>57.14</v>
      </c>
      <c r="M240">
        <v>57.14</v>
      </c>
      <c r="N240">
        <v>57.14</v>
      </c>
      <c r="O240">
        <v>57.14</v>
      </c>
      <c r="P240">
        <v>57.14</v>
      </c>
      <c r="Q240">
        <v>57.14</v>
      </c>
      <c r="R240">
        <v>57.14</v>
      </c>
      <c r="S240">
        <v>57.14</v>
      </c>
      <c r="T240">
        <v>57.14</v>
      </c>
      <c r="U240">
        <v>57.14</v>
      </c>
      <c r="V240">
        <v>57.14</v>
      </c>
      <c r="W240">
        <v>114.29</v>
      </c>
      <c r="X240">
        <v>114.29</v>
      </c>
      <c r="Y240">
        <v>114.29</v>
      </c>
      <c r="Z240">
        <v>114.29</v>
      </c>
      <c r="AA240">
        <v>114.29</v>
      </c>
      <c r="AB240">
        <v>114.29</v>
      </c>
      <c r="AC240">
        <v>171.43</v>
      </c>
      <c r="AD240">
        <v>171.43</v>
      </c>
      <c r="AE240">
        <v>171.43</v>
      </c>
      <c r="AF240">
        <v>171.43</v>
      </c>
      <c r="AG240">
        <v>171.43</v>
      </c>
      <c r="AH240">
        <v>171.43</v>
      </c>
      <c r="AI240">
        <v>171.43</v>
      </c>
      <c r="AJ240">
        <v>171.43</v>
      </c>
      <c r="AK240">
        <v>171.43</v>
      </c>
      <c r="AL240">
        <v>171.43</v>
      </c>
      <c r="AM240">
        <v>194.29</v>
      </c>
      <c r="AN240">
        <v>194.29</v>
      </c>
      <c r="AO240">
        <v>193.91</v>
      </c>
      <c r="AP240">
        <v>193.91</v>
      </c>
      <c r="AQ240">
        <v>193.91</v>
      </c>
      <c r="AR240">
        <v>193.91</v>
      </c>
      <c r="AS240">
        <v>171.43</v>
      </c>
      <c r="AT240">
        <v>136.77000000000001</v>
      </c>
      <c r="AU240">
        <v>114.29</v>
      </c>
      <c r="AV240">
        <v>57.14</v>
      </c>
      <c r="AW240">
        <v>57.14</v>
      </c>
      <c r="AX240">
        <v>57.14</v>
      </c>
      <c r="AY240">
        <v>60.35</v>
      </c>
    </row>
    <row r="241" spans="1:51" x14ac:dyDescent="0.3">
      <c r="A241" t="s">
        <v>678</v>
      </c>
      <c r="B241" t="s">
        <v>320</v>
      </c>
      <c r="C241">
        <v>140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100</v>
      </c>
      <c r="AD241">
        <v>100</v>
      </c>
      <c r="AE241">
        <v>100</v>
      </c>
      <c r="AF241">
        <v>100</v>
      </c>
      <c r="AG241">
        <v>100</v>
      </c>
      <c r="AH241">
        <v>100</v>
      </c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 x14ac:dyDescent="0.3">
      <c r="A242" t="s">
        <v>678</v>
      </c>
      <c r="B242" t="s">
        <v>321</v>
      </c>
      <c r="C242">
        <v>140</v>
      </c>
      <c r="D242">
        <v>100</v>
      </c>
      <c r="E242">
        <v>100</v>
      </c>
      <c r="F242">
        <v>100</v>
      </c>
      <c r="G242">
        <v>100</v>
      </c>
      <c r="H242">
        <v>100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  <c r="P242">
        <v>100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100</v>
      </c>
      <c r="Z242">
        <v>100</v>
      </c>
      <c r="AA242">
        <v>100</v>
      </c>
      <c r="AB242">
        <v>100</v>
      </c>
      <c r="AC242">
        <v>100</v>
      </c>
      <c r="AD242">
        <v>100</v>
      </c>
      <c r="AE242">
        <v>100</v>
      </c>
      <c r="AF242">
        <v>100</v>
      </c>
      <c r="AG242">
        <v>100</v>
      </c>
      <c r="AH242">
        <v>100</v>
      </c>
      <c r="AI242">
        <v>100</v>
      </c>
      <c r="AJ242">
        <v>100</v>
      </c>
      <c r="AK242">
        <v>100</v>
      </c>
      <c r="AL242">
        <v>100</v>
      </c>
      <c r="AM242">
        <v>140</v>
      </c>
      <c r="AN242">
        <v>140</v>
      </c>
      <c r="AO242">
        <v>139.34</v>
      </c>
      <c r="AP242">
        <v>139.34</v>
      </c>
      <c r="AQ242">
        <v>139.34</v>
      </c>
      <c r="AR242">
        <v>139.34</v>
      </c>
      <c r="AS242">
        <v>100</v>
      </c>
      <c r="AT242">
        <v>139.34</v>
      </c>
      <c r="AU242">
        <v>100</v>
      </c>
      <c r="AV242">
        <v>100</v>
      </c>
      <c r="AW242">
        <v>100</v>
      </c>
      <c r="AX242">
        <v>100</v>
      </c>
      <c r="AY242">
        <v>105.61</v>
      </c>
    </row>
    <row r="243" spans="1:51" x14ac:dyDescent="0.3">
      <c r="A243" t="s">
        <v>678</v>
      </c>
      <c r="B243" t="s">
        <v>322</v>
      </c>
      <c r="C243">
        <v>140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100</v>
      </c>
      <c r="X243">
        <v>100</v>
      </c>
      <c r="Y243">
        <v>100</v>
      </c>
      <c r="Z243">
        <v>100</v>
      </c>
      <c r="AA243">
        <v>100</v>
      </c>
      <c r="AB243">
        <v>100</v>
      </c>
      <c r="AC243">
        <v>100</v>
      </c>
      <c r="AD243">
        <v>100</v>
      </c>
      <c r="AE243">
        <v>100</v>
      </c>
      <c r="AF243">
        <v>100</v>
      </c>
      <c r="AG243">
        <v>100</v>
      </c>
      <c r="AH243">
        <v>100</v>
      </c>
      <c r="AI243">
        <v>100</v>
      </c>
      <c r="AJ243">
        <v>100</v>
      </c>
      <c r="AK243">
        <v>100</v>
      </c>
      <c r="AL243">
        <v>100</v>
      </c>
      <c r="AM243">
        <v>100</v>
      </c>
      <c r="AN243">
        <v>100</v>
      </c>
      <c r="AO243">
        <v>100</v>
      </c>
      <c r="AP243">
        <v>100</v>
      </c>
      <c r="AQ243">
        <v>100</v>
      </c>
      <c r="AR243">
        <v>100</v>
      </c>
      <c r="AS243">
        <v>100</v>
      </c>
      <c r="AT243">
        <v>100</v>
      </c>
      <c r="AU243">
        <v>100</v>
      </c>
      <c r="AV243">
        <v>0</v>
      </c>
      <c r="AW243">
        <v>0</v>
      </c>
      <c r="AX243">
        <v>0</v>
      </c>
      <c r="AY243">
        <v>0</v>
      </c>
    </row>
    <row r="244" spans="1:51" x14ac:dyDescent="0.3">
      <c r="A244" t="s">
        <v>678</v>
      </c>
      <c r="B244" t="s">
        <v>323</v>
      </c>
      <c r="C244">
        <v>232.79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 x14ac:dyDescent="0.3">
      <c r="A245" t="s">
        <v>678</v>
      </c>
      <c r="B245" t="s">
        <v>324</v>
      </c>
      <c r="C245">
        <v>140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 x14ac:dyDescent="0.3">
      <c r="A246" t="s">
        <v>678</v>
      </c>
      <c r="B246" t="s">
        <v>325</v>
      </c>
      <c r="C246">
        <v>140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3">
      <c r="A247" t="s">
        <v>678</v>
      </c>
      <c r="B247" t="s">
        <v>326</v>
      </c>
      <c r="C247">
        <v>140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3">
      <c r="A248" t="s">
        <v>678</v>
      </c>
      <c r="B248" t="s">
        <v>327</v>
      </c>
      <c r="C248">
        <v>71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3">
      <c r="A249" t="s">
        <v>678</v>
      </c>
      <c r="B249" t="s">
        <v>328</v>
      </c>
      <c r="C249">
        <v>143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3">
      <c r="A250" t="s">
        <v>678</v>
      </c>
      <c r="B250" t="s">
        <v>89</v>
      </c>
      <c r="C250">
        <v>290</v>
      </c>
      <c r="D250">
        <v>235.55</v>
      </c>
      <c r="E250">
        <v>211.7</v>
      </c>
      <c r="F250">
        <v>200</v>
      </c>
      <c r="G250">
        <v>200</v>
      </c>
      <c r="H250">
        <v>200</v>
      </c>
      <c r="I250">
        <v>200</v>
      </c>
      <c r="J250">
        <v>200</v>
      </c>
      <c r="K250">
        <v>200</v>
      </c>
      <c r="L250">
        <v>200</v>
      </c>
      <c r="M250">
        <v>249.25</v>
      </c>
      <c r="N250">
        <v>290</v>
      </c>
      <c r="O250">
        <v>290</v>
      </c>
      <c r="P250">
        <v>211.7</v>
      </c>
      <c r="Q250">
        <v>200</v>
      </c>
      <c r="R250">
        <v>249.25</v>
      </c>
      <c r="S250">
        <v>290</v>
      </c>
      <c r="T250">
        <v>290</v>
      </c>
      <c r="U250">
        <v>290</v>
      </c>
      <c r="V250">
        <v>290</v>
      </c>
      <c r="W250">
        <v>290</v>
      </c>
      <c r="X250">
        <v>290</v>
      </c>
      <c r="Y250">
        <v>290</v>
      </c>
      <c r="Z250">
        <v>290</v>
      </c>
      <c r="AA250">
        <v>249.25</v>
      </c>
      <c r="AB250">
        <v>249.25</v>
      </c>
      <c r="AC250">
        <v>249.25</v>
      </c>
      <c r="AD250">
        <v>290</v>
      </c>
      <c r="AE250">
        <v>290</v>
      </c>
      <c r="AF250">
        <v>290</v>
      </c>
      <c r="AG250">
        <v>290</v>
      </c>
      <c r="AH250">
        <v>290</v>
      </c>
      <c r="AI250">
        <v>290</v>
      </c>
      <c r="AJ250">
        <v>290</v>
      </c>
      <c r="AK250">
        <v>290</v>
      </c>
      <c r="AL250">
        <v>290</v>
      </c>
      <c r="AM250">
        <v>290</v>
      </c>
      <c r="AN250">
        <v>290</v>
      </c>
      <c r="AO250">
        <v>290</v>
      </c>
      <c r="AP250">
        <v>290</v>
      </c>
      <c r="AQ250">
        <v>290</v>
      </c>
      <c r="AR250">
        <v>290</v>
      </c>
      <c r="AS250">
        <v>290</v>
      </c>
      <c r="AT250">
        <v>290</v>
      </c>
      <c r="AU250">
        <v>290</v>
      </c>
      <c r="AV250">
        <v>290</v>
      </c>
      <c r="AW250">
        <v>290</v>
      </c>
      <c r="AX250">
        <v>290</v>
      </c>
      <c r="AY250">
        <v>211.7</v>
      </c>
    </row>
    <row r="251" spans="1:51" x14ac:dyDescent="0.3">
      <c r="A251" t="s">
        <v>678</v>
      </c>
      <c r="B251" t="s">
        <v>90</v>
      </c>
      <c r="C251">
        <v>290</v>
      </c>
      <c r="D251">
        <v>235.55</v>
      </c>
      <c r="E251">
        <v>211.7</v>
      </c>
      <c r="F251">
        <v>200</v>
      </c>
      <c r="G251">
        <v>200</v>
      </c>
      <c r="H251">
        <v>200</v>
      </c>
      <c r="I251">
        <v>200</v>
      </c>
      <c r="J251">
        <v>200</v>
      </c>
      <c r="K251">
        <v>200</v>
      </c>
      <c r="L251">
        <v>200</v>
      </c>
      <c r="M251">
        <v>249.25</v>
      </c>
      <c r="N251">
        <v>290</v>
      </c>
      <c r="O251">
        <v>290</v>
      </c>
      <c r="P251">
        <v>211.7</v>
      </c>
      <c r="Q251">
        <v>200</v>
      </c>
      <c r="R251">
        <v>249.25</v>
      </c>
      <c r="S251">
        <v>290</v>
      </c>
      <c r="T251">
        <v>290</v>
      </c>
      <c r="U251">
        <v>290</v>
      </c>
      <c r="V251">
        <v>290</v>
      </c>
      <c r="W251">
        <v>290</v>
      </c>
      <c r="X251">
        <v>290</v>
      </c>
      <c r="Y251">
        <v>290</v>
      </c>
      <c r="Z251">
        <v>290</v>
      </c>
      <c r="AA251">
        <v>249.25</v>
      </c>
      <c r="AB251">
        <v>249.25</v>
      </c>
      <c r="AC251">
        <v>249.25</v>
      </c>
      <c r="AD251">
        <v>290</v>
      </c>
      <c r="AE251">
        <v>290</v>
      </c>
      <c r="AF251">
        <v>290</v>
      </c>
      <c r="AG251">
        <v>290</v>
      </c>
      <c r="AH251">
        <v>290</v>
      </c>
      <c r="AI251">
        <v>290</v>
      </c>
      <c r="AJ251">
        <v>290</v>
      </c>
      <c r="AK251">
        <v>290</v>
      </c>
      <c r="AL251">
        <v>290</v>
      </c>
      <c r="AM251">
        <v>290</v>
      </c>
      <c r="AN251">
        <v>290</v>
      </c>
      <c r="AO251">
        <v>290</v>
      </c>
      <c r="AP251">
        <v>290</v>
      </c>
      <c r="AQ251">
        <v>290</v>
      </c>
      <c r="AR251">
        <v>290</v>
      </c>
      <c r="AS251">
        <v>290</v>
      </c>
      <c r="AT251">
        <v>290</v>
      </c>
      <c r="AU251">
        <v>290</v>
      </c>
      <c r="AV251">
        <v>290</v>
      </c>
      <c r="AW251">
        <v>290</v>
      </c>
      <c r="AX251">
        <v>290</v>
      </c>
      <c r="AY251">
        <v>211.7</v>
      </c>
    </row>
    <row r="252" spans="1:51" x14ac:dyDescent="0.3">
      <c r="A252" t="s">
        <v>678</v>
      </c>
      <c r="B252" t="s">
        <v>91</v>
      </c>
      <c r="C252">
        <v>290</v>
      </c>
      <c r="D252">
        <v>235.55</v>
      </c>
      <c r="E252">
        <v>211.7</v>
      </c>
      <c r="F252">
        <v>200</v>
      </c>
      <c r="G252">
        <v>200</v>
      </c>
      <c r="H252">
        <v>200</v>
      </c>
      <c r="I252">
        <v>200</v>
      </c>
      <c r="J252">
        <v>200</v>
      </c>
      <c r="K252">
        <v>200</v>
      </c>
      <c r="L252">
        <v>200</v>
      </c>
      <c r="M252">
        <v>273.75</v>
      </c>
      <c r="N252">
        <v>290</v>
      </c>
      <c r="O252">
        <v>290</v>
      </c>
      <c r="P252">
        <v>212.01</v>
      </c>
      <c r="Q252">
        <v>200</v>
      </c>
      <c r="R252">
        <v>249.25</v>
      </c>
      <c r="S252">
        <v>290</v>
      </c>
      <c r="T252">
        <v>290</v>
      </c>
      <c r="U252">
        <v>290</v>
      </c>
      <c r="V252">
        <v>290</v>
      </c>
      <c r="W252">
        <v>290</v>
      </c>
      <c r="X252">
        <v>290</v>
      </c>
      <c r="Y252">
        <v>290</v>
      </c>
      <c r="Z252">
        <v>290</v>
      </c>
      <c r="AA252">
        <v>249.25</v>
      </c>
      <c r="AB252">
        <v>249.25</v>
      </c>
      <c r="AC252">
        <v>249.25</v>
      </c>
      <c r="AD252">
        <v>290</v>
      </c>
      <c r="AE252">
        <v>290</v>
      </c>
      <c r="AF252">
        <v>290</v>
      </c>
      <c r="AG252">
        <v>290</v>
      </c>
      <c r="AH252">
        <v>290</v>
      </c>
      <c r="AI252">
        <v>290</v>
      </c>
      <c r="AJ252">
        <v>290</v>
      </c>
      <c r="AK252">
        <v>290</v>
      </c>
      <c r="AL252">
        <v>290</v>
      </c>
      <c r="AM252">
        <v>290</v>
      </c>
      <c r="AN252">
        <v>290</v>
      </c>
      <c r="AO252">
        <v>290</v>
      </c>
      <c r="AP252">
        <v>290</v>
      </c>
      <c r="AQ252">
        <v>290</v>
      </c>
      <c r="AR252">
        <v>290</v>
      </c>
      <c r="AS252">
        <v>290</v>
      </c>
      <c r="AT252">
        <v>290</v>
      </c>
      <c r="AU252">
        <v>290</v>
      </c>
      <c r="AV252">
        <v>290</v>
      </c>
      <c r="AW252">
        <v>290</v>
      </c>
      <c r="AX252">
        <v>290</v>
      </c>
      <c r="AY252">
        <v>211.7</v>
      </c>
    </row>
    <row r="253" spans="1:51" x14ac:dyDescent="0.3">
      <c r="A253" t="s">
        <v>678</v>
      </c>
      <c r="B253" t="s">
        <v>329</v>
      </c>
      <c r="D253">
        <v>123</v>
      </c>
      <c r="E253">
        <v>123</v>
      </c>
      <c r="F253">
        <v>123</v>
      </c>
      <c r="G253">
        <v>123</v>
      </c>
      <c r="H253">
        <v>123</v>
      </c>
      <c r="I253">
        <v>123</v>
      </c>
      <c r="J253">
        <v>123</v>
      </c>
      <c r="K253">
        <v>123</v>
      </c>
      <c r="L253">
        <v>123</v>
      </c>
      <c r="M253">
        <v>123</v>
      </c>
      <c r="N253">
        <v>123</v>
      </c>
      <c r="O253">
        <v>123</v>
      </c>
      <c r="P253">
        <v>100</v>
      </c>
      <c r="Q253">
        <v>108</v>
      </c>
      <c r="R253">
        <v>108</v>
      </c>
      <c r="S253">
        <v>108</v>
      </c>
      <c r="T253">
        <v>108</v>
      </c>
      <c r="U253">
        <v>118</v>
      </c>
      <c r="V253">
        <v>134</v>
      </c>
      <c r="W253">
        <v>132</v>
      </c>
      <c r="X253">
        <v>132</v>
      </c>
      <c r="Y253">
        <v>132</v>
      </c>
      <c r="Z253">
        <v>132</v>
      </c>
      <c r="AA253">
        <v>132</v>
      </c>
      <c r="AB253">
        <v>127</v>
      </c>
      <c r="AC253">
        <v>127</v>
      </c>
      <c r="AD253">
        <v>127</v>
      </c>
      <c r="AE253">
        <v>127</v>
      </c>
      <c r="AF253">
        <v>127</v>
      </c>
      <c r="AG253">
        <v>127</v>
      </c>
      <c r="AH253">
        <v>127</v>
      </c>
      <c r="AI253">
        <v>127</v>
      </c>
      <c r="AJ253">
        <v>127</v>
      </c>
      <c r="AK253">
        <v>127</v>
      </c>
      <c r="AL253">
        <v>127</v>
      </c>
      <c r="AM253">
        <v>127</v>
      </c>
      <c r="AN253">
        <v>127</v>
      </c>
      <c r="AO253">
        <v>127</v>
      </c>
      <c r="AP253">
        <v>124</v>
      </c>
      <c r="AQ253">
        <v>124</v>
      </c>
      <c r="AR253">
        <v>124</v>
      </c>
      <c r="AS253">
        <v>124</v>
      </c>
      <c r="AT253">
        <v>124</v>
      </c>
      <c r="AU253">
        <v>124</v>
      </c>
      <c r="AV253">
        <v>124</v>
      </c>
      <c r="AW253">
        <v>124</v>
      </c>
      <c r="AX253">
        <v>124</v>
      </c>
      <c r="AY253">
        <v>124</v>
      </c>
    </row>
    <row r="254" spans="1:51" x14ac:dyDescent="0.3">
      <c r="A254" t="s">
        <v>678</v>
      </c>
      <c r="B254" t="s">
        <v>330</v>
      </c>
      <c r="C254">
        <v>91.728700000000003</v>
      </c>
      <c r="D254">
        <v>87.14</v>
      </c>
      <c r="E254">
        <v>87.14</v>
      </c>
      <c r="F254">
        <v>87.14</v>
      </c>
      <c r="G254">
        <v>87.14</v>
      </c>
      <c r="H254">
        <v>87.14</v>
      </c>
      <c r="I254">
        <v>87.14</v>
      </c>
      <c r="J254">
        <v>87.14</v>
      </c>
      <c r="K254">
        <v>87.14</v>
      </c>
      <c r="L254">
        <v>87.14</v>
      </c>
      <c r="M254">
        <v>87.14</v>
      </c>
      <c r="N254">
        <v>87.14</v>
      </c>
      <c r="O254">
        <v>87.14</v>
      </c>
      <c r="P254">
        <v>87.14</v>
      </c>
      <c r="Q254">
        <v>87.14</v>
      </c>
      <c r="R254">
        <v>87.14</v>
      </c>
      <c r="S254">
        <v>87.14</v>
      </c>
      <c r="T254">
        <v>87.14</v>
      </c>
      <c r="U254">
        <v>87.14</v>
      </c>
      <c r="V254">
        <v>87.14</v>
      </c>
      <c r="W254">
        <v>87.14</v>
      </c>
      <c r="X254">
        <v>87.14</v>
      </c>
      <c r="Y254">
        <v>87.14</v>
      </c>
      <c r="Z254">
        <v>87.14</v>
      </c>
      <c r="AA254">
        <v>87.14</v>
      </c>
      <c r="AB254">
        <v>87.14</v>
      </c>
      <c r="AC254">
        <v>87.14</v>
      </c>
      <c r="AD254">
        <v>87.14</v>
      </c>
      <c r="AE254">
        <v>87.14</v>
      </c>
      <c r="AF254">
        <v>87.14</v>
      </c>
      <c r="AG254">
        <v>87.14</v>
      </c>
      <c r="AH254">
        <v>87.14</v>
      </c>
      <c r="AI254">
        <v>87.14</v>
      </c>
      <c r="AJ254">
        <v>87.14</v>
      </c>
      <c r="AK254">
        <v>87.14</v>
      </c>
      <c r="AL254">
        <v>87.14</v>
      </c>
      <c r="AM254">
        <v>91.73</v>
      </c>
      <c r="AN254">
        <v>91.73</v>
      </c>
      <c r="AO254">
        <v>91.73</v>
      </c>
      <c r="AP254">
        <v>87.14</v>
      </c>
      <c r="AQ254">
        <v>87.14</v>
      </c>
      <c r="AR254">
        <v>87.14</v>
      </c>
      <c r="AS254">
        <v>87.14</v>
      </c>
      <c r="AT254">
        <v>87.14</v>
      </c>
      <c r="AU254">
        <v>87.14</v>
      </c>
      <c r="AV254">
        <v>87.14</v>
      </c>
      <c r="AW254">
        <v>87.14</v>
      </c>
      <c r="AX254">
        <v>87.14</v>
      </c>
      <c r="AY254">
        <v>87.14</v>
      </c>
    </row>
    <row r="255" spans="1:51" x14ac:dyDescent="0.3">
      <c r="A255" t="s">
        <v>678</v>
      </c>
      <c r="B255" t="s">
        <v>331</v>
      </c>
      <c r="C255">
        <v>126.78023</v>
      </c>
      <c r="D255">
        <v>120.44</v>
      </c>
      <c r="E255">
        <v>120.44</v>
      </c>
      <c r="F255">
        <v>120.44</v>
      </c>
      <c r="G255">
        <v>120.44</v>
      </c>
      <c r="H255">
        <v>120.44</v>
      </c>
      <c r="I255">
        <v>120.44</v>
      </c>
      <c r="J255">
        <v>120.44</v>
      </c>
      <c r="K255">
        <v>120.44</v>
      </c>
      <c r="L255">
        <v>120.44</v>
      </c>
      <c r="M255">
        <v>120.44</v>
      </c>
      <c r="N255">
        <v>120.44</v>
      </c>
      <c r="O255">
        <v>120.44</v>
      </c>
      <c r="P255">
        <v>120.44</v>
      </c>
      <c r="Q255">
        <v>120.44</v>
      </c>
      <c r="R255">
        <v>120.44</v>
      </c>
      <c r="S255">
        <v>120.44</v>
      </c>
      <c r="T255">
        <v>120.44</v>
      </c>
      <c r="U255">
        <v>120.44</v>
      </c>
      <c r="V255">
        <v>120.44</v>
      </c>
      <c r="W255">
        <v>120.44</v>
      </c>
      <c r="X255">
        <v>120.44</v>
      </c>
      <c r="Y255">
        <v>120.44</v>
      </c>
      <c r="Z255">
        <v>120.44</v>
      </c>
      <c r="AA255">
        <v>120.44</v>
      </c>
      <c r="AB255">
        <v>120.44</v>
      </c>
      <c r="AC255">
        <v>120.44</v>
      </c>
      <c r="AD255">
        <v>120.44</v>
      </c>
      <c r="AE255">
        <v>120.44</v>
      </c>
      <c r="AF255">
        <v>120.44</v>
      </c>
      <c r="AG255">
        <v>120.44</v>
      </c>
      <c r="AH255">
        <v>120.44</v>
      </c>
      <c r="AI255">
        <v>120.44</v>
      </c>
      <c r="AJ255">
        <v>120.44</v>
      </c>
      <c r="AK255">
        <v>120.44</v>
      </c>
      <c r="AL255">
        <v>120.44</v>
      </c>
      <c r="AM255">
        <v>126.78</v>
      </c>
      <c r="AN255">
        <v>120.44</v>
      </c>
      <c r="AO255">
        <v>120.44</v>
      </c>
      <c r="AP255">
        <v>120.44</v>
      </c>
      <c r="AQ255">
        <v>120.44</v>
      </c>
      <c r="AR255">
        <v>120.44</v>
      </c>
      <c r="AS255">
        <v>120.44</v>
      </c>
      <c r="AT255">
        <v>120.44</v>
      </c>
      <c r="AU255">
        <v>120.44</v>
      </c>
      <c r="AV255">
        <v>120.44</v>
      </c>
      <c r="AW255">
        <v>120.44</v>
      </c>
      <c r="AX255">
        <v>120.44</v>
      </c>
      <c r="AY255">
        <v>120.44</v>
      </c>
    </row>
    <row r="256" spans="1:51" x14ac:dyDescent="0.3">
      <c r="A256" t="s">
        <v>678</v>
      </c>
      <c r="B256" t="s">
        <v>332</v>
      </c>
      <c r="C256">
        <v>123.36635</v>
      </c>
      <c r="D256">
        <v>105</v>
      </c>
      <c r="E256">
        <v>105</v>
      </c>
      <c r="F256">
        <v>105</v>
      </c>
      <c r="G256">
        <v>105</v>
      </c>
      <c r="H256">
        <v>105</v>
      </c>
      <c r="I256">
        <v>105</v>
      </c>
      <c r="J256">
        <v>105</v>
      </c>
      <c r="K256">
        <v>105</v>
      </c>
      <c r="L256">
        <v>105</v>
      </c>
      <c r="M256">
        <v>105</v>
      </c>
      <c r="N256">
        <v>105</v>
      </c>
      <c r="O256">
        <v>105</v>
      </c>
      <c r="P256">
        <v>105</v>
      </c>
      <c r="Q256">
        <v>105</v>
      </c>
      <c r="R256">
        <v>105</v>
      </c>
      <c r="S256">
        <v>105</v>
      </c>
      <c r="T256">
        <v>105</v>
      </c>
      <c r="U256">
        <v>105</v>
      </c>
      <c r="V256">
        <v>105</v>
      </c>
      <c r="W256">
        <v>105</v>
      </c>
      <c r="X256">
        <v>105</v>
      </c>
      <c r="Y256">
        <v>105</v>
      </c>
      <c r="Z256">
        <v>105</v>
      </c>
      <c r="AA256">
        <v>105</v>
      </c>
      <c r="AB256">
        <v>105</v>
      </c>
      <c r="AC256">
        <v>105</v>
      </c>
      <c r="AD256">
        <v>105</v>
      </c>
      <c r="AE256">
        <v>105</v>
      </c>
      <c r="AF256">
        <v>105</v>
      </c>
      <c r="AG256">
        <v>105</v>
      </c>
      <c r="AH256">
        <v>105</v>
      </c>
      <c r="AI256">
        <v>105</v>
      </c>
      <c r="AJ256">
        <v>105</v>
      </c>
      <c r="AK256">
        <v>105</v>
      </c>
      <c r="AL256">
        <v>105</v>
      </c>
      <c r="AM256">
        <v>105</v>
      </c>
      <c r="AN256">
        <v>105</v>
      </c>
      <c r="AO256">
        <v>105</v>
      </c>
      <c r="AP256">
        <v>105</v>
      </c>
      <c r="AQ256">
        <v>105</v>
      </c>
      <c r="AR256">
        <v>105</v>
      </c>
      <c r="AS256">
        <v>105</v>
      </c>
      <c r="AT256">
        <v>105</v>
      </c>
      <c r="AU256">
        <v>105</v>
      </c>
      <c r="AV256">
        <v>105</v>
      </c>
      <c r="AW256">
        <v>105</v>
      </c>
      <c r="AX256">
        <v>105</v>
      </c>
      <c r="AY256">
        <v>105</v>
      </c>
    </row>
    <row r="257" spans="1:51" x14ac:dyDescent="0.3">
      <c r="A257" t="s">
        <v>678</v>
      </c>
      <c r="B257" t="s">
        <v>333</v>
      </c>
      <c r="C257">
        <v>122.32919</v>
      </c>
      <c r="D257">
        <v>115</v>
      </c>
      <c r="E257">
        <v>115</v>
      </c>
      <c r="F257">
        <v>115</v>
      </c>
      <c r="G257">
        <v>115</v>
      </c>
      <c r="H257">
        <v>115</v>
      </c>
      <c r="I257">
        <v>115</v>
      </c>
      <c r="J257">
        <v>115</v>
      </c>
      <c r="K257">
        <v>115</v>
      </c>
      <c r="L257">
        <v>115</v>
      </c>
      <c r="M257">
        <v>115</v>
      </c>
      <c r="N257">
        <v>115</v>
      </c>
      <c r="O257">
        <v>115</v>
      </c>
      <c r="P257">
        <v>115</v>
      </c>
      <c r="Q257">
        <v>115</v>
      </c>
      <c r="R257">
        <v>115</v>
      </c>
      <c r="S257">
        <v>102</v>
      </c>
      <c r="T257">
        <v>115</v>
      </c>
      <c r="U257">
        <v>115</v>
      </c>
      <c r="V257">
        <v>115</v>
      </c>
      <c r="W257">
        <v>115</v>
      </c>
      <c r="X257">
        <v>115</v>
      </c>
      <c r="Y257">
        <v>115</v>
      </c>
      <c r="Z257">
        <v>115</v>
      </c>
      <c r="AA257">
        <v>115</v>
      </c>
      <c r="AB257">
        <v>115</v>
      </c>
      <c r="AC257">
        <v>115</v>
      </c>
      <c r="AD257">
        <v>115</v>
      </c>
      <c r="AE257">
        <v>115</v>
      </c>
      <c r="AF257">
        <v>115</v>
      </c>
      <c r="AG257">
        <v>115</v>
      </c>
      <c r="AH257">
        <v>115</v>
      </c>
      <c r="AI257">
        <v>115</v>
      </c>
      <c r="AJ257">
        <v>115</v>
      </c>
      <c r="AK257">
        <v>115</v>
      </c>
      <c r="AL257">
        <v>115</v>
      </c>
      <c r="AM257">
        <v>115</v>
      </c>
      <c r="AN257">
        <v>115</v>
      </c>
      <c r="AO257">
        <v>115</v>
      </c>
      <c r="AP257">
        <v>115</v>
      </c>
      <c r="AQ257">
        <v>115</v>
      </c>
      <c r="AR257">
        <v>115</v>
      </c>
      <c r="AS257">
        <v>115</v>
      </c>
      <c r="AT257">
        <v>115</v>
      </c>
      <c r="AU257">
        <v>115</v>
      </c>
      <c r="AV257">
        <v>115</v>
      </c>
      <c r="AW257">
        <v>115</v>
      </c>
      <c r="AX257">
        <v>115</v>
      </c>
      <c r="AY257">
        <v>115</v>
      </c>
    </row>
    <row r="258" spans="1:51" x14ac:dyDescent="0.3">
      <c r="A258" t="s">
        <v>678</v>
      </c>
      <c r="B258" t="s">
        <v>334</v>
      </c>
      <c r="C258">
        <v>150</v>
      </c>
      <c r="D258">
        <v>150</v>
      </c>
      <c r="E258">
        <v>90</v>
      </c>
      <c r="F258">
        <v>90</v>
      </c>
      <c r="G258">
        <v>90</v>
      </c>
      <c r="H258">
        <v>90</v>
      </c>
      <c r="I258">
        <v>90</v>
      </c>
      <c r="J258">
        <v>90</v>
      </c>
      <c r="K258">
        <v>90</v>
      </c>
      <c r="L258">
        <v>90</v>
      </c>
      <c r="M258">
        <v>90</v>
      </c>
      <c r="N258">
        <v>90</v>
      </c>
      <c r="O258">
        <v>90</v>
      </c>
      <c r="P258">
        <v>90</v>
      </c>
      <c r="Q258">
        <v>90</v>
      </c>
      <c r="R258">
        <v>90</v>
      </c>
      <c r="S258">
        <v>90</v>
      </c>
      <c r="T258">
        <v>90</v>
      </c>
      <c r="U258">
        <v>90</v>
      </c>
      <c r="V258">
        <v>90</v>
      </c>
      <c r="W258">
        <v>90</v>
      </c>
      <c r="X258">
        <v>90</v>
      </c>
      <c r="Y258">
        <v>90</v>
      </c>
      <c r="Z258">
        <v>90</v>
      </c>
      <c r="AA258">
        <v>90</v>
      </c>
      <c r="AB258">
        <v>90</v>
      </c>
      <c r="AC258">
        <v>90</v>
      </c>
      <c r="AD258">
        <v>90</v>
      </c>
      <c r="AE258">
        <v>90</v>
      </c>
      <c r="AF258">
        <v>118.48</v>
      </c>
      <c r="AG258">
        <v>117.98</v>
      </c>
      <c r="AH258">
        <v>150</v>
      </c>
      <c r="AI258">
        <v>150</v>
      </c>
      <c r="AJ258">
        <v>150</v>
      </c>
      <c r="AK258">
        <v>117.54</v>
      </c>
      <c r="AL258">
        <v>150</v>
      </c>
      <c r="AM258">
        <v>150</v>
      </c>
      <c r="AN258">
        <v>150</v>
      </c>
      <c r="AO258">
        <v>150</v>
      </c>
      <c r="AP258">
        <v>150</v>
      </c>
      <c r="AQ258">
        <v>150</v>
      </c>
      <c r="AR258">
        <v>150</v>
      </c>
      <c r="AS258">
        <v>150</v>
      </c>
      <c r="AT258">
        <v>150</v>
      </c>
      <c r="AU258">
        <v>90</v>
      </c>
      <c r="AV258">
        <v>90</v>
      </c>
      <c r="AW258">
        <v>90</v>
      </c>
      <c r="AX258">
        <v>90</v>
      </c>
      <c r="AY258">
        <v>90</v>
      </c>
    </row>
    <row r="259" spans="1:51" x14ac:dyDescent="0.3">
      <c r="A259" t="s">
        <v>678</v>
      </c>
      <c r="B259" t="s">
        <v>335</v>
      </c>
      <c r="C259">
        <v>61.273200000000003</v>
      </c>
      <c r="D259">
        <v>55.15</v>
      </c>
      <c r="E259">
        <v>55.15</v>
      </c>
      <c r="F259">
        <v>55.15</v>
      </c>
      <c r="G259">
        <v>55.15</v>
      </c>
      <c r="H259">
        <v>55.15</v>
      </c>
      <c r="I259">
        <v>55.15</v>
      </c>
      <c r="J259">
        <v>55.15</v>
      </c>
      <c r="K259">
        <v>55.15</v>
      </c>
      <c r="L259">
        <v>55.15</v>
      </c>
      <c r="M259">
        <v>55.15</v>
      </c>
      <c r="N259">
        <v>55.15</v>
      </c>
      <c r="O259">
        <v>55.15</v>
      </c>
      <c r="P259">
        <v>55.15</v>
      </c>
      <c r="Q259">
        <v>55.15</v>
      </c>
      <c r="R259">
        <v>55.15</v>
      </c>
      <c r="S259">
        <v>55.15</v>
      </c>
      <c r="T259">
        <v>55.15</v>
      </c>
      <c r="U259">
        <v>55.15</v>
      </c>
      <c r="V259">
        <v>55.15</v>
      </c>
      <c r="W259">
        <v>55.15</v>
      </c>
      <c r="X259">
        <v>55.15</v>
      </c>
      <c r="Y259">
        <v>55.15</v>
      </c>
      <c r="Z259">
        <v>55.15</v>
      </c>
      <c r="AA259">
        <v>55.15</v>
      </c>
      <c r="AB259">
        <v>55.15</v>
      </c>
      <c r="AC259">
        <v>55.15</v>
      </c>
      <c r="AD259">
        <v>55.15</v>
      </c>
      <c r="AE259">
        <v>55.15</v>
      </c>
      <c r="AF259">
        <v>55.15</v>
      </c>
      <c r="AG259">
        <v>55.15</v>
      </c>
      <c r="AH259">
        <v>55.15</v>
      </c>
      <c r="AI259">
        <v>55.15</v>
      </c>
      <c r="AJ259">
        <v>55.15</v>
      </c>
      <c r="AK259">
        <v>55.15</v>
      </c>
      <c r="AL259">
        <v>55.15</v>
      </c>
      <c r="AM259">
        <v>55.2</v>
      </c>
      <c r="AN259">
        <v>55.19</v>
      </c>
      <c r="AO259">
        <v>55.32</v>
      </c>
      <c r="AP259">
        <v>55.15</v>
      </c>
      <c r="AQ259">
        <v>55.15</v>
      </c>
      <c r="AR259">
        <v>55.15</v>
      </c>
      <c r="AS259">
        <v>55.15</v>
      </c>
      <c r="AT259">
        <v>55.15</v>
      </c>
      <c r="AU259">
        <v>55.15</v>
      </c>
      <c r="AV259">
        <v>55.15</v>
      </c>
      <c r="AW259">
        <v>55.15</v>
      </c>
      <c r="AX259">
        <v>55.15</v>
      </c>
      <c r="AY259">
        <v>55.15</v>
      </c>
    </row>
    <row r="260" spans="1:51" x14ac:dyDescent="0.3">
      <c r="A260" t="s">
        <v>678</v>
      </c>
      <c r="B260" t="s">
        <v>336</v>
      </c>
      <c r="C260">
        <v>33</v>
      </c>
      <c r="D260">
        <v>29.7</v>
      </c>
      <c r="E260">
        <v>29.7</v>
      </c>
      <c r="F260">
        <v>29.7</v>
      </c>
      <c r="G260">
        <v>29.7</v>
      </c>
      <c r="H260">
        <v>29.7</v>
      </c>
      <c r="I260">
        <v>29.7</v>
      </c>
      <c r="J260">
        <v>29.7</v>
      </c>
      <c r="K260">
        <v>29.7</v>
      </c>
      <c r="L260">
        <v>29.7</v>
      </c>
      <c r="M260">
        <v>29.7</v>
      </c>
      <c r="N260">
        <v>29.7</v>
      </c>
      <c r="O260">
        <v>29.7</v>
      </c>
      <c r="P260">
        <v>29.7</v>
      </c>
      <c r="Q260">
        <v>29.7</v>
      </c>
      <c r="R260">
        <v>29.7</v>
      </c>
      <c r="S260">
        <v>29.7</v>
      </c>
      <c r="T260">
        <v>29.7</v>
      </c>
      <c r="U260">
        <v>29.7</v>
      </c>
      <c r="V260">
        <v>29.7</v>
      </c>
      <c r="W260">
        <v>29.7</v>
      </c>
      <c r="X260">
        <v>29.7</v>
      </c>
      <c r="Y260">
        <v>29.7</v>
      </c>
      <c r="Z260">
        <v>29.7</v>
      </c>
      <c r="AA260">
        <v>29.7</v>
      </c>
      <c r="AB260">
        <v>29.7</v>
      </c>
      <c r="AC260">
        <v>29.7</v>
      </c>
      <c r="AD260">
        <v>29.7</v>
      </c>
      <c r="AE260">
        <v>29.7</v>
      </c>
      <c r="AF260">
        <v>29.7</v>
      </c>
      <c r="AG260">
        <v>29.7</v>
      </c>
      <c r="AH260">
        <v>29.7</v>
      </c>
      <c r="AI260">
        <v>29.7</v>
      </c>
      <c r="AJ260">
        <v>29.7</v>
      </c>
      <c r="AK260">
        <v>29.7</v>
      </c>
      <c r="AL260">
        <v>29.7</v>
      </c>
      <c r="AM260">
        <v>29.7</v>
      </c>
      <c r="AN260">
        <v>29.7</v>
      </c>
      <c r="AO260">
        <v>29.7</v>
      </c>
      <c r="AP260">
        <v>29.7</v>
      </c>
      <c r="AQ260">
        <v>29.7</v>
      </c>
      <c r="AR260">
        <v>29.7</v>
      </c>
      <c r="AS260">
        <v>29.7</v>
      </c>
      <c r="AT260">
        <v>29.7</v>
      </c>
      <c r="AU260">
        <v>29.7</v>
      </c>
      <c r="AV260">
        <v>29.7</v>
      </c>
      <c r="AW260">
        <v>29.7</v>
      </c>
      <c r="AX260">
        <v>29.7</v>
      </c>
      <c r="AY260">
        <v>29.7</v>
      </c>
    </row>
    <row r="261" spans="1:51" x14ac:dyDescent="0.3">
      <c r="A261" t="s">
        <v>678</v>
      </c>
      <c r="B261" t="s">
        <v>75</v>
      </c>
      <c r="C261">
        <v>660</v>
      </c>
      <c r="D261">
        <v>480</v>
      </c>
      <c r="E261">
        <v>630</v>
      </c>
      <c r="F261">
        <v>646.79999999999995</v>
      </c>
      <c r="G261">
        <v>646.79999999999995</v>
      </c>
      <c r="H261">
        <v>547.79999999999995</v>
      </c>
      <c r="I261">
        <v>457.35</v>
      </c>
      <c r="J261">
        <v>450</v>
      </c>
      <c r="K261">
        <v>521.89</v>
      </c>
      <c r="L261">
        <v>646.79999999999995</v>
      </c>
      <c r="M261">
        <v>646.79999999999995</v>
      </c>
      <c r="N261">
        <v>646.79999999999995</v>
      </c>
      <c r="O261">
        <v>646.79999999999995</v>
      </c>
      <c r="P261">
        <v>646.79999999999995</v>
      </c>
      <c r="Q261">
        <v>646.79999999999995</v>
      </c>
      <c r="R261">
        <v>646.79999999999995</v>
      </c>
      <c r="S261">
        <v>646.79999999999995</v>
      </c>
      <c r="T261">
        <v>646.79999999999995</v>
      </c>
      <c r="U261">
        <v>646.79999999999995</v>
      </c>
      <c r="V261">
        <v>646.79999999999995</v>
      </c>
      <c r="W261">
        <v>646.79999999999995</v>
      </c>
      <c r="X261">
        <v>646.79999999999995</v>
      </c>
      <c r="Y261">
        <v>646.79999999999995</v>
      </c>
      <c r="Z261">
        <v>646.79999999999995</v>
      </c>
      <c r="AA261">
        <v>646.79999999999995</v>
      </c>
      <c r="AB261">
        <v>646.79999999999995</v>
      </c>
      <c r="AC261">
        <v>646.79999999999995</v>
      </c>
      <c r="AD261">
        <v>646.79999999999995</v>
      </c>
      <c r="AE261">
        <v>646.79999999999995</v>
      </c>
      <c r="AF261">
        <v>646.79999999999995</v>
      </c>
      <c r="AG261">
        <v>646.79999999999995</v>
      </c>
      <c r="AH261">
        <v>646.79999999999995</v>
      </c>
      <c r="AI261">
        <v>646.79999999999995</v>
      </c>
      <c r="AJ261">
        <v>646.79999999999995</v>
      </c>
      <c r="AK261">
        <v>646.79999999999995</v>
      </c>
      <c r="AL261">
        <v>646.79999999999995</v>
      </c>
      <c r="AM261">
        <v>646.79999999999995</v>
      </c>
      <c r="AN261">
        <v>646.79999999999995</v>
      </c>
      <c r="AO261">
        <v>646.79999999999995</v>
      </c>
      <c r="AP261">
        <v>646.79999999999995</v>
      </c>
      <c r="AQ261">
        <v>646.79999999999995</v>
      </c>
      <c r="AR261">
        <v>646.79999999999995</v>
      </c>
      <c r="AS261">
        <v>646.79999999999995</v>
      </c>
      <c r="AT261">
        <v>646.79999999999995</v>
      </c>
      <c r="AU261">
        <v>646.79999999999995</v>
      </c>
      <c r="AV261">
        <v>646.79999999999995</v>
      </c>
      <c r="AW261">
        <v>646.79999999999995</v>
      </c>
      <c r="AX261">
        <v>646.79999999999995</v>
      </c>
      <c r="AY261">
        <v>646.79999999999995</v>
      </c>
    </row>
    <row r="262" spans="1:51" x14ac:dyDescent="0.3">
      <c r="A262" t="s">
        <v>678</v>
      </c>
      <c r="B262" t="s">
        <v>337</v>
      </c>
      <c r="D262">
        <v>100</v>
      </c>
      <c r="E262">
        <v>100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  <c r="AK262">
        <v>100</v>
      </c>
      <c r="AL262">
        <v>100</v>
      </c>
      <c r="AM262">
        <v>118.8</v>
      </c>
      <c r="AN262">
        <v>118.8</v>
      </c>
      <c r="AO262">
        <v>118.8</v>
      </c>
      <c r="AP262">
        <v>118.8</v>
      </c>
      <c r="AQ262">
        <v>118.8</v>
      </c>
      <c r="AR262">
        <v>118.8</v>
      </c>
      <c r="AS262">
        <v>100</v>
      </c>
      <c r="AT262">
        <v>118.8</v>
      </c>
      <c r="AU262">
        <v>100</v>
      </c>
      <c r="AV262">
        <v>100</v>
      </c>
      <c r="AW262">
        <v>100</v>
      </c>
      <c r="AX262">
        <v>100</v>
      </c>
      <c r="AY262">
        <v>100</v>
      </c>
    </row>
    <row r="263" spans="1:51" x14ac:dyDescent="0.3">
      <c r="A263" t="s">
        <v>678</v>
      </c>
      <c r="B263" t="s">
        <v>338</v>
      </c>
      <c r="C263">
        <v>59.57282</v>
      </c>
      <c r="D263">
        <v>56.59</v>
      </c>
      <c r="E263">
        <v>56.59</v>
      </c>
      <c r="F263">
        <v>56.59</v>
      </c>
      <c r="G263">
        <v>56.59</v>
      </c>
      <c r="H263">
        <v>56.59</v>
      </c>
      <c r="I263">
        <v>56.59</v>
      </c>
      <c r="J263">
        <v>56.59</v>
      </c>
      <c r="K263">
        <v>56.59</v>
      </c>
      <c r="L263">
        <v>56.59</v>
      </c>
      <c r="M263">
        <v>56.59</v>
      </c>
      <c r="N263">
        <v>56.59</v>
      </c>
      <c r="O263">
        <v>56.59</v>
      </c>
      <c r="P263">
        <v>56.59</v>
      </c>
      <c r="Q263">
        <v>56.59</v>
      </c>
      <c r="R263">
        <v>56.59</v>
      </c>
      <c r="S263">
        <v>56.59</v>
      </c>
      <c r="T263">
        <v>56.59</v>
      </c>
      <c r="U263">
        <v>56.59</v>
      </c>
      <c r="V263">
        <v>56.59</v>
      </c>
      <c r="W263">
        <v>56.59</v>
      </c>
      <c r="X263">
        <v>56.59</v>
      </c>
      <c r="Y263">
        <v>56.59</v>
      </c>
      <c r="Z263">
        <v>56.59</v>
      </c>
      <c r="AA263">
        <v>56.59</v>
      </c>
      <c r="AB263">
        <v>56.59</v>
      </c>
      <c r="AC263">
        <v>56.59</v>
      </c>
      <c r="AD263">
        <v>56.59</v>
      </c>
      <c r="AE263">
        <v>56.59</v>
      </c>
      <c r="AF263">
        <v>56.59</v>
      </c>
      <c r="AG263">
        <v>56.59</v>
      </c>
      <c r="AH263">
        <v>56.59</v>
      </c>
      <c r="AI263">
        <v>56.59</v>
      </c>
      <c r="AJ263">
        <v>56.59</v>
      </c>
      <c r="AK263">
        <v>56.59</v>
      </c>
      <c r="AL263">
        <v>56.59</v>
      </c>
      <c r="AM263">
        <v>59.57</v>
      </c>
      <c r="AN263">
        <v>56.59</v>
      </c>
      <c r="AO263">
        <v>56.59</v>
      </c>
      <c r="AP263">
        <v>56.59</v>
      </c>
      <c r="AQ263">
        <v>56.59</v>
      </c>
      <c r="AR263">
        <v>56.59</v>
      </c>
      <c r="AS263">
        <v>56.59</v>
      </c>
      <c r="AT263">
        <v>56.59</v>
      </c>
      <c r="AU263">
        <v>56.59</v>
      </c>
      <c r="AV263">
        <v>56.59</v>
      </c>
      <c r="AW263">
        <v>56.59</v>
      </c>
      <c r="AX263">
        <v>56.59</v>
      </c>
      <c r="AY263">
        <v>56.59</v>
      </c>
    </row>
    <row r="264" spans="1:51" x14ac:dyDescent="0.3">
      <c r="A264" t="s">
        <v>678</v>
      </c>
      <c r="B264" t="s">
        <v>339</v>
      </c>
      <c r="C264">
        <v>18.537800000000001</v>
      </c>
      <c r="D264">
        <v>16.68</v>
      </c>
      <c r="E264">
        <v>16.68</v>
      </c>
      <c r="F264">
        <v>16.68</v>
      </c>
      <c r="G264">
        <v>16.68</v>
      </c>
      <c r="H264">
        <v>16.68</v>
      </c>
      <c r="I264">
        <v>16.68</v>
      </c>
      <c r="J264">
        <v>16.68</v>
      </c>
      <c r="K264">
        <v>16.68</v>
      </c>
      <c r="L264">
        <v>16.68</v>
      </c>
      <c r="M264">
        <v>16.68</v>
      </c>
      <c r="N264">
        <v>16.68</v>
      </c>
      <c r="O264">
        <v>16.68</v>
      </c>
      <c r="P264">
        <v>16.68</v>
      </c>
      <c r="Q264">
        <v>16.68</v>
      </c>
      <c r="R264">
        <v>16.68</v>
      </c>
      <c r="S264">
        <v>16.68</v>
      </c>
      <c r="T264">
        <v>16.68</v>
      </c>
      <c r="U264">
        <v>16.68</v>
      </c>
      <c r="V264">
        <v>16.68</v>
      </c>
      <c r="W264">
        <v>16.68</v>
      </c>
      <c r="X264">
        <v>16.68</v>
      </c>
      <c r="Y264">
        <v>16.68</v>
      </c>
      <c r="Z264">
        <v>16.68</v>
      </c>
      <c r="AA264">
        <v>16.68</v>
      </c>
      <c r="AB264">
        <v>16.68</v>
      </c>
      <c r="AC264">
        <v>16.68</v>
      </c>
      <c r="AD264">
        <v>16.68</v>
      </c>
      <c r="AE264">
        <v>16.68</v>
      </c>
      <c r="AF264">
        <v>16.68</v>
      </c>
      <c r="AG264">
        <v>16.68</v>
      </c>
      <c r="AH264">
        <v>16.68</v>
      </c>
      <c r="AI264">
        <v>16.68</v>
      </c>
      <c r="AJ264">
        <v>16.68</v>
      </c>
      <c r="AK264">
        <v>16.68</v>
      </c>
      <c r="AL264">
        <v>16.68</v>
      </c>
      <c r="AM264">
        <v>16.68</v>
      </c>
      <c r="AN264">
        <v>16.68</v>
      </c>
      <c r="AO264">
        <v>16.68</v>
      </c>
      <c r="AP264">
        <v>16.68</v>
      </c>
      <c r="AQ264">
        <v>16.68</v>
      </c>
      <c r="AR264">
        <v>16.68</v>
      </c>
      <c r="AS264">
        <v>16.68</v>
      </c>
      <c r="AT264">
        <v>16.68</v>
      </c>
      <c r="AU264">
        <v>16.68</v>
      </c>
      <c r="AV264">
        <v>16.68</v>
      </c>
      <c r="AW264">
        <v>16.68</v>
      </c>
      <c r="AX264">
        <v>16.68</v>
      </c>
      <c r="AY264">
        <v>16.68</v>
      </c>
    </row>
    <row r="265" spans="1:51" x14ac:dyDescent="0.3">
      <c r="A265" t="s">
        <v>678</v>
      </c>
      <c r="B265" t="s">
        <v>340</v>
      </c>
      <c r="C265">
        <v>46.6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">
      <c r="A266" t="s">
        <v>678</v>
      </c>
      <c r="B266" t="s">
        <v>341</v>
      </c>
      <c r="C266">
        <v>880</v>
      </c>
      <c r="D266">
        <v>551.66999999999996</v>
      </c>
      <c r="E266">
        <v>380</v>
      </c>
      <c r="F266">
        <v>380</v>
      </c>
      <c r="G266">
        <v>380</v>
      </c>
      <c r="H266">
        <v>380</v>
      </c>
      <c r="I266">
        <v>380</v>
      </c>
      <c r="J266">
        <v>380</v>
      </c>
      <c r="K266">
        <v>380</v>
      </c>
      <c r="L266">
        <v>380</v>
      </c>
      <c r="M266">
        <v>380</v>
      </c>
      <c r="N266">
        <v>704</v>
      </c>
      <c r="O266">
        <v>380</v>
      </c>
      <c r="P266">
        <v>380</v>
      </c>
      <c r="Q266">
        <v>380</v>
      </c>
      <c r="R266">
        <v>380</v>
      </c>
      <c r="S266">
        <v>413.46</v>
      </c>
      <c r="T266">
        <v>380</v>
      </c>
      <c r="U266">
        <v>704</v>
      </c>
      <c r="V266">
        <v>552.95000000000005</v>
      </c>
      <c r="W266">
        <v>380</v>
      </c>
      <c r="X266">
        <v>380</v>
      </c>
      <c r="Y266">
        <v>380</v>
      </c>
      <c r="Z266">
        <v>380</v>
      </c>
      <c r="AA266">
        <v>380</v>
      </c>
      <c r="AB266">
        <v>380</v>
      </c>
      <c r="AC266">
        <v>380</v>
      </c>
      <c r="AD266">
        <v>704</v>
      </c>
      <c r="AE266">
        <v>704</v>
      </c>
      <c r="AF266">
        <v>704</v>
      </c>
      <c r="AG266">
        <v>704</v>
      </c>
      <c r="AH266">
        <v>641.74</v>
      </c>
      <c r="AI266">
        <v>412.9</v>
      </c>
      <c r="AJ266">
        <v>380</v>
      </c>
      <c r="AK266">
        <v>380</v>
      </c>
      <c r="AL266">
        <v>704</v>
      </c>
      <c r="AM266">
        <v>862.4</v>
      </c>
      <c r="AN266">
        <v>862.4</v>
      </c>
      <c r="AO266">
        <v>704</v>
      </c>
      <c r="AP266">
        <v>704</v>
      </c>
      <c r="AQ266">
        <v>725.54</v>
      </c>
      <c r="AR266">
        <v>752.96</v>
      </c>
      <c r="AS266">
        <v>593.59</v>
      </c>
      <c r="AT266">
        <v>722.19</v>
      </c>
      <c r="AU266">
        <v>704</v>
      </c>
      <c r="AV266">
        <v>644.41999999999996</v>
      </c>
      <c r="AW266">
        <v>502.92</v>
      </c>
      <c r="AX266">
        <v>380</v>
      </c>
      <c r="AY266">
        <v>380</v>
      </c>
    </row>
    <row r="267" spans="1:51" x14ac:dyDescent="0.3">
      <c r="A267" t="s">
        <v>678</v>
      </c>
      <c r="B267" t="s">
        <v>342</v>
      </c>
      <c r="C267">
        <v>880</v>
      </c>
      <c r="D267">
        <v>704</v>
      </c>
      <c r="E267">
        <v>380</v>
      </c>
      <c r="F267">
        <v>380</v>
      </c>
      <c r="G267">
        <v>380</v>
      </c>
      <c r="H267">
        <v>380</v>
      </c>
      <c r="I267">
        <v>380</v>
      </c>
      <c r="J267">
        <v>380</v>
      </c>
      <c r="K267">
        <v>380</v>
      </c>
      <c r="L267">
        <v>380</v>
      </c>
      <c r="M267">
        <v>380</v>
      </c>
      <c r="N267">
        <v>385.03</v>
      </c>
      <c r="O267">
        <v>380</v>
      </c>
      <c r="P267">
        <v>380</v>
      </c>
      <c r="Q267">
        <v>380</v>
      </c>
      <c r="R267">
        <v>380</v>
      </c>
      <c r="S267">
        <v>380</v>
      </c>
      <c r="T267">
        <v>524.17999999999995</v>
      </c>
      <c r="U267">
        <v>540.20000000000005</v>
      </c>
      <c r="V267">
        <v>704</v>
      </c>
      <c r="W267">
        <v>694.23</v>
      </c>
      <c r="X267">
        <v>656.54</v>
      </c>
      <c r="Y267">
        <v>638.6</v>
      </c>
      <c r="Z267">
        <v>380</v>
      </c>
      <c r="AA267">
        <v>380</v>
      </c>
      <c r="AB267">
        <v>380</v>
      </c>
      <c r="AC267">
        <v>380</v>
      </c>
      <c r="AD267">
        <v>510.66</v>
      </c>
      <c r="AE267">
        <v>609.92999999999995</v>
      </c>
      <c r="AF267">
        <v>704</v>
      </c>
      <c r="AG267">
        <v>656.08</v>
      </c>
      <c r="AH267">
        <v>704</v>
      </c>
      <c r="AI267">
        <v>704</v>
      </c>
      <c r="AJ267">
        <v>582.29</v>
      </c>
      <c r="AK267">
        <v>380</v>
      </c>
      <c r="AL267">
        <v>586.62</v>
      </c>
      <c r="AM267">
        <v>862.4</v>
      </c>
      <c r="AN267">
        <v>862.4</v>
      </c>
      <c r="AO267">
        <v>781.51</v>
      </c>
      <c r="AP267">
        <v>704</v>
      </c>
      <c r="AQ267">
        <v>862.4</v>
      </c>
      <c r="AR267">
        <v>704</v>
      </c>
      <c r="AS267">
        <v>704</v>
      </c>
      <c r="AT267">
        <v>704</v>
      </c>
      <c r="AU267">
        <v>704</v>
      </c>
      <c r="AV267">
        <v>704</v>
      </c>
      <c r="AW267">
        <v>704</v>
      </c>
      <c r="AX267">
        <v>410.37</v>
      </c>
      <c r="AY267">
        <v>380</v>
      </c>
    </row>
    <row r="268" spans="1:51" x14ac:dyDescent="0.3">
      <c r="A268" t="s">
        <v>678</v>
      </c>
      <c r="B268" t="s">
        <v>74</v>
      </c>
      <c r="C268">
        <v>924</v>
      </c>
      <c r="D268">
        <v>762</v>
      </c>
      <c r="E268">
        <v>905.52</v>
      </c>
      <c r="F268">
        <v>905.52</v>
      </c>
      <c r="G268">
        <v>905.52</v>
      </c>
      <c r="H268">
        <v>853.21</v>
      </c>
      <c r="I268">
        <v>739</v>
      </c>
      <c r="J268">
        <v>651.66999999999996</v>
      </c>
      <c r="K268">
        <v>739</v>
      </c>
      <c r="L268">
        <v>905.52</v>
      </c>
      <c r="M268">
        <v>905.52</v>
      </c>
      <c r="N268">
        <v>905.52</v>
      </c>
      <c r="O268">
        <v>905.52</v>
      </c>
      <c r="P268">
        <v>905.52</v>
      </c>
      <c r="Q268">
        <v>905.52</v>
      </c>
      <c r="R268">
        <v>905.52</v>
      </c>
      <c r="S268">
        <v>905.52</v>
      </c>
      <c r="T268">
        <v>905.52</v>
      </c>
      <c r="U268">
        <v>905.52</v>
      </c>
      <c r="V268">
        <v>905.52</v>
      </c>
      <c r="W268">
        <v>905.52</v>
      </c>
      <c r="X268">
        <v>905.52</v>
      </c>
      <c r="Y268">
        <v>905.52</v>
      </c>
      <c r="Z268">
        <v>905.52</v>
      </c>
      <c r="AA268">
        <v>905.52</v>
      </c>
      <c r="AB268">
        <v>905.52</v>
      </c>
      <c r="AC268">
        <v>905.52</v>
      </c>
      <c r="AD268">
        <v>905.52</v>
      </c>
      <c r="AE268">
        <v>905.52</v>
      </c>
      <c r="AF268">
        <v>905.52</v>
      </c>
      <c r="AG268">
        <v>905.52</v>
      </c>
      <c r="AH268">
        <v>905.52</v>
      </c>
      <c r="AI268">
        <v>905.52</v>
      </c>
      <c r="AJ268">
        <v>905.52</v>
      </c>
      <c r="AK268">
        <v>905.52</v>
      </c>
      <c r="AL268">
        <v>905.52</v>
      </c>
      <c r="AM268">
        <v>905.52</v>
      </c>
      <c r="AN268">
        <v>905.52</v>
      </c>
      <c r="AO268">
        <v>905.52</v>
      </c>
      <c r="AP268">
        <v>905.52</v>
      </c>
      <c r="AQ268">
        <v>905.52</v>
      </c>
      <c r="AR268">
        <v>905.52</v>
      </c>
      <c r="AS268">
        <v>905.52</v>
      </c>
      <c r="AT268">
        <v>905.52</v>
      </c>
      <c r="AU268">
        <v>905.52</v>
      </c>
      <c r="AV268">
        <v>905.52</v>
      </c>
      <c r="AW268">
        <v>905.52</v>
      </c>
      <c r="AX268">
        <v>905.52</v>
      </c>
      <c r="AY268">
        <v>905.52</v>
      </c>
    </row>
    <row r="269" spans="1:51" x14ac:dyDescent="0.3">
      <c r="A269" t="s">
        <v>678</v>
      </c>
      <c r="B269" t="s">
        <v>343</v>
      </c>
      <c r="C269">
        <v>145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1.2</v>
      </c>
      <c r="P269">
        <v>12.91</v>
      </c>
      <c r="Q269">
        <v>30.11</v>
      </c>
      <c r="R269">
        <v>48.88</v>
      </c>
      <c r="S269">
        <v>66.86</v>
      </c>
      <c r="T269">
        <v>81.91</v>
      </c>
      <c r="U269">
        <v>95.72</v>
      </c>
      <c r="V269">
        <v>106.82</v>
      </c>
      <c r="W269">
        <v>115.85</v>
      </c>
      <c r="X269">
        <v>122.64</v>
      </c>
      <c r="Y269">
        <v>127.37</v>
      </c>
      <c r="Z269">
        <v>129.41</v>
      </c>
      <c r="AA269">
        <v>129.38</v>
      </c>
      <c r="AB269">
        <v>127.06</v>
      </c>
      <c r="AC269">
        <v>122.45</v>
      </c>
      <c r="AD269">
        <v>115.95</v>
      </c>
      <c r="AE269">
        <v>106.99</v>
      </c>
      <c r="AF269">
        <v>53.27</v>
      </c>
      <c r="AG269">
        <v>49.1</v>
      </c>
      <c r="AH269">
        <v>47.82</v>
      </c>
      <c r="AI269">
        <v>51.58</v>
      </c>
      <c r="AJ269">
        <v>33.46</v>
      </c>
      <c r="AK269">
        <v>15.91</v>
      </c>
      <c r="AL269">
        <v>2.38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3">
      <c r="A270" t="s">
        <v>678</v>
      </c>
      <c r="B270" t="s">
        <v>343</v>
      </c>
      <c r="C270">
        <v>1.0000000000000001E-5</v>
      </c>
    </row>
    <row r="271" spans="1:51" x14ac:dyDescent="0.3">
      <c r="A271" t="s">
        <v>678</v>
      </c>
      <c r="B271" t="s">
        <v>344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">
      <c r="A272" t="s">
        <v>678</v>
      </c>
      <c r="B272" t="s">
        <v>347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 x14ac:dyDescent="0.3">
      <c r="A273" t="s">
        <v>678</v>
      </c>
      <c r="B273" t="s">
        <v>348</v>
      </c>
      <c r="C273">
        <v>110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3">
      <c r="A274" t="s">
        <v>678</v>
      </c>
      <c r="B274" t="s">
        <v>349</v>
      </c>
      <c r="D274">
        <v>101.61</v>
      </c>
      <c r="E274">
        <v>101.61</v>
      </c>
      <c r="F274">
        <v>101.61</v>
      </c>
      <c r="G274">
        <v>101.61</v>
      </c>
      <c r="H274">
        <v>101.61</v>
      </c>
      <c r="I274">
        <v>101.61</v>
      </c>
      <c r="J274">
        <v>101.61</v>
      </c>
      <c r="K274">
        <v>101.61</v>
      </c>
      <c r="L274">
        <v>101.61</v>
      </c>
      <c r="M274">
        <v>101.61</v>
      </c>
      <c r="N274">
        <v>101.61</v>
      </c>
      <c r="O274">
        <v>101.61</v>
      </c>
      <c r="P274">
        <v>101.61</v>
      </c>
      <c r="Q274">
        <v>101.61</v>
      </c>
      <c r="R274">
        <v>101.61</v>
      </c>
      <c r="S274">
        <v>101.61</v>
      </c>
      <c r="T274">
        <v>101.61</v>
      </c>
      <c r="U274">
        <v>116.13</v>
      </c>
      <c r="V274">
        <v>116.13</v>
      </c>
      <c r="W274">
        <v>217.74</v>
      </c>
      <c r="X274">
        <v>232.26</v>
      </c>
      <c r="Y274">
        <v>232.26</v>
      </c>
      <c r="Z274">
        <v>232.26</v>
      </c>
      <c r="AA274">
        <v>203.23</v>
      </c>
      <c r="AB274">
        <v>203.23</v>
      </c>
      <c r="AC274">
        <v>265.64999999999998</v>
      </c>
      <c r="AD274">
        <v>265.64999999999998</v>
      </c>
      <c r="AE274">
        <v>265.64999999999998</v>
      </c>
      <c r="AF274">
        <v>265.64999999999998</v>
      </c>
      <c r="AG274">
        <v>265.64999999999998</v>
      </c>
      <c r="AH274">
        <v>265.64999999999998</v>
      </c>
      <c r="AI274">
        <v>203.23</v>
      </c>
      <c r="AJ274">
        <v>203.23</v>
      </c>
      <c r="AK274">
        <v>203.23</v>
      </c>
      <c r="AL274">
        <v>203.23</v>
      </c>
      <c r="AM274">
        <v>211.94</v>
      </c>
      <c r="AN274">
        <v>203.23</v>
      </c>
      <c r="AO274">
        <v>203.23</v>
      </c>
      <c r="AP274">
        <v>203.23</v>
      </c>
      <c r="AQ274">
        <v>203.23</v>
      </c>
      <c r="AR274">
        <v>203.23</v>
      </c>
      <c r="AS274">
        <v>203.23</v>
      </c>
      <c r="AT274">
        <v>203.23</v>
      </c>
      <c r="AU274">
        <v>203.23</v>
      </c>
      <c r="AV274">
        <v>101.61</v>
      </c>
      <c r="AW274">
        <v>101.61</v>
      </c>
      <c r="AX274">
        <v>101.61</v>
      </c>
      <c r="AY274">
        <v>101.61</v>
      </c>
    </row>
    <row r="275" spans="1:51" x14ac:dyDescent="0.3">
      <c r="A275" t="s">
        <v>678</v>
      </c>
      <c r="B275" t="s">
        <v>350</v>
      </c>
      <c r="D275">
        <v>101.61</v>
      </c>
      <c r="E275">
        <v>101.61</v>
      </c>
      <c r="F275">
        <v>101.61</v>
      </c>
      <c r="G275">
        <v>101.61</v>
      </c>
      <c r="H275">
        <v>101.61</v>
      </c>
      <c r="I275">
        <v>101.61</v>
      </c>
      <c r="J275">
        <v>101.61</v>
      </c>
      <c r="K275">
        <v>101.61</v>
      </c>
      <c r="L275">
        <v>101.61</v>
      </c>
      <c r="M275">
        <v>101.61</v>
      </c>
      <c r="N275">
        <v>101.61</v>
      </c>
      <c r="O275">
        <v>101.61</v>
      </c>
      <c r="P275">
        <v>101.61</v>
      </c>
      <c r="Q275">
        <v>203.23</v>
      </c>
      <c r="R275">
        <v>203.23</v>
      </c>
      <c r="S275">
        <v>304.83999999999997</v>
      </c>
      <c r="T275">
        <v>304.83999999999997</v>
      </c>
      <c r="U275">
        <v>348.39</v>
      </c>
      <c r="V275">
        <v>348.39</v>
      </c>
      <c r="W275">
        <v>348.39</v>
      </c>
      <c r="X275">
        <v>348.39</v>
      </c>
      <c r="Y275">
        <v>348.39</v>
      </c>
      <c r="Z275">
        <v>348.39</v>
      </c>
      <c r="AA275">
        <v>304.83999999999997</v>
      </c>
      <c r="AB275">
        <v>304.83999999999997</v>
      </c>
      <c r="AC275">
        <v>404</v>
      </c>
      <c r="AD275">
        <v>404</v>
      </c>
      <c r="AE275">
        <v>404</v>
      </c>
      <c r="AF275">
        <v>404</v>
      </c>
      <c r="AG275">
        <v>404</v>
      </c>
      <c r="AH275">
        <v>404</v>
      </c>
      <c r="AI275">
        <v>304.83999999999997</v>
      </c>
      <c r="AJ275">
        <v>304.83999999999997</v>
      </c>
      <c r="AK275">
        <v>304.83999999999997</v>
      </c>
      <c r="AL275">
        <v>304.83999999999997</v>
      </c>
      <c r="AM275">
        <v>315</v>
      </c>
      <c r="AN275">
        <v>304.83999999999997</v>
      </c>
      <c r="AO275">
        <v>304.83999999999997</v>
      </c>
      <c r="AP275">
        <v>304.83999999999997</v>
      </c>
      <c r="AQ275">
        <v>304.83999999999997</v>
      </c>
      <c r="AR275">
        <v>304.83999999999997</v>
      </c>
      <c r="AS275">
        <v>304.83999999999997</v>
      </c>
      <c r="AT275">
        <v>203.23</v>
      </c>
      <c r="AU275">
        <v>101.61</v>
      </c>
      <c r="AV275">
        <v>101.61</v>
      </c>
      <c r="AW275">
        <v>101.61</v>
      </c>
      <c r="AX275">
        <v>101.61</v>
      </c>
      <c r="AY275">
        <v>101.61</v>
      </c>
    </row>
    <row r="276" spans="1:51" x14ac:dyDescent="0.3">
      <c r="A276" t="s">
        <v>678</v>
      </c>
      <c r="B276" t="s">
        <v>351</v>
      </c>
      <c r="C276">
        <v>773.39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 x14ac:dyDescent="0.3">
      <c r="A277" t="s">
        <v>678</v>
      </c>
      <c r="B277" t="s">
        <v>352</v>
      </c>
      <c r="C277">
        <v>615</v>
      </c>
      <c r="D277">
        <v>450</v>
      </c>
      <c r="E277">
        <v>450</v>
      </c>
      <c r="F277">
        <v>450</v>
      </c>
      <c r="G277">
        <v>450</v>
      </c>
      <c r="H277">
        <v>450</v>
      </c>
      <c r="I277">
        <v>450</v>
      </c>
      <c r="J277">
        <v>450</v>
      </c>
      <c r="K277">
        <v>450</v>
      </c>
      <c r="L277">
        <v>450</v>
      </c>
      <c r="M277">
        <v>450</v>
      </c>
      <c r="N277">
        <v>450</v>
      </c>
      <c r="O277">
        <v>450</v>
      </c>
      <c r="P277">
        <v>450</v>
      </c>
      <c r="Q277">
        <v>450</v>
      </c>
      <c r="R277">
        <v>450</v>
      </c>
      <c r="S277">
        <v>450</v>
      </c>
      <c r="T277">
        <v>450</v>
      </c>
      <c r="U277">
        <v>450</v>
      </c>
      <c r="V277">
        <v>450</v>
      </c>
      <c r="W277">
        <v>450</v>
      </c>
      <c r="X277">
        <v>450</v>
      </c>
      <c r="Y277">
        <v>450</v>
      </c>
      <c r="Z277">
        <v>450</v>
      </c>
      <c r="AA277">
        <v>450</v>
      </c>
      <c r="AB277">
        <v>450</v>
      </c>
      <c r="AC277">
        <v>450</v>
      </c>
      <c r="AD277">
        <v>450</v>
      </c>
      <c r="AE277">
        <v>450</v>
      </c>
      <c r="AF277">
        <v>450</v>
      </c>
      <c r="AG277">
        <v>450</v>
      </c>
      <c r="AH277">
        <v>450</v>
      </c>
      <c r="AI277">
        <v>450</v>
      </c>
      <c r="AJ277">
        <v>450</v>
      </c>
      <c r="AK277">
        <v>450</v>
      </c>
      <c r="AL277">
        <v>450</v>
      </c>
      <c r="AM277">
        <v>450</v>
      </c>
      <c r="AN277">
        <v>450</v>
      </c>
      <c r="AO277">
        <v>450</v>
      </c>
      <c r="AP277">
        <v>450</v>
      </c>
      <c r="AQ277">
        <v>450</v>
      </c>
      <c r="AR277">
        <v>450</v>
      </c>
      <c r="AS277">
        <v>450</v>
      </c>
      <c r="AT277">
        <v>450</v>
      </c>
      <c r="AU277">
        <v>450</v>
      </c>
      <c r="AV277">
        <v>450</v>
      </c>
      <c r="AW277">
        <v>450</v>
      </c>
      <c r="AX277">
        <v>450</v>
      </c>
      <c r="AY277">
        <v>450</v>
      </c>
    </row>
    <row r="278" spans="1:51" x14ac:dyDescent="0.3">
      <c r="A278" t="s">
        <v>678</v>
      </c>
      <c r="B278" t="s">
        <v>86</v>
      </c>
      <c r="C278">
        <v>280</v>
      </c>
      <c r="D278">
        <v>200</v>
      </c>
      <c r="E278">
        <v>200</v>
      </c>
      <c r="F278">
        <v>200</v>
      </c>
      <c r="G278">
        <v>200</v>
      </c>
      <c r="H278">
        <v>200</v>
      </c>
      <c r="I278">
        <v>200</v>
      </c>
      <c r="J278">
        <v>200</v>
      </c>
      <c r="K278">
        <v>200</v>
      </c>
      <c r="L278">
        <v>200</v>
      </c>
      <c r="M278">
        <v>200</v>
      </c>
      <c r="N278">
        <v>200</v>
      </c>
      <c r="O278">
        <v>200</v>
      </c>
      <c r="P278">
        <v>200</v>
      </c>
      <c r="Q278">
        <v>200</v>
      </c>
      <c r="R278">
        <v>200</v>
      </c>
      <c r="S278">
        <v>200</v>
      </c>
      <c r="T278">
        <v>200</v>
      </c>
      <c r="U278">
        <v>200</v>
      </c>
      <c r="V278">
        <v>200</v>
      </c>
      <c r="W278">
        <v>200</v>
      </c>
      <c r="X278">
        <v>200</v>
      </c>
      <c r="Y278">
        <v>200</v>
      </c>
      <c r="Z278">
        <v>200</v>
      </c>
      <c r="AA278">
        <v>200</v>
      </c>
      <c r="AB278">
        <v>200</v>
      </c>
      <c r="AC278">
        <v>250</v>
      </c>
      <c r="AD278">
        <v>250</v>
      </c>
      <c r="AE278">
        <v>250</v>
      </c>
      <c r="AF278">
        <v>250</v>
      </c>
      <c r="AG278">
        <v>250</v>
      </c>
      <c r="AH278">
        <v>250</v>
      </c>
      <c r="AI278">
        <v>250</v>
      </c>
      <c r="AJ278">
        <v>250</v>
      </c>
      <c r="AK278">
        <v>270</v>
      </c>
      <c r="AL278">
        <v>270</v>
      </c>
      <c r="AM278">
        <v>270</v>
      </c>
      <c r="AN278">
        <v>270</v>
      </c>
      <c r="AO278">
        <v>270</v>
      </c>
      <c r="AP278">
        <v>270</v>
      </c>
      <c r="AQ278">
        <v>200</v>
      </c>
      <c r="AR278">
        <v>200</v>
      </c>
      <c r="AS278">
        <v>200</v>
      </c>
      <c r="AT278">
        <v>200</v>
      </c>
      <c r="AU278">
        <v>200</v>
      </c>
      <c r="AV278">
        <v>200</v>
      </c>
      <c r="AW278">
        <v>200</v>
      </c>
      <c r="AX278">
        <v>200</v>
      </c>
      <c r="AY278">
        <v>200</v>
      </c>
    </row>
    <row r="279" spans="1:51" x14ac:dyDescent="0.3">
      <c r="A279" t="s">
        <v>678</v>
      </c>
      <c r="B279" t="s">
        <v>85</v>
      </c>
      <c r="C279">
        <v>280</v>
      </c>
      <c r="D279">
        <v>200</v>
      </c>
      <c r="E279">
        <v>200</v>
      </c>
      <c r="F279">
        <v>200</v>
      </c>
      <c r="G279">
        <v>200</v>
      </c>
      <c r="H279">
        <v>200</v>
      </c>
      <c r="I279">
        <v>200</v>
      </c>
      <c r="J279">
        <v>200</v>
      </c>
      <c r="K279">
        <v>200</v>
      </c>
      <c r="L279">
        <v>200</v>
      </c>
      <c r="M279">
        <v>200</v>
      </c>
      <c r="N279">
        <v>200</v>
      </c>
      <c r="O279">
        <v>200</v>
      </c>
      <c r="P279">
        <v>200</v>
      </c>
      <c r="Q279">
        <v>200</v>
      </c>
      <c r="R279">
        <v>200</v>
      </c>
      <c r="S279">
        <v>200</v>
      </c>
      <c r="T279">
        <v>200</v>
      </c>
      <c r="U279">
        <v>200</v>
      </c>
      <c r="V279">
        <v>200</v>
      </c>
      <c r="W279">
        <v>200</v>
      </c>
      <c r="X279">
        <v>200</v>
      </c>
      <c r="Y279">
        <v>200</v>
      </c>
      <c r="Z279">
        <v>200</v>
      </c>
      <c r="AA279">
        <v>200</v>
      </c>
      <c r="AB279">
        <v>200</v>
      </c>
      <c r="AC279">
        <v>250</v>
      </c>
      <c r="AD279">
        <v>250</v>
      </c>
      <c r="AE279">
        <v>250</v>
      </c>
      <c r="AF279">
        <v>250</v>
      </c>
      <c r="AG279">
        <v>250</v>
      </c>
      <c r="AH279">
        <v>250</v>
      </c>
      <c r="AI279">
        <v>250</v>
      </c>
      <c r="AJ279">
        <v>250</v>
      </c>
      <c r="AK279">
        <v>270</v>
      </c>
      <c r="AL279">
        <v>270</v>
      </c>
      <c r="AM279">
        <v>270</v>
      </c>
      <c r="AN279">
        <v>270</v>
      </c>
      <c r="AO279">
        <v>270</v>
      </c>
      <c r="AP279">
        <v>270</v>
      </c>
      <c r="AQ279">
        <v>200</v>
      </c>
      <c r="AR279">
        <v>200</v>
      </c>
      <c r="AS279">
        <v>200</v>
      </c>
      <c r="AT279">
        <v>200</v>
      </c>
      <c r="AU279">
        <v>200</v>
      </c>
      <c r="AV279">
        <v>200</v>
      </c>
      <c r="AW279">
        <v>200</v>
      </c>
      <c r="AX279">
        <v>200</v>
      </c>
      <c r="AY279">
        <v>200</v>
      </c>
    </row>
    <row r="280" spans="1:51" x14ac:dyDescent="0.3">
      <c r="A280" t="s">
        <v>678</v>
      </c>
      <c r="B280" t="s">
        <v>353</v>
      </c>
      <c r="C280">
        <v>54.560989999999997</v>
      </c>
      <c r="D280">
        <v>35</v>
      </c>
      <c r="E280">
        <v>35</v>
      </c>
      <c r="F280">
        <v>35</v>
      </c>
      <c r="G280">
        <v>35</v>
      </c>
      <c r="H280">
        <v>35</v>
      </c>
      <c r="I280">
        <v>35</v>
      </c>
      <c r="J280">
        <v>35</v>
      </c>
      <c r="K280">
        <v>35</v>
      </c>
      <c r="L280">
        <v>35</v>
      </c>
      <c r="M280">
        <v>35</v>
      </c>
      <c r="N280">
        <v>35</v>
      </c>
      <c r="O280">
        <v>35</v>
      </c>
      <c r="P280">
        <v>35</v>
      </c>
      <c r="Q280">
        <v>35</v>
      </c>
      <c r="R280">
        <v>35</v>
      </c>
      <c r="S280">
        <v>35</v>
      </c>
      <c r="T280">
        <v>35</v>
      </c>
      <c r="U280">
        <v>35</v>
      </c>
      <c r="V280">
        <v>35</v>
      </c>
      <c r="W280">
        <v>35</v>
      </c>
      <c r="X280">
        <v>35</v>
      </c>
      <c r="Y280">
        <v>35</v>
      </c>
      <c r="Z280">
        <v>35</v>
      </c>
      <c r="AA280">
        <v>35</v>
      </c>
      <c r="AB280">
        <v>35</v>
      </c>
      <c r="AC280">
        <v>35</v>
      </c>
      <c r="AD280">
        <v>35</v>
      </c>
      <c r="AE280">
        <v>35</v>
      </c>
      <c r="AF280">
        <v>35</v>
      </c>
      <c r="AG280">
        <v>35</v>
      </c>
      <c r="AH280">
        <v>35</v>
      </c>
      <c r="AI280">
        <v>35</v>
      </c>
      <c r="AJ280">
        <v>35</v>
      </c>
      <c r="AK280">
        <v>35</v>
      </c>
      <c r="AL280">
        <v>35</v>
      </c>
      <c r="AM280">
        <v>35</v>
      </c>
      <c r="AN280">
        <v>35</v>
      </c>
      <c r="AO280">
        <v>35</v>
      </c>
      <c r="AP280">
        <v>35</v>
      </c>
      <c r="AQ280">
        <v>35</v>
      </c>
      <c r="AR280">
        <v>35</v>
      </c>
      <c r="AS280">
        <v>35</v>
      </c>
      <c r="AT280">
        <v>35</v>
      </c>
      <c r="AU280">
        <v>35</v>
      </c>
      <c r="AV280">
        <v>35</v>
      </c>
      <c r="AW280">
        <v>35</v>
      </c>
      <c r="AX280">
        <v>35</v>
      </c>
      <c r="AY280">
        <v>35</v>
      </c>
    </row>
    <row r="281" spans="1:51" x14ac:dyDescent="0.3">
      <c r="A281" t="s">
        <v>678</v>
      </c>
      <c r="B281" t="s">
        <v>87</v>
      </c>
      <c r="C281">
        <v>281</v>
      </c>
      <c r="D281">
        <v>231</v>
      </c>
      <c r="E281">
        <v>231</v>
      </c>
      <c r="F281">
        <v>141</v>
      </c>
      <c r="G281">
        <v>141</v>
      </c>
      <c r="H281">
        <v>141</v>
      </c>
      <c r="I281">
        <v>141</v>
      </c>
      <c r="J281">
        <v>141</v>
      </c>
      <c r="K281">
        <v>141</v>
      </c>
      <c r="L281">
        <v>184.4</v>
      </c>
      <c r="M281">
        <v>274.39999999999998</v>
      </c>
      <c r="N281">
        <v>274.39999999999998</v>
      </c>
      <c r="O281">
        <v>274.39999999999998</v>
      </c>
      <c r="P281">
        <v>184.4</v>
      </c>
      <c r="Q281">
        <v>184.4</v>
      </c>
      <c r="R281">
        <v>274.39999999999998</v>
      </c>
      <c r="S281">
        <v>274.39999999999998</v>
      </c>
      <c r="T281">
        <v>274.39999999999998</v>
      </c>
      <c r="U281">
        <v>274.39999999999998</v>
      </c>
      <c r="V281">
        <v>274.39999999999998</v>
      </c>
      <c r="W281">
        <v>274.39999999999998</v>
      </c>
      <c r="X281">
        <v>274.39999999999998</v>
      </c>
      <c r="Y281">
        <v>274.39999999999998</v>
      </c>
      <c r="Z281">
        <v>274.39999999999998</v>
      </c>
      <c r="AA281">
        <v>274.39999999999998</v>
      </c>
      <c r="AB281">
        <v>253.11</v>
      </c>
      <c r="AC281">
        <v>274.39999999999998</v>
      </c>
      <c r="AD281">
        <v>274.39999999999998</v>
      </c>
      <c r="AE281">
        <v>274.39999999999998</v>
      </c>
      <c r="AF281">
        <v>274.39999999999998</v>
      </c>
      <c r="AG281">
        <v>274.39999999999998</v>
      </c>
      <c r="AH281">
        <v>274.39999999999998</v>
      </c>
      <c r="AI281">
        <v>274.39999999999998</v>
      </c>
      <c r="AJ281">
        <v>274.39999999999998</v>
      </c>
      <c r="AK281">
        <v>274.39999999999998</v>
      </c>
      <c r="AL281">
        <v>274.39999999999998</v>
      </c>
      <c r="AM281">
        <v>274.39999999999998</v>
      </c>
      <c r="AN281">
        <v>274.39999999999998</v>
      </c>
      <c r="AO281">
        <v>274.39999999999998</v>
      </c>
      <c r="AP281">
        <v>274.39999999999998</v>
      </c>
      <c r="AQ281">
        <v>274.39999999999998</v>
      </c>
      <c r="AR281">
        <v>274.39999999999998</v>
      </c>
      <c r="AS281">
        <v>274.39999999999998</v>
      </c>
      <c r="AT281">
        <v>274.39999999999998</v>
      </c>
      <c r="AU281">
        <v>274.39999999999998</v>
      </c>
      <c r="AV281">
        <v>274.39999999999998</v>
      </c>
      <c r="AW281">
        <v>274.39999999999998</v>
      </c>
      <c r="AX281">
        <v>274.39999999999998</v>
      </c>
      <c r="AY281">
        <v>184.4</v>
      </c>
    </row>
    <row r="282" spans="1:51" x14ac:dyDescent="0.3">
      <c r="A282" t="s">
        <v>678</v>
      </c>
      <c r="B282" t="s">
        <v>88</v>
      </c>
      <c r="C282">
        <v>281</v>
      </c>
      <c r="D282">
        <v>231</v>
      </c>
      <c r="E282">
        <v>220.13</v>
      </c>
      <c r="F282">
        <v>141</v>
      </c>
      <c r="G282">
        <v>141</v>
      </c>
      <c r="H282">
        <v>141</v>
      </c>
      <c r="I282">
        <v>141</v>
      </c>
      <c r="J282">
        <v>141</v>
      </c>
      <c r="K282">
        <v>141</v>
      </c>
      <c r="L282">
        <v>184.4</v>
      </c>
      <c r="M282">
        <v>274.39999999999998</v>
      </c>
      <c r="N282">
        <v>274.39999999999998</v>
      </c>
      <c r="O282">
        <v>274.39999999999998</v>
      </c>
      <c r="P282">
        <v>184.4</v>
      </c>
      <c r="Q282">
        <v>155.52000000000001</v>
      </c>
      <c r="R282">
        <v>245.52</v>
      </c>
      <c r="S282">
        <v>274.39999999999998</v>
      </c>
      <c r="T282">
        <v>274.39999999999998</v>
      </c>
      <c r="U282">
        <v>274.39999999999998</v>
      </c>
      <c r="V282">
        <v>274.39999999999998</v>
      </c>
      <c r="W282">
        <v>274.39999999999998</v>
      </c>
      <c r="X282">
        <v>274.39999999999998</v>
      </c>
      <c r="Y282">
        <v>274.39999999999998</v>
      </c>
      <c r="Z282">
        <v>274.39999999999998</v>
      </c>
      <c r="AA282">
        <v>274.39999999999998</v>
      </c>
      <c r="AB282">
        <v>274.39999999999998</v>
      </c>
      <c r="AC282">
        <v>274.39999999999998</v>
      </c>
      <c r="AD282">
        <v>274.39999999999998</v>
      </c>
      <c r="AE282">
        <v>274.39999999999998</v>
      </c>
      <c r="AF282">
        <v>274.39999999999998</v>
      </c>
      <c r="AG282">
        <v>274.39999999999998</v>
      </c>
      <c r="AH282">
        <v>274.39999999999998</v>
      </c>
      <c r="AI282">
        <v>274.39999999999998</v>
      </c>
      <c r="AJ282">
        <v>274.39999999999998</v>
      </c>
      <c r="AK282">
        <v>274.39999999999998</v>
      </c>
      <c r="AL282">
        <v>274.39999999999998</v>
      </c>
      <c r="AM282">
        <v>274.39999999999998</v>
      </c>
      <c r="AN282">
        <v>274.39999999999998</v>
      </c>
      <c r="AO282">
        <v>274.39999999999998</v>
      </c>
      <c r="AP282">
        <v>274.39999999999998</v>
      </c>
      <c r="AQ282">
        <v>274.39999999999998</v>
      </c>
      <c r="AR282">
        <v>274.39999999999998</v>
      </c>
      <c r="AS282">
        <v>274.39999999999998</v>
      </c>
      <c r="AT282">
        <v>274.39999999999998</v>
      </c>
      <c r="AU282">
        <v>274.39999999999998</v>
      </c>
      <c r="AV282">
        <v>274.39999999999998</v>
      </c>
      <c r="AW282">
        <v>274.39999999999998</v>
      </c>
      <c r="AX282">
        <v>274.39999999999998</v>
      </c>
      <c r="AY282">
        <v>184.4</v>
      </c>
    </row>
    <row r="283" spans="1:51" x14ac:dyDescent="0.3">
      <c r="A283" t="s">
        <v>678</v>
      </c>
      <c r="B283" t="s">
        <v>65</v>
      </c>
      <c r="C283">
        <v>614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41.25</v>
      </c>
    </row>
    <row r="284" spans="1:51" x14ac:dyDescent="0.3">
      <c r="A284" t="s">
        <v>678</v>
      </c>
      <c r="B284" t="s">
        <v>25</v>
      </c>
      <c r="C284">
        <v>945</v>
      </c>
      <c r="D284">
        <v>490</v>
      </c>
      <c r="E284">
        <v>490</v>
      </c>
      <c r="F284">
        <v>490</v>
      </c>
      <c r="G284">
        <v>490</v>
      </c>
      <c r="H284">
        <v>490</v>
      </c>
      <c r="I284">
        <v>490</v>
      </c>
      <c r="J284">
        <v>490</v>
      </c>
      <c r="K284">
        <v>490</v>
      </c>
      <c r="L284">
        <v>490</v>
      </c>
      <c r="M284">
        <v>490</v>
      </c>
      <c r="N284">
        <v>490</v>
      </c>
      <c r="O284">
        <v>490</v>
      </c>
      <c r="P284">
        <v>490</v>
      </c>
      <c r="Q284">
        <v>490</v>
      </c>
      <c r="R284">
        <v>490</v>
      </c>
      <c r="S284">
        <v>490</v>
      </c>
      <c r="T284">
        <v>490</v>
      </c>
      <c r="U284">
        <v>490</v>
      </c>
      <c r="V284">
        <v>490</v>
      </c>
      <c r="W284">
        <v>490</v>
      </c>
      <c r="X284">
        <v>490</v>
      </c>
      <c r="Y284">
        <v>490</v>
      </c>
      <c r="Z284">
        <v>490</v>
      </c>
      <c r="AA284">
        <v>490</v>
      </c>
      <c r="AB284">
        <v>490</v>
      </c>
      <c r="AC284">
        <v>490</v>
      </c>
      <c r="AD284">
        <v>490</v>
      </c>
      <c r="AE284">
        <v>490</v>
      </c>
      <c r="AF284">
        <v>490</v>
      </c>
      <c r="AG284">
        <v>490</v>
      </c>
      <c r="AH284">
        <v>490</v>
      </c>
      <c r="AI284">
        <v>490</v>
      </c>
      <c r="AJ284">
        <v>490</v>
      </c>
      <c r="AK284">
        <v>490</v>
      </c>
      <c r="AL284">
        <v>490</v>
      </c>
      <c r="AM284">
        <v>490</v>
      </c>
      <c r="AN284">
        <v>490</v>
      </c>
      <c r="AO284">
        <v>490</v>
      </c>
      <c r="AP284">
        <v>490</v>
      </c>
      <c r="AQ284">
        <v>490</v>
      </c>
      <c r="AR284">
        <v>490</v>
      </c>
      <c r="AS284">
        <v>490</v>
      </c>
      <c r="AT284">
        <v>490</v>
      </c>
      <c r="AU284">
        <v>490</v>
      </c>
      <c r="AV284">
        <v>490</v>
      </c>
      <c r="AW284">
        <v>490</v>
      </c>
      <c r="AX284">
        <v>490</v>
      </c>
      <c r="AY284">
        <v>490</v>
      </c>
    </row>
    <row r="285" spans="1:51" x14ac:dyDescent="0.3">
      <c r="A285" t="s">
        <v>678</v>
      </c>
      <c r="B285" t="s">
        <v>38</v>
      </c>
      <c r="C285">
        <v>950</v>
      </c>
      <c r="D285">
        <v>882</v>
      </c>
      <c r="E285">
        <v>882</v>
      </c>
      <c r="F285">
        <v>882</v>
      </c>
      <c r="G285">
        <v>882</v>
      </c>
      <c r="H285">
        <v>882</v>
      </c>
      <c r="I285">
        <v>882</v>
      </c>
      <c r="J285">
        <v>882</v>
      </c>
      <c r="K285">
        <v>882</v>
      </c>
      <c r="L285">
        <v>882</v>
      </c>
      <c r="M285">
        <v>882</v>
      </c>
      <c r="N285">
        <v>882</v>
      </c>
      <c r="O285">
        <v>882</v>
      </c>
      <c r="P285">
        <v>882</v>
      </c>
      <c r="Q285">
        <v>882</v>
      </c>
      <c r="R285">
        <v>882</v>
      </c>
      <c r="S285">
        <v>882</v>
      </c>
      <c r="T285">
        <v>882</v>
      </c>
      <c r="U285">
        <v>882</v>
      </c>
      <c r="V285">
        <v>882</v>
      </c>
      <c r="W285">
        <v>882</v>
      </c>
      <c r="X285">
        <v>882</v>
      </c>
      <c r="Y285">
        <v>882</v>
      </c>
      <c r="Z285">
        <v>882</v>
      </c>
      <c r="AA285">
        <v>882</v>
      </c>
      <c r="AB285">
        <v>882</v>
      </c>
      <c r="AC285">
        <v>882</v>
      </c>
      <c r="AD285">
        <v>882</v>
      </c>
      <c r="AE285">
        <v>882</v>
      </c>
      <c r="AF285">
        <v>882</v>
      </c>
      <c r="AG285">
        <v>882</v>
      </c>
      <c r="AH285">
        <v>882</v>
      </c>
      <c r="AI285">
        <v>882</v>
      </c>
      <c r="AJ285">
        <v>882</v>
      </c>
      <c r="AK285">
        <v>882</v>
      </c>
      <c r="AL285">
        <v>882</v>
      </c>
      <c r="AM285">
        <v>882</v>
      </c>
      <c r="AN285">
        <v>882</v>
      </c>
      <c r="AO285">
        <v>882</v>
      </c>
      <c r="AP285">
        <v>882</v>
      </c>
      <c r="AQ285">
        <v>882</v>
      </c>
      <c r="AR285">
        <v>882</v>
      </c>
      <c r="AS285">
        <v>882</v>
      </c>
      <c r="AT285">
        <v>882</v>
      </c>
      <c r="AU285">
        <v>882</v>
      </c>
      <c r="AV285">
        <v>882</v>
      </c>
      <c r="AW285">
        <v>882</v>
      </c>
      <c r="AX285">
        <v>882</v>
      </c>
      <c r="AY285">
        <v>882</v>
      </c>
    </row>
    <row r="286" spans="1:51" x14ac:dyDescent="0.3">
      <c r="A286" t="s">
        <v>678</v>
      </c>
      <c r="B286" t="s">
        <v>39</v>
      </c>
      <c r="C286">
        <v>950</v>
      </c>
      <c r="D286">
        <v>931</v>
      </c>
      <c r="E286">
        <v>931</v>
      </c>
      <c r="F286">
        <v>931</v>
      </c>
      <c r="G286">
        <v>931</v>
      </c>
      <c r="H286">
        <v>931</v>
      </c>
      <c r="I286">
        <v>931</v>
      </c>
      <c r="J286">
        <v>931</v>
      </c>
      <c r="K286">
        <v>931</v>
      </c>
      <c r="L286">
        <v>931</v>
      </c>
      <c r="M286">
        <v>931</v>
      </c>
      <c r="N286">
        <v>931</v>
      </c>
      <c r="O286">
        <v>931</v>
      </c>
      <c r="P286">
        <v>931</v>
      </c>
      <c r="Q286">
        <v>931</v>
      </c>
      <c r="R286">
        <v>931</v>
      </c>
      <c r="S286">
        <v>931</v>
      </c>
      <c r="T286">
        <v>931</v>
      </c>
      <c r="U286">
        <v>931</v>
      </c>
      <c r="V286">
        <v>931</v>
      </c>
      <c r="W286">
        <v>931</v>
      </c>
      <c r="X286">
        <v>931</v>
      </c>
      <c r="Y286">
        <v>931</v>
      </c>
      <c r="Z286">
        <v>931</v>
      </c>
      <c r="AA286">
        <v>931</v>
      </c>
      <c r="AB286">
        <v>931</v>
      </c>
      <c r="AC286">
        <v>931</v>
      </c>
      <c r="AD286">
        <v>931</v>
      </c>
      <c r="AE286">
        <v>931</v>
      </c>
      <c r="AF286">
        <v>931</v>
      </c>
      <c r="AG286">
        <v>931</v>
      </c>
      <c r="AH286">
        <v>931</v>
      </c>
      <c r="AI286">
        <v>931</v>
      </c>
      <c r="AJ286">
        <v>931</v>
      </c>
      <c r="AK286">
        <v>931</v>
      </c>
      <c r="AL286">
        <v>931</v>
      </c>
      <c r="AM286">
        <v>931</v>
      </c>
      <c r="AN286">
        <v>931</v>
      </c>
      <c r="AO286">
        <v>931</v>
      </c>
      <c r="AP286">
        <v>931</v>
      </c>
      <c r="AQ286">
        <v>931</v>
      </c>
      <c r="AR286">
        <v>931</v>
      </c>
      <c r="AS286">
        <v>931</v>
      </c>
      <c r="AT286">
        <v>931</v>
      </c>
      <c r="AU286">
        <v>931</v>
      </c>
      <c r="AV286">
        <v>931</v>
      </c>
      <c r="AW286">
        <v>931</v>
      </c>
      <c r="AX286">
        <v>931</v>
      </c>
      <c r="AY286">
        <v>931</v>
      </c>
    </row>
    <row r="287" spans="1:51" x14ac:dyDescent="0.3">
      <c r="A287" t="s">
        <v>678</v>
      </c>
      <c r="B287" t="s">
        <v>32</v>
      </c>
      <c r="C287">
        <v>1000</v>
      </c>
      <c r="D287">
        <v>980</v>
      </c>
      <c r="E287">
        <v>980</v>
      </c>
      <c r="F287">
        <v>980</v>
      </c>
      <c r="G287">
        <v>980</v>
      </c>
      <c r="H287">
        <v>980</v>
      </c>
      <c r="I287">
        <v>980</v>
      </c>
      <c r="J287">
        <v>980</v>
      </c>
      <c r="K287">
        <v>980</v>
      </c>
      <c r="L287">
        <v>980</v>
      </c>
      <c r="M287">
        <v>980</v>
      </c>
      <c r="N287">
        <v>980</v>
      </c>
      <c r="O287">
        <v>980</v>
      </c>
      <c r="P287">
        <v>980</v>
      </c>
      <c r="Q287">
        <v>980</v>
      </c>
      <c r="R287">
        <v>980</v>
      </c>
      <c r="S287">
        <v>980</v>
      </c>
      <c r="T287">
        <v>980</v>
      </c>
      <c r="U287">
        <v>980</v>
      </c>
      <c r="V287">
        <v>980</v>
      </c>
      <c r="W287">
        <v>980</v>
      </c>
      <c r="X287">
        <v>980</v>
      </c>
      <c r="Y287">
        <v>980</v>
      </c>
      <c r="Z287">
        <v>980</v>
      </c>
      <c r="AA287">
        <v>980</v>
      </c>
      <c r="AB287">
        <v>980</v>
      </c>
      <c r="AC287">
        <v>980</v>
      </c>
      <c r="AD287">
        <v>980</v>
      </c>
      <c r="AE287">
        <v>980</v>
      </c>
      <c r="AF287">
        <v>980</v>
      </c>
      <c r="AG287">
        <v>980</v>
      </c>
      <c r="AH287">
        <v>980</v>
      </c>
      <c r="AI287">
        <v>980</v>
      </c>
      <c r="AJ287">
        <v>980</v>
      </c>
      <c r="AK287">
        <v>980</v>
      </c>
      <c r="AL287">
        <v>980</v>
      </c>
      <c r="AM287">
        <v>980</v>
      </c>
      <c r="AN287">
        <v>980</v>
      </c>
      <c r="AO287">
        <v>980</v>
      </c>
      <c r="AP287">
        <v>980</v>
      </c>
      <c r="AQ287">
        <v>980</v>
      </c>
      <c r="AR287">
        <v>980</v>
      </c>
      <c r="AS287">
        <v>980</v>
      </c>
      <c r="AT287">
        <v>980</v>
      </c>
      <c r="AU287">
        <v>980</v>
      </c>
      <c r="AV287">
        <v>980</v>
      </c>
      <c r="AW287">
        <v>980</v>
      </c>
      <c r="AX287">
        <v>980</v>
      </c>
      <c r="AY287">
        <v>980</v>
      </c>
    </row>
    <row r="288" spans="1:51" x14ac:dyDescent="0.3">
      <c r="A288" t="s">
        <v>678</v>
      </c>
      <c r="B288" t="s">
        <v>34</v>
      </c>
      <c r="C288">
        <v>1000</v>
      </c>
      <c r="D288">
        <v>980</v>
      </c>
      <c r="E288">
        <v>980</v>
      </c>
      <c r="F288">
        <v>980</v>
      </c>
      <c r="G288">
        <v>980</v>
      </c>
      <c r="H288">
        <v>980</v>
      </c>
      <c r="I288">
        <v>980</v>
      </c>
      <c r="J288">
        <v>980</v>
      </c>
      <c r="K288">
        <v>980</v>
      </c>
      <c r="L288">
        <v>980</v>
      </c>
      <c r="M288">
        <v>980</v>
      </c>
      <c r="N288">
        <v>980</v>
      </c>
      <c r="O288">
        <v>980</v>
      </c>
      <c r="P288">
        <v>980</v>
      </c>
      <c r="Q288">
        <v>980</v>
      </c>
      <c r="R288">
        <v>980</v>
      </c>
      <c r="S288">
        <v>980</v>
      </c>
      <c r="T288">
        <v>980</v>
      </c>
      <c r="U288">
        <v>980</v>
      </c>
      <c r="V288">
        <v>980</v>
      </c>
      <c r="W288">
        <v>980</v>
      </c>
      <c r="X288">
        <v>980</v>
      </c>
      <c r="Y288">
        <v>980</v>
      </c>
      <c r="Z288">
        <v>980</v>
      </c>
      <c r="AA288">
        <v>980</v>
      </c>
      <c r="AB288">
        <v>980</v>
      </c>
      <c r="AC288">
        <v>980</v>
      </c>
      <c r="AD288">
        <v>980</v>
      </c>
      <c r="AE288">
        <v>980</v>
      </c>
      <c r="AF288">
        <v>980</v>
      </c>
      <c r="AG288">
        <v>980</v>
      </c>
      <c r="AH288">
        <v>980</v>
      </c>
      <c r="AI288">
        <v>980</v>
      </c>
      <c r="AJ288">
        <v>980</v>
      </c>
      <c r="AK288">
        <v>980</v>
      </c>
      <c r="AL288">
        <v>980</v>
      </c>
      <c r="AM288">
        <v>980</v>
      </c>
      <c r="AN288">
        <v>980</v>
      </c>
      <c r="AO288">
        <v>980</v>
      </c>
      <c r="AP288">
        <v>980</v>
      </c>
      <c r="AQ288">
        <v>980</v>
      </c>
      <c r="AR288">
        <v>980</v>
      </c>
      <c r="AS288">
        <v>980</v>
      </c>
      <c r="AT288">
        <v>980</v>
      </c>
      <c r="AU288">
        <v>980</v>
      </c>
      <c r="AV288">
        <v>980</v>
      </c>
      <c r="AW288">
        <v>980</v>
      </c>
      <c r="AX288">
        <v>980</v>
      </c>
      <c r="AY288">
        <v>980</v>
      </c>
    </row>
    <row r="289" spans="1:51" x14ac:dyDescent="0.3">
      <c r="A289" t="s">
        <v>678</v>
      </c>
      <c r="B289" t="s">
        <v>52</v>
      </c>
      <c r="C289">
        <v>660.8</v>
      </c>
      <c r="D289">
        <v>647.58000000000004</v>
      </c>
      <c r="E289">
        <v>604.88</v>
      </c>
      <c r="F289">
        <v>604.88</v>
      </c>
      <c r="G289">
        <v>604.88</v>
      </c>
      <c r="H289">
        <v>604.88</v>
      </c>
      <c r="I289">
        <v>604.88</v>
      </c>
      <c r="J289">
        <v>604.88</v>
      </c>
      <c r="K289">
        <v>604.88</v>
      </c>
      <c r="L289">
        <v>604.88</v>
      </c>
      <c r="M289">
        <v>647.58000000000004</v>
      </c>
      <c r="N289">
        <v>647.58000000000004</v>
      </c>
      <c r="O289">
        <v>647.58000000000004</v>
      </c>
      <c r="P289">
        <v>604.88</v>
      </c>
      <c r="Q289">
        <v>604.88</v>
      </c>
      <c r="R289">
        <v>647.58000000000004</v>
      </c>
      <c r="S289">
        <v>647.58000000000004</v>
      </c>
      <c r="T289">
        <v>647.58000000000004</v>
      </c>
      <c r="U289">
        <v>647.58000000000004</v>
      </c>
      <c r="V289">
        <v>647.58000000000004</v>
      </c>
      <c r="W289">
        <v>647.58000000000004</v>
      </c>
      <c r="X289">
        <v>647.58000000000004</v>
      </c>
      <c r="Y289">
        <v>647.58000000000004</v>
      </c>
      <c r="Z289">
        <v>647.58000000000004</v>
      </c>
      <c r="AA289">
        <v>647.58000000000004</v>
      </c>
      <c r="AB289">
        <v>647.58000000000004</v>
      </c>
      <c r="AC289">
        <v>647.58000000000004</v>
      </c>
      <c r="AD289">
        <v>647.58000000000004</v>
      </c>
      <c r="AE289">
        <v>647.58000000000004</v>
      </c>
      <c r="AF289">
        <v>647.58000000000004</v>
      </c>
      <c r="AG289">
        <v>647.58000000000004</v>
      </c>
      <c r="AH289">
        <v>647.58000000000004</v>
      </c>
      <c r="AI289">
        <v>647.58000000000004</v>
      </c>
      <c r="AJ289">
        <v>647.58000000000004</v>
      </c>
      <c r="AK289">
        <v>647.58000000000004</v>
      </c>
      <c r="AL289">
        <v>647.58000000000004</v>
      </c>
      <c r="AM289">
        <v>647.58000000000004</v>
      </c>
      <c r="AN289">
        <v>647.58000000000004</v>
      </c>
      <c r="AO289">
        <v>647.58000000000004</v>
      </c>
      <c r="AP289">
        <v>647.58000000000004</v>
      </c>
      <c r="AQ289">
        <v>647.58000000000004</v>
      </c>
      <c r="AR289">
        <v>647.58000000000004</v>
      </c>
      <c r="AS289">
        <v>647.58000000000004</v>
      </c>
      <c r="AT289">
        <v>647.58000000000004</v>
      </c>
      <c r="AU289">
        <v>647.58000000000004</v>
      </c>
      <c r="AV289">
        <v>647.58000000000004</v>
      </c>
      <c r="AW289">
        <v>647.58000000000004</v>
      </c>
      <c r="AX289">
        <v>647.58000000000004</v>
      </c>
      <c r="AY289">
        <v>604.88</v>
      </c>
    </row>
    <row r="290" spans="1:51" x14ac:dyDescent="0.3">
      <c r="A290" t="s">
        <v>678</v>
      </c>
      <c r="B290" t="s">
        <v>53</v>
      </c>
      <c r="C290">
        <v>660.8</v>
      </c>
      <c r="D290">
        <v>647.58000000000004</v>
      </c>
      <c r="E290">
        <v>604.88</v>
      </c>
      <c r="F290">
        <v>604.88</v>
      </c>
      <c r="G290">
        <v>604.88</v>
      </c>
      <c r="H290">
        <v>604.88</v>
      </c>
      <c r="I290">
        <v>604.88</v>
      </c>
      <c r="J290">
        <v>604.88</v>
      </c>
      <c r="K290">
        <v>604.88</v>
      </c>
      <c r="L290">
        <v>604.88</v>
      </c>
      <c r="M290">
        <v>647.58000000000004</v>
      </c>
      <c r="N290">
        <v>647.58000000000004</v>
      </c>
      <c r="O290">
        <v>647.58000000000004</v>
      </c>
      <c r="P290">
        <v>604.88</v>
      </c>
      <c r="Q290">
        <v>604.88</v>
      </c>
      <c r="R290">
        <v>647.58000000000004</v>
      </c>
      <c r="S290">
        <v>647.58000000000004</v>
      </c>
      <c r="T290">
        <v>647.58000000000004</v>
      </c>
      <c r="U290">
        <v>647.58000000000004</v>
      </c>
      <c r="V290">
        <v>647.58000000000004</v>
      </c>
      <c r="W290">
        <v>647.58000000000004</v>
      </c>
      <c r="X290">
        <v>647.58000000000004</v>
      </c>
      <c r="Y290">
        <v>647.58000000000004</v>
      </c>
      <c r="Z290">
        <v>647.58000000000004</v>
      </c>
      <c r="AA290">
        <v>647.58000000000004</v>
      </c>
      <c r="AB290">
        <v>647.58000000000004</v>
      </c>
      <c r="AC290">
        <v>647.58000000000004</v>
      </c>
      <c r="AD290">
        <v>647.58000000000004</v>
      </c>
      <c r="AE290">
        <v>647.58000000000004</v>
      </c>
      <c r="AF290">
        <v>647.58000000000004</v>
      </c>
      <c r="AG290">
        <v>647.58000000000004</v>
      </c>
      <c r="AH290">
        <v>647.58000000000004</v>
      </c>
      <c r="AI290">
        <v>647.58000000000004</v>
      </c>
      <c r="AJ290">
        <v>647.58000000000004</v>
      </c>
      <c r="AK290">
        <v>647.58000000000004</v>
      </c>
      <c r="AL290">
        <v>647.58000000000004</v>
      </c>
      <c r="AM290">
        <v>647.58000000000004</v>
      </c>
      <c r="AN290">
        <v>647.58000000000004</v>
      </c>
      <c r="AO290">
        <v>647.58000000000004</v>
      </c>
      <c r="AP290">
        <v>647.58000000000004</v>
      </c>
      <c r="AQ290">
        <v>647.58000000000004</v>
      </c>
      <c r="AR290">
        <v>647.58000000000004</v>
      </c>
      <c r="AS290">
        <v>647.58000000000004</v>
      </c>
      <c r="AT290">
        <v>647.58000000000004</v>
      </c>
      <c r="AU290">
        <v>647.58000000000004</v>
      </c>
      <c r="AV290">
        <v>647.58000000000004</v>
      </c>
      <c r="AW290">
        <v>647.58000000000004</v>
      </c>
      <c r="AX290">
        <v>647.58000000000004</v>
      </c>
      <c r="AY290">
        <v>604.88</v>
      </c>
    </row>
    <row r="291" spans="1:51" x14ac:dyDescent="0.3">
      <c r="A291" t="s">
        <v>678</v>
      </c>
      <c r="B291" t="s">
        <v>28</v>
      </c>
      <c r="C291">
        <v>661.1</v>
      </c>
      <c r="D291">
        <v>647.88</v>
      </c>
      <c r="E291">
        <v>647.88</v>
      </c>
      <c r="F291">
        <v>647.88</v>
      </c>
      <c r="G291">
        <v>606.54999999999995</v>
      </c>
      <c r="H291">
        <v>606.54999999999995</v>
      </c>
      <c r="I291">
        <v>606.54999999999995</v>
      </c>
      <c r="J291">
        <v>606.54999999999995</v>
      </c>
      <c r="K291">
        <v>606.54999999999995</v>
      </c>
      <c r="L291">
        <v>638.74</v>
      </c>
      <c r="M291">
        <v>647.88</v>
      </c>
      <c r="N291">
        <v>647.88</v>
      </c>
      <c r="O291">
        <v>647.88</v>
      </c>
      <c r="P291">
        <v>647.88</v>
      </c>
      <c r="Q291">
        <v>606.54999999999995</v>
      </c>
      <c r="R291">
        <v>647.88</v>
      </c>
      <c r="S291">
        <v>647.88</v>
      </c>
      <c r="T291">
        <v>647.88</v>
      </c>
      <c r="U291">
        <v>647.88</v>
      </c>
      <c r="V291">
        <v>647.88</v>
      </c>
      <c r="W291">
        <v>647.88</v>
      </c>
      <c r="X291">
        <v>647.88</v>
      </c>
      <c r="Y291">
        <v>647.88</v>
      </c>
      <c r="Z291">
        <v>647.88</v>
      </c>
      <c r="AA291">
        <v>647.88</v>
      </c>
      <c r="AB291">
        <v>647.88</v>
      </c>
      <c r="AC291">
        <v>647.88</v>
      </c>
      <c r="AD291">
        <v>647.88</v>
      </c>
      <c r="AE291">
        <v>647.88</v>
      </c>
      <c r="AF291">
        <v>647.88</v>
      </c>
      <c r="AG291">
        <v>647.88</v>
      </c>
      <c r="AH291">
        <v>647.88</v>
      </c>
      <c r="AI291">
        <v>647.88</v>
      </c>
      <c r="AJ291">
        <v>647.88</v>
      </c>
      <c r="AK291">
        <v>647.88</v>
      </c>
      <c r="AL291">
        <v>647.88</v>
      </c>
      <c r="AM291">
        <v>647.88</v>
      </c>
      <c r="AN291">
        <v>647.88</v>
      </c>
      <c r="AO291">
        <v>647.88</v>
      </c>
      <c r="AP291">
        <v>647.88</v>
      </c>
      <c r="AQ291">
        <v>647.88</v>
      </c>
      <c r="AR291">
        <v>647.88</v>
      </c>
      <c r="AS291">
        <v>647.88</v>
      </c>
      <c r="AT291">
        <v>647.88</v>
      </c>
      <c r="AU291">
        <v>647.88</v>
      </c>
      <c r="AV291">
        <v>647.88</v>
      </c>
      <c r="AW291">
        <v>647.88</v>
      </c>
      <c r="AX291">
        <v>647.88</v>
      </c>
      <c r="AY291">
        <v>606.54999999999995</v>
      </c>
    </row>
    <row r="292" spans="1:51" x14ac:dyDescent="0.3">
      <c r="A292" t="s">
        <v>678</v>
      </c>
      <c r="B292" t="s">
        <v>30</v>
      </c>
      <c r="C292">
        <v>661.1</v>
      </c>
      <c r="D292">
        <v>647.88</v>
      </c>
      <c r="E292">
        <v>647.88</v>
      </c>
      <c r="F292">
        <v>647.88</v>
      </c>
      <c r="G292">
        <v>606.54999999999995</v>
      </c>
      <c r="H292">
        <v>606.54999999999995</v>
      </c>
      <c r="I292">
        <v>606.54999999999995</v>
      </c>
      <c r="J292">
        <v>606.54999999999995</v>
      </c>
      <c r="K292">
        <v>606.54999999999995</v>
      </c>
      <c r="L292">
        <v>647.88</v>
      </c>
      <c r="M292">
        <v>647.88</v>
      </c>
      <c r="N292">
        <v>647.88</v>
      </c>
      <c r="O292">
        <v>647.88</v>
      </c>
      <c r="P292">
        <v>647.88</v>
      </c>
      <c r="Q292">
        <v>606.54999999999995</v>
      </c>
      <c r="R292">
        <v>647.88</v>
      </c>
      <c r="S292">
        <v>647.88</v>
      </c>
      <c r="T292">
        <v>647.88</v>
      </c>
      <c r="U292">
        <v>647.88</v>
      </c>
      <c r="V292">
        <v>647.88</v>
      </c>
      <c r="W292">
        <v>647.88</v>
      </c>
      <c r="X292">
        <v>647.88</v>
      </c>
      <c r="Y292">
        <v>647.88</v>
      </c>
      <c r="Z292">
        <v>647.88</v>
      </c>
      <c r="AA292">
        <v>647.88</v>
      </c>
      <c r="AB292">
        <v>647.88</v>
      </c>
      <c r="AC292">
        <v>647.88</v>
      </c>
      <c r="AD292">
        <v>647.88</v>
      </c>
      <c r="AE292">
        <v>647.88</v>
      </c>
      <c r="AF292">
        <v>647.88</v>
      </c>
      <c r="AG292">
        <v>647.88</v>
      </c>
      <c r="AH292">
        <v>647.88</v>
      </c>
      <c r="AI292">
        <v>647.88</v>
      </c>
      <c r="AJ292">
        <v>647.88</v>
      </c>
      <c r="AK292">
        <v>647.88</v>
      </c>
      <c r="AL292">
        <v>647.88</v>
      </c>
      <c r="AM292">
        <v>647.88</v>
      </c>
      <c r="AN292">
        <v>647.88</v>
      </c>
      <c r="AO292">
        <v>647.88</v>
      </c>
      <c r="AP292">
        <v>647.88</v>
      </c>
      <c r="AQ292">
        <v>647.88</v>
      </c>
      <c r="AR292">
        <v>647.88</v>
      </c>
      <c r="AS292">
        <v>647.88</v>
      </c>
      <c r="AT292">
        <v>647.88</v>
      </c>
      <c r="AU292">
        <v>647.88</v>
      </c>
      <c r="AV292">
        <v>647.88</v>
      </c>
      <c r="AW292">
        <v>647.88</v>
      </c>
      <c r="AX292">
        <v>647.88</v>
      </c>
      <c r="AY292">
        <v>631.79999999999995</v>
      </c>
    </row>
    <row r="293" spans="1:51" x14ac:dyDescent="0.3">
      <c r="A293" t="s">
        <v>678</v>
      </c>
      <c r="B293" t="s">
        <v>356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3">
      <c r="A294" t="s">
        <v>678</v>
      </c>
      <c r="B294" t="s">
        <v>357</v>
      </c>
      <c r="D294">
        <v>154.94999999999999</v>
      </c>
      <c r="E294">
        <v>154.94999999999999</v>
      </c>
      <c r="F294">
        <v>154.94999999999999</v>
      </c>
      <c r="G294">
        <v>154.94999999999999</v>
      </c>
      <c r="H294">
        <v>154.94999999999999</v>
      </c>
      <c r="I294">
        <v>154.94999999999999</v>
      </c>
      <c r="J294">
        <v>154.94999999999999</v>
      </c>
      <c r="K294">
        <v>154.94999999999999</v>
      </c>
      <c r="L294">
        <v>154.94999999999999</v>
      </c>
      <c r="M294">
        <v>154.94999999999999</v>
      </c>
      <c r="N294">
        <v>154.94999999999999</v>
      </c>
      <c r="O294">
        <v>154.94999999999999</v>
      </c>
      <c r="P294">
        <v>154.94999999999999</v>
      </c>
      <c r="Q294">
        <v>174.12</v>
      </c>
      <c r="R294">
        <v>240.18</v>
      </c>
      <c r="S294">
        <v>283.89</v>
      </c>
      <c r="T294">
        <v>284.22000000000003</v>
      </c>
      <c r="U294">
        <v>289.36</v>
      </c>
      <c r="V294">
        <v>289.23</v>
      </c>
      <c r="W294">
        <v>308.3</v>
      </c>
      <c r="X294">
        <v>347.82</v>
      </c>
      <c r="Y294">
        <v>340.91</v>
      </c>
      <c r="Z294">
        <v>329.26</v>
      </c>
      <c r="AA294">
        <v>325.39999999999998</v>
      </c>
      <c r="AB294">
        <v>325.39999999999998</v>
      </c>
      <c r="AC294">
        <v>325.39999999999998</v>
      </c>
      <c r="AD294">
        <v>373.02</v>
      </c>
      <c r="AE294">
        <v>389.27</v>
      </c>
      <c r="AF294">
        <v>410.32</v>
      </c>
      <c r="AG294">
        <v>403.28</v>
      </c>
      <c r="AH294">
        <v>409.31</v>
      </c>
      <c r="AI294">
        <v>385.99</v>
      </c>
      <c r="AJ294">
        <v>376.18</v>
      </c>
      <c r="AK294">
        <v>353.99</v>
      </c>
      <c r="AL294">
        <v>434.2</v>
      </c>
      <c r="AM294">
        <v>441.68</v>
      </c>
      <c r="AN294">
        <v>437.79</v>
      </c>
      <c r="AO294">
        <v>415.13</v>
      </c>
      <c r="AP294">
        <v>422.84</v>
      </c>
      <c r="AQ294">
        <v>392.87</v>
      </c>
      <c r="AR294">
        <v>320.66000000000003</v>
      </c>
      <c r="AS294">
        <v>288.57</v>
      </c>
      <c r="AT294">
        <v>245.11</v>
      </c>
      <c r="AU294">
        <v>154.94999999999999</v>
      </c>
      <c r="AV294">
        <v>154.94999999999999</v>
      </c>
      <c r="AW294">
        <v>154.94999999999999</v>
      </c>
      <c r="AX294">
        <v>154.94999999999999</v>
      </c>
      <c r="AY294">
        <v>154.94999999999999</v>
      </c>
    </row>
    <row r="295" spans="1:51" x14ac:dyDescent="0.3">
      <c r="A295" t="s">
        <v>678</v>
      </c>
      <c r="B295" t="s">
        <v>358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">
      <c r="A296" t="s">
        <v>678</v>
      </c>
      <c r="B296" t="s">
        <v>360</v>
      </c>
      <c r="D296">
        <v>33</v>
      </c>
      <c r="E296">
        <v>33</v>
      </c>
      <c r="F296">
        <v>33</v>
      </c>
      <c r="G296">
        <v>32</v>
      </c>
      <c r="H296">
        <v>33</v>
      </c>
      <c r="I296">
        <v>31</v>
      </c>
      <c r="J296">
        <v>31</v>
      </c>
      <c r="K296">
        <v>33</v>
      </c>
      <c r="L296">
        <v>33</v>
      </c>
      <c r="M296">
        <v>33</v>
      </c>
      <c r="N296">
        <v>33</v>
      </c>
      <c r="O296">
        <v>33</v>
      </c>
      <c r="P296">
        <v>32</v>
      </c>
      <c r="Q296">
        <v>32</v>
      </c>
      <c r="R296">
        <v>33</v>
      </c>
      <c r="S296">
        <v>33</v>
      </c>
      <c r="T296">
        <v>33</v>
      </c>
      <c r="U296">
        <v>33</v>
      </c>
      <c r="V296">
        <v>33</v>
      </c>
      <c r="W296">
        <v>33</v>
      </c>
      <c r="X296">
        <v>33</v>
      </c>
      <c r="Y296">
        <v>33</v>
      </c>
      <c r="Z296">
        <v>32</v>
      </c>
      <c r="AA296">
        <v>33</v>
      </c>
      <c r="AB296">
        <v>33</v>
      </c>
      <c r="AC296">
        <v>33</v>
      </c>
      <c r="AD296">
        <v>33</v>
      </c>
      <c r="AE296">
        <v>33</v>
      </c>
      <c r="AF296">
        <v>33</v>
      </c>
      <c r="AG296">
        <v>33</v>
      </c>
      <c r="AH296">
        <v>33</v>
      </c>
      <c r="AI296">
        <v>33</v>
      </c>
      <c r="AJ296">
        <v>33</v>
      </c>
      <c r="AK296">
        <v>37</v>
      </c>
      <c r="AL296">
        <v>37</v>
      </c>
      <c r="AM296">
        <v>38</v>
      </c>
      <c r="AN296">
        <v>38</v>
      </c>
      <c r="AO296">
        <v>38</v>
      </c>
      <c r="AP296">
        <v>37</v>
      </c>
      <c r="AQ296">
        <v>38</v>
      </c>
      <c r="AR296">
        <v>39</v>
      </c>
      <c r="AS296">
        <v>38</v>
      </c>
      <c r="AT296">
        <v>39</v>
      </c>
      <c r="AU296">
        <v>39</v>
      </c>
      <c r="AV296">
        <v>39</v>
      </c>
      <c r="AW296">
        <v>38</v>
      </c>
      <c r="AX296">
        <v>38</v>
      </c>
      <c r="AY296">
        <v>39</v>
      </c>
    </row>
    <row r="297" spans="1:51" x14ac:dyDescent="0.3">
      <c r="A297" t="s">
        <v>678</v>
      </c>
      <c r="B297" t="s">
        <v>361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30</v>
      </c>
      <c r="AL297">
        <v>30</v>
      </c>
      <c r="AM297">
        <v>30</v>
      </c>
      <c r="AN297">
        <v>29</v>
      </c>
      <c r="AO297">
        <v>30</v>
      </c>
      <c r="AP297">
        <v>29</v>
      </c>
      <c r="AQ297">
        <v>29</v>
      </c>
      <c r="AR297">
        <v>30</v>
      </c>
      <c r="AS297">
        <v>29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 x14ac:dyDescent="0.3">
      <c r="A298" t="s">
        <v>678</v>
      </c>
      <c r="B298" t="s">
        <v>362</v>
      </c>
      <c r="C298">
        <v>80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 x14ac:dyDescent="0.3">
      <c r="A299" t="s">
        <v>678</v>
      </c>
      <c r="B299" t="s">
        <v>363</v>
      </c>
      <c r="C299">
        <v>80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3">
      <c r="A300" t="s">
        <v>678</v>
      </c>
      <c r="B300" t="s">
        <v>364</v>
      </c>
      <c r="C300">
        <v>166.5</v>
      </c>
      <c r="D300">
        <v>93</v>
      </c>
      <c r="E300">
        <v>93</v>
      </c>
      <c r="F300">
        <v>93</v>
      </c>
      <c r="G300">
        <v>93</v>
      </c>
      <c r="H300">
        <v>93</v>
      </c>
      <c r="I300">
        <v>93</v>
      </c>
      <c r="J300">
        <v>93</v>
      </c>
      <c r="K300">
        <v>93</v>
      </c>
      <c r="L300">
        <v>93</v>
      </c>
      <c r="M300">
        <v>93</v>
      </c>
      <c r="N300">
        <v>93</v>
      </c>
      <c r="O300">
        <v>93</v>
      </c>
      <c r="P300">
        <v>93</v>
      </c>
      <c r="Q300">
        <v>93</v>
      </c>
      <c r="R300">
        <v>93</v>
      </c>
      <c r="S300">
        <v>93</v>
      </c>
      <c r="T300">
        <v>93</v>
      </c>
      <c r="U300">
        <v>93</v>
      </c>
      <c r="V300">
        <v>93</v>
      </c>
      <c r="W300">
        <v>93</v>
      </c>
      <c r="X300">
        <v>93</v>
      </c>
      <c r="Y300">
        <v>93</v>
      </c>
      <c r="Z300">
        <v>93</v>
      </c>
      <c r="AA300">
        <v>93</v>
      </c>
      <c r="AB300">
        <v>93</v>
      </c>
      <c r="AC300">
        <v>93</v>
      </c>
      <c r="AD300">
        <v>93</v>
      </c>
      <c r="AE300">
        <v>93</v>
      </c>
      <c r="AF300">
        <v>93</v>
      </c>
      <c r="AG300">
        <v>93</v>
      </c>
      <c r="AH300">
        <v>93</v>
      </c>
      <c r="AI300">
        <v>93</v>
      </c>
      <c r="AJ300">
        <v>93</v>
      </c>
      <c r="AK300">
        <v>93</v>
      </c>
      <c r="AL300">
        <v>93</v>
      </c>
      <c r="AM300">
        <v>93</v>
      </c>
      <c r="AN300">
        <v>93</v>
      </c>
      <c r="AO300">
        <v>93</v>
      </c>
      <c r="AP300">
        <v>93</v>
      </c>
      <c r="AQ300">
        <v>93</v>
      </c>
      <c r="AR300">
        <v>93</v>
      </c>
      <c r="AS300">
        <v>93</v>
      </c>
      <c r="AT300">
        <v>93</v>
      </c>
      <c r="AU300">
        <v>93</v>
      </c>
      <c r="AV300">
        <v>93</v>
      </c>
      <c r="AW300">
        <v>93</v>
      </c>
      <c r="AX300">
        <v>93</v>
      </c>
      <c r="AY300">
        <v>93</v>
      </c>
    </row>
    <row r="301" spans="1:51" x14ac:dyDescent="0.3">
      <c r="A301" t="s">
        <v>678</v>
      </c>
      <c r="B301" t="s">
        <v>365</v>
      </c>
      <c r="C301">
        <v>166.5</v>
      </c>
      <c r="D301">
        <v>93</v>
      </c>
      <c r="E301">
        <v>93</v>
      </c>
      <c r="F301">
        <v>93</v>
      </c>
      <c r="G301">
        <v>93</v>
      </c>
      <c r="H301">
        <v>93</v>
      </c>
      <c r="I301">
        <v>93</v>
      </c>
      <c r="J301">
        <v>93</v>
      </c>
      <c r="K301">
        <v>93</v>
      </c>
      <c r="L301">
        <v>93</v>
      </c>
      <c r="M301">
        <v>93</v>
      </c>
      <c r="N301">
        <v>93</v>
      </c>
      <c r="O301">
        <v>93</v>
      </c>
      <c r="P301">
        <v>93</v>
      </c>
      <c r="Q301">
        <v>93</v>
      </c>
      <c r="R301">
        <v>93</v>
      </c>
      <c r="S301">
        <v>93</v>
      </c>
      <c r="T301">
        <v>93</v>
      </c>
      <c r="U301">
        <v>93</v>
      </c>
      <c r="V301">
        <v>93</v>
      </c>
      <c r="W301">
        <v>93</v>
      </c>
      <c r="X301">
        <v>93</v>
      </c>
      <c r="Y301">
        <v>93</v>
      </c>
      <c r="Z301">
        <v>93</v>
      </c>
      <c r="AA301">
        <v>93</v>
      </c>
      <c r="AB301">
        <v>93</v>
      </c>
      <c r="AC301">
        <v>93</v>
      </c>
      <c r="AD301">
        <v>93</v>
      </c>
      <c r="AE301">
        <v>93</v>
      </c>
      <c r="AF301">
        <v>93</v>
      </c>
      <c r="AG301">
        <v>93</v>
      </c>
      <c r="AH301">
        <v>93</v>
      </c>
      <c r="AI301">
        <v>93</v>
      </c>
      <c r="AJ301">
        <v>93</v>
      </c>
      <c r="AK301">
        <v>93</v>
      </c>
      <c r="AL301">
        <v>93</v>
      </c>
      <c r="AM301">
        <v>93</v>
      </c>
      <c r="AN301">
        <v>93</v>
      </c>
      <c r="AO301">
        <v>93</v>
      </c>
      <c r="AP301">
        <v>93</v>
      </c>
      <c r="AQ301">
        <v>93</v>
      </c>
      <c r="AR301">
        <v>93</v>
      </c>
      <c r="AS301">
        <v>93</v>
      </c>
      <c r="AT301">
        <v>93</v>
      </c>
      <c r="AU301">
        <v>93</v>
      </c>
      <c r="AV301">
        <v>93</v>
      </c>
      <c r="AW301">
        <v>93</v>
      </c>
      <c r="AX301">
        <v>93</v>
      </c>
      <c r="AY301">
        <v>93</v>
      </c>
    </row>
    <row r="302" spans="1:51" x14ac:dyDescent="0.3">
      <c r="A302" t="s">
        <v>678</v>
      </c>
      <c r="B302" t="s">
        <v>54</v>
      </c>
      <c r="C302">
        <v>370</v>
      </c>
      <c r="D302">
        <v>275</v>
      </c>
      <c r="E302">
        <v>275</v>
      </c>
      <c r="F302">
        <v>275</v>
      </c>
      <c r="G302">
        <v>275</v>
      </c>
      <c r="H302">
        <v>275</v>
      </c>
      <c r="I302">
        <v>275</v>
      </c>
      <c r="J302">
        <v>275</v>
      </c>
      <c r="K302">
        <v>275</v>
      </c>
      <c r="L302">
        <v>275</v>
      </c>
      <c r="M302">
        <v>275</v>
      </c>
      <c r="N302">
        <v>275</v>
      </c>
      <c r="O302">
        <v>275</v>
      </c>
      <c r="P302">
        <v>275</v>
      </c>
      <c r="Q302">
        <v>275</v>
      </c>
      <c r="R302">
        <v>275</v>
      </c>
      <c r="S302">
        <v>275</v>
      </c>
      <c r="T302">
        <v>275</v>
      </c>
      <c r="U302">
        <v>275</v>
      </c>
      <c r="V302">
        <v>275</v>
      </c>
      <c r="W302">
        <v>275</v>
      </c>
      <c r="X302">
        <v>275</v>
      </c>
      <c r="Y302">
        <v>275</v>
      </c>
      <c r="Z302">
        <v>275</v>
      </c>
      <c r="AA302">
        <v>275</v>
      </c>
      <c r="AB302">
        <v>275</v>
      </c>
      <c r="AC302">
        <v>340</v>
      </c>
      <c r="AD302">
        <v>340</v>
      </c>
      <c r="AE302">
        <v>340</v>
      </c>
      <c r="AF302">
        <v>340</v>
      </c>
      <c r="AG302">
        <v>340</v>
      </c>
      <c r="AH302">
        <v>340</v>
      </c>
      <c r="AI302">
        <v>340</v>
      </c>
      <c r="AJ302">
        <v>340</v>
      </c>
      <c r="AK302">
        <v>340</v>
      </c>
      <c r="AL302">
        <v>340</v>
      </c>
      <c r="AM302">
        <v>340</v>
      </c>
      <c r="AN302">
        <v>340</v>
      </c>
      <c r="AO302">
        <v>340</v>
      </c>
      <c r="AP302">
        <v>340</v>
      </c>
      <c r="AQ302">
        <v>275</v>
      </c>
      <c r="AR302">
        <v>275</v>
      </c>
      <c r="AS302">
        <v>275</v>
      </c>
      <c r="AT302">
        <v>275</v>
      </c>
      <c r="AU302">
        <v>275</v>
      </c>
      <c r="AV302">
        <v>275</v>
      </c>
      <c r="AW302">
        <v>275</v>
      </c>
      <c r="AX302">
        <v>275</v>
      </c>
      <c r="AY302">
        <v>275</v>
      </c>
    </row>
    <row r="303" spans="1:51" x14ac:dyDescent="0.3">
      <c r="A303" t="s">
        <v>678</v>
      </c>
      <c r="B303" t="s">
        <v>57</v>
      </c>
      <c r="C303">
        <v>370</v>
      </c>
      <c r="D303">
        <v>275</v>
      </c>
      <c r="E303">
        <v>275</v>
      </c>
      <c r="F303">
        <v>275</v>
      </c>
      <c r="G303">
        <v>275</v>
      </c>
      <c r="H303">
        <v>275</v>
      </c>
      <c r="I303">
        <v>275</v>
      </c>
      <c r="J303">
        <v>275</v>
      </c>
      <c r="K303">
        <v>275</v>
      </c>
      <c r="L303">
        <v>275</v>
      </c>
      <c r="M303">
        <v>275</v>
      </c>
      <c r="N303">
        <v>275</v>
      </c>
      <c r="O303">
        <v>275</v>
      </c>
      <c r="P303">
        <v>275</v>
      </c>
      <c r="Q303">
        <v>275</v>
      </c>
      <c r="R303">
        <v>275</v>
      </c>
      <c r="S303">
        <v>275</v>
      </c>
      <c r="T303">
        <v>275</v>
      </c>
      <c r="U303">
        <v>275</v>
      </c>
      <c r="V303">
        <v>275</v>
      </c>
      <c r="W303">
        <v>275</v>
      </c>
      <c r="X303">
        <v>275</v>
      </c>
      <c r="Y303">
        <v>275</v>
      </c>
      <c r="Z303">
        <v>275</v>
      </c>
      <c r="AA303">
        <v>275</v>
      </c>
      <c r="AB303">
        <v>275</v>
      </c>
      <c r="AC303">
        <v>340</v>
      </c>
      <c r="AD303">
        <v>340</v>
      </c>
      <c r="AE303">
        <v>340</v>
      </c>
      <c r="AF303">
        <v>340</v>
      </c>
      <c r="AG303">
        <v>340</v>
      </c>
      <c r="AH303">
        <v>340</v>
      </c>
      <c r="AI303">
        <v>340</v>
      </c>
      <c r="AJ303">
        <v>340</v>
      </c>
      <c r="AK303">
        <v>340</v>
      </c>
      <c r="AL303">
        <v>340</v>
      </c>
      <c r="AM303">
        <v>340</v>
      </c>
      <c r="AN303">
        <v>340</v>
      </c>
      <c r="AO303">
        <v>340</v>
      </c>
      <c r="AP303">
        <v>340</v>
      </c>
      <c r="AQ303">
        <v>275</v>
      </c>
      <c r="AR303">
        <v>275</v>
      </c>
      <c r="AS303">
        <v>275</v>
      </c>
      <c r="AT303">
        <v>275</v>
      </c>
      <c r="AU303">
        <v>275</v>
      </c>
      <c r="AV303">
        <v>275</v>
      </c>
      <c r="AW303">
        <v>275</v>
      </c>
      <c r="AX303">
        <v>275</v>
      </c>
      <c r="AY303">
        <v>275</v>
      </c>
    </row>
    <row r="304" spans="1:51" x14ac:dyDescent="0.3">
      <c r="A304" t="s">
        <v>678</v>
      </c>
      <c r="B304" t="s">
        <v>366</v>
      </c>
      <c r="C304">
        <v>15.5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 x14ac:dyDescent="0.3">
      <c r="A305" t="s">
        <v>678</v>
      </c>
      <c r="B305" t="s">
        <v>367</v>
      </c>
      <c r="C305">
        <v>15.5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3">
      <c r="A306" t="s">
        <v>678</v>
      </c>
      <c r="B306" t="s">
        <v>368</v>
      </c>
      <c r="D306">
        <v>242.25</v>
      </c>
      <c r="E306">
        <v>242.25</v>
      </c>
      <c r="F306">
        <v>242.25</v>
      </c>
      <c r="G306">
        <v>242.25</v>
      </c>
      <c r="H306">
        <v>242.25</v>
      </c>
      <c r="I306">
        <v>242.25</v>
      </c>
      <c r="J306">
        <v>242.25</v>
      </c>
      <c r="K306">
        <v>242.25</v>
      </c>
      <c r="L306">
        <v>242.25</v>
      </c>
      <c r="M306">
        <v>242.25</v>
      </c>
      <c r="N306">
        <v>242.25</v>
      </c>
      <c r="O306">
        <v>242.25</v>
      </c>
      <c r="P306">
        <v>242.25</v>
      </c>
      <c r="Q306">
        <v>254.99</v>
      </c>
      <c r="R306">
        <v>280.47000000000003</v>
      </c>
      <c r="S306">
        <v>326.17</v>
      </c>
      <c r="T306">
        <v>326.17</v>
      </c>
      <c r="U306">
        <v>326.17</v>
      </c>
      <c r="V306">
        <v>326.17</v>
      </c>
      <c r="W306">
        <v>326.17</v>
      </c>
      <c r="X306">
        <v>326.17</v>
      </c>
      <c r="Y306">
        <v>326.17</v>
      </c>
      <c r="Z306">
        <v>326.17</v>
      </c>
      <c r="AA306">
        <v>326.17</v>
      </c>
      <c r="AB306">
        <v>326.17</v>
      </c>
      <c r="AC306">
        <v>326.17</v>
      </c>
      <c r="AD306">
        <v>326.17</v>
      </c>
      <c r="AE306">
        <v>326.17</v>
      </c>
      <c r="AF306">
        <v>326.17</v>
      </c>
      <c r="AG306">
        <v>326.17</v>
      </c>
      <c r="AH306">
        <v>326.17</v>
      </c>
      <c r="AI306">
        <v>326.17</v>
      </c>
      <c r="AJ306">
        <v>326.17</v>
      </c>
      <c r="AK306">
        <v>326.17</v>
      </c>
      <c r="AL306">
        <v>326.17</v>
      </c>
      <c r="AM306">
        <v>326.17</v>
      </c>
      <c r="AN306">
        <v>326.17</v>
      </c>
      <c r="AO306">
        <v>326.17</v>
      </c>
      <c r="AP306">
        <v>326.17</v>
      </c>
      <c r="AQ306">
        <v>326.17</v>
      </c>
      <c r="AR306">
        <v>326.17</v>
      </c>
      <c r="AS306">
        <v>326.17</v>
      </c>
      <c r="AT306">
        <v>326.17</v>
      </c>
      <c r="AU306">
        <v>274.98</v>
      </c>
      <c r="AV306">
        <v>242.25</v>
      </c>
      <c r="AW306">
        <v>242.25</v>
      </c>
      <c r="AX306">
        <v>242.25</v>
      </c>
      <c r="AY306">
        <v>242.25</v>
      </c>
    </row>
    <row r="307" spans="1:51" x14ac:dyDescent="0.3">
      <c r="A307" t="s">
        <v>678</v>
      </c>
      <c r="B307" t="s">
        <v>369</v>
      </c>
      <c r="D307">
        <v>155</v>
      </c>
      <c r="E307">
        <v>155</v>
      </c>
      <c r="F307">
        <v>155</v>
      </c>
      <c r="G307">
        <v>155</v>
      </c>
      <c r="H307">
        <v>155</v>
      </c>
      <c r="I307">
        <v>155</v>
      </c>
      <c r="J307">
        <v>155</v>
      </c>
      <c r="K307">
        <v>155</v>
      </c>
      <c r="L307">
        <v>155</v>
      </c>
      <c r="M307">
        <v>155</v>
      </c>
      <c r="N307">
        <v>155</v>
      </c>
      <c r="O307">
        <v>155</v>
      </c>
      <c r="P307">
        <v>155</v>
      </c>
      <c r="Q307">
        <v>155</v>
      </c>
      <c r="R307">
        <v>155</v>
      </c>
      <c r="S307">
        <v>155</v>
      </c>
      <c r="T307">
        <v>155</v>
      </c>
      <c r="U307">
        <v>155</v>
      </c>
      <c r="V307">
        <v>155</v>
      </c>
      <c r="W307">
        <v>155</v>
      </c>
      <c r="X307">
        <v>155</v>
      </c>
      <c r="Y307">
        <v>155</v>
      </c>
      <c r="Z307">
        <v>155</v>
      </c>
      <c r="AA307">
        <v>155</v>
      </c>
      <c r="AB307">
        <v>155</v>
      </c>
      <c r="AC307">
        <v>155</v>
      </c>
      <c r="AD307">
        <v>155</v>
      </c>
      <c r="AE307">
        <v>155</v>
      </c>
      <c r="AF307">
        <v>155</v>
      </c>
      <c r="AG307">
        <v>155</v>
      </c>
      <c r="AH307">
        <v>155</v>
      </c>
      <c r="AI307">
        <v>155</v>
      </c>
      <c r="AJ307">
        <v>155</v>
      </c>
      <c r="AK307">
        <v>155</v>
      </c>
      <c r="AL307">
        <v>155</v>
      </c>
      <c r="AM307">
        <v>155</v>
      </c>
      <c r="AN307">
        <v>155</v>
      </c>
      <c r="AO307">
        <v>155</v>
      </c>
      <c r="AP307">
        <v>155</v>
      </c>
      <c r="AQ307">
        <v>155</v>
      </c>
      <c r="AR307">
        <v>155</v>
      </c>
      <c r="AS307">
        <v>155</v>
      </c>
      <c r="AT307">
        <v>155</v>
      </c>
      <c r="AU307">
        <v>155</v>
      </c>
      <c r="AV307">
        <v>155</v>
      </c>
      <c r="AW307">
        <v>155</v>
      </c>
      <c r="AX307">
        <v>155</v>
      </c>
      <c r="AY307">
        <v>155</v>
      </c>
    </row>
    <row r="308" spans="1:51" x14ac:dyDescent="0.3">
      <c r="A308" t="s">
        <v>678</v>
      </c>
      <c r="B308" t="s">
        <v>370</v>
      </c>
      <c r="D308">
        <v>156.66999999999999</v>
      </c>
      <c r="E308">
        <v>156.66999999999999</v>
      </c>
      <c r="F308">
        <v>156.66999999999999</v>
      </c>
      <c r="G308">
        <v>156.66999999999999</v>
      </c>
      <c r="H308">
        <v>156.66999999999999</v>
      </c>
      <c r="I308">
        <v>156.66999999999999</v>
      </c>
      <c r="J308">
        <v>156.66999999999999</v>
      </c>
      <c r="K308">
        <v>156.66999999999999</v>
      </c>
      <c r="L308">
        <v>156.66999999999999</v>
      </c>
      <c r="M308">
        <v>156.66999999999999</v>
      </c>
      <c r="N308">
        <v>156.66999999999999</v>
      </c>
      <c r="O308">
        <v>156.66999999999999</v>
      </c>
      <c r="P308">
        <v>156.66999999999999</v>
      </c>
      <c r="Q308">
        <v>235</v>
      </c>
      <c r="R308">
        <v>235</v>
      </c>
      <c r="S308">
        <v>235</v>
      </c>
      <c r="T308">
        <v>235</v>
      </c>
      <c r="U308">
        <v>235</v>
      </c>
      <c r="V308">
        <v>235</v>
      </c>
      <c r="W308">
        <v>235</v>
      </c>
      <c r="X308">
        <v>235</v>
      </c>
      <c r="Y308">
        <v>235</v>
      </c>
      <c r="Z308">
        <v>235</v>
      </c>
      <c r="AA308">
        <v>235</v>
      </c>
      <c r="AB308">
        <v>235</v>
      </c>
      <c r="AC308">
        <v>235</v>
      </c>
      <c r="AD308">
        <v>235</v>
      </c>
      <c r="AE308">
        <v>235</v>
      </c>
      <c r="AF308">
        <v>235</v>
      </c>
      <c r="AG308">
        <v>235</v>
      </c>
      <c r="AH308">
        <v>235</v>
      </c>
      <c r="AI308">
        <v>235</v>
      </c>
      <c r="AJ308">
        <v>235</v>
      </c>
      <c r="AK308">
        <v>235</v>
      </c>
      <c r="AL308">
        <v>235</v>
      </c>
      <c r="AM308">
        <v>235</v>
      </c>
      <c r="AN308">
        <v>235</v>
      </c>
      <c r="AO308">
        <v>300</v>
      </c>
      <c r="AP308">
        <v>300</v>
      </c>
      <c r="AQ308">
        <v>300</v>
      </c>
      <c r="AR308">
        <v>300</v>
      </c>
      <c r="AS308">
        <v>272.52</v>
      </c>
      <c r="AT308">
        <v>156.66999999999999</v>
      </c>
      <c r="AU308">
        <v>156.66999999999999</v>
      </c>
      <c r="AV308">
        <v>156.66999999999999</v>
      </c>
      <c r="AW308">
        <v>156.66999999999999</v>
      </c>
      <c r="AX308">
        <v>156.66999999999999</v>
      </c>
      <c r="AY308">
        <v>156.66999999999999</v>
      </c>
    </row>
    <row r="309" spans="1:51" x14ac:dyDescent="0.3">
      <c r="A309" t="s">
        <v>678</v>
      </c>
      <c r="B309" t="s">
        <v>47</v>
      </c>
      <c r="C309">
        <v>323</v>
      </c>
      <c r="D309">
        <v>251.5</v>
      </c>
      <c r="E309">
        <v>322.75</v>
      </c>
      <c r="F309">
        <v>322.75</v>
      </c>
      <c r="G309">
        <v>322.75</v>
      </c>
      <c r="H309">
        <v>322.75</v>
      </c>
      <c r="I309">
        <v>322.75</v>
      </c>
      <c r="J309">
        <v>322.75</v>
      </c>
      <c r="K309">
        <v>322.75</v>
      </c>
      <c r="L309">
        <v>322.75</v>
      </c>
      <c r="M309">
        <v>323</v>
      </c>
      <c r="N309">
        <v>323</v>
      </c>
      <c r="O309">
        <v>323</v>
      </c>
      <c r="P309">
        <v>322.75</v>
      </c>
      <c r="Q309">
        <v>322.75</v>
      </c>
      <c r="R309">
        <v>323</v>
      </c>
      <c r="S309">
        <v>323</v>
      </c>
      <c r="T309">
        <v>323</v>
      </c>
      <c r="U309">
        <v>323</v>
      </c>
      <c r="V309">
        <v>323</v>
      </c>
      <c r="W309">
        <v>323</v>
      </c>
      <c r="X309">
        <v>323</v>
      </c>
      <c r="Y309">
        <v>323</v>
      </c>
      <c r="Z309">
        <v>323</v>
      </c>
      <c r="AA309">
        <v>323</v>
      </c>
      <c r="AB309">
        <v>322.75</v>
      </c>
      <c r="AC309">
        <v>323</v>
      </c>
      <c r="AD309">
        <v>323</v>
      </c>
      <c r="AE309">
        <v>323</v>
      </c>
      <c r="AF309">
        <v>323</v>
      </c>
      <c r="AG309">
        <v>323</v>
      </c>
      <c r="AH309">
        <v>323</v>
      </c>
      <c r="AI309">
        <v>323</v>
      </c>
      <c r="AJ309">
        <v>323</v>
      </c>
      <c r="AK309">
        <v>323</v>
      </c>
      <c r="AL309">
        <v>323</v>
      </c>
      <c r="AM309">
        <v>323</v>
      </c>
      <c r="AN309">
        <v>323</v>
      </c>
      <c r="AO309">
        <v>323</v>
      </c>
      <c r="AP309">
        <v>323</v>
      </c>
      <c r="AQ309">
        <v>323</v>
      </c>
      <c r="AR309">
        <v>323</v>
      </c>
      <c r="AS309">
        <v>323</v>
      </c>
      <c r="AT309">
        <v>323</v>
      </c>
      <c r="AU309">
        <v>323</v>
      </c>
      <c r="AV309">
        <v>323</v>
      </c>
      <c r="AW309">
        <v>323</v>
      </c>
      <c r="AX309">
        <v>323</v>
      </c>
      <c r="AY309">
        <v>322.75</v>
      </c>
    </row>
    <row r="310" spans="1:51" x14ac:dyDescent="0.3">
      <c r="A310" t="s">
        <v>678</v>
      </c>
      <c r="B310" t="s">
        <v>50</v>
      </c>
      <c r="C310">
        <v>323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 x14ac:dyDescent="0.3">
      <c r="A311" t="s">
        <v>678</v>
      </c>
      <c r="B311" t="s">
        <v>69</v>
      </c>
      <c r="C311">
        <v>615</v>
      </c>
      <c r="D311">
        <v>590</v>
      </c>
      <c r="E311">
        <v>602.70000000000005</v>
      </c>
      <c r="F311">
        <v>602.70000000000005</v>
      </c>
      <c r="G311">
        <v>602.70000000000005</v>
      </c>
      <c r="H311">
        <v>602.70000000000005</v>
      </c>
      <c r="I311">
        <v>602.70000000000005</v>
      </c>
      <c r="J311">
        <v>602.70000000000005</v>
      </c>
      <c r="K311">
        <v>602.70000000000005</v>
      </c>
      <c r="L311">
        <v>602.70000000000005</v>
      </c>
      <c r="M311">
        <v>602.70000000000005</v>
      </c>
      <c r="N311">
        <v>602.70000000000005</v>
      </c>
      <c r="O311">
        <v>602.70000000000005</v>
      </c>
      <c r="P311">
        <v>602.70000000000005</v>
      </c>
      <c r="Q311">
        <v>602.70000000000005</v>
      </c>
      <c r="R311">
        <v>602.70000000000005</v>
      </c>
      <c r="S311">
        <v>602.70000000000005</v>
      </c>
      <c r="T311">
        <v>602.70000000000005</v>
      </c>
      <c r="U311">
        <v>602.70000000000005</v>
      </c>
      <c r="V311">
        <v>602.70000000000005</v>
      </c>
      <c r="W311">
        <v>602.70000000000005</v>
      </c>
      <c r="X311">
        <v>602.70000000000005</v>
      </c>
      <c r="Y311">
        <v>602.70000000000005</v>
      </c>
      <c r="Z311">
        <v>602.70000000000005</v>
      </c>
      <c r="AA311">
        <v>602.70000000000005</v>
      </c>
      <c r="AB311">
        <v>602.70000000000005</v>
      </c>
      <c r="AC311">
        <v>602.70000000000005</v>
      </c>
      <c r="AD311">
        <v>602.70000000000005</v>
      </c>
      <c r="AE311">
        <v>602.70000000000005</v>
      </c>
      <c r="AF311">
        <v>602.70000000000005</v>
      </c>
      <c r="AG311">
        <v>602.70000000000005</v>
      </c>
      <c r="AH311">
        <v>602.70000000000005</v>
      </c>
      <c r="AI311">
        <v>602.70000000000005</v>
      </c>
      <c r="AJ311">
        <v>602.70000000000005</v>
      </c>
      <c r="AK311">
        <v>602.70000000000005</v>
      </c>
      <c r="AL311">
        <v>602.70000000000005</v>
      </c>
      <c r="AM311">
        <v>602.70000000000005</v>
      </c>
      <c r="AN311">
        <v>602.70000000000005</v>
      </c>
      <c r="AO311">
        <v>602.70000000000005</v>
      </c>
      <c r="AP311">
        <v>602.70000000000005</v>
      </c>
      <c r="AQ311">
        <v>602.70000000000005</v>
      </c>
      <c r="AR311">
        <v>602.70000000000005</v>
      </c>
      <c r="AS311">
        <v>602.70000000000005</v>
      </c>
      <c r="AT311">
        <v>602.70000000000005</v>
      </c>
      <c r="AU311">
        <v>602.70000000000005</v>
      </c>
      <c r="AV311">
        <v>602.70000000000005</v>
      </c>
      <c r="AW311">
        <v>602.70000000000005</v>
      </c>
      <c r="AX311">
        <v>602.70000000000005</v>
      </c>
      <c r="AY311">
        <v>602.70000000000005</v>
      </c>
    </row>
    <row r="312" spans="1:51" x14ac:dyDescent="0.3">
      <c r="A312" t="s">
        <v>678</v>
      </c>
      <c r="B312" t="s">
        <v>72</v>
      </c>
      <c r="C312">
        <v>280</v>
      </c>
      <c r="D312">
        <v>200</v>
      </c>
      <c r="E312">
        <v>200</v>
      </c>
      <c r="F312">
        <v>200</v>
      </c>
      <c r="G312">
        <v>200</v>
      </c>
      <c r="H312">
        <v>200</v>
      </c>
      <c r="I312">
        <v>200</v>
      </c>
      <c r="J312">
        <v>200</v>
      </c>
      <c r="K312">
        <v>200</v>
      </c>
      <c r="L312">
        <v>200</v>
      </c>
      <c r="M312">
        <v>200</v>
      </c>
      <c r="N312">
        <v>200</v>
      </c>
      <c r="O312">
        <v>200</v>
      </c>
      <c r="P312">
        <v>200</v>
      </c>
      <c r="Q312">
        <v>200</v>
      </c>
      <c r="R312">
        <v>200</v>
      </c>
      <c r="S312">
        <v>200</v>
      </c>
      <c r="T312">
        <v>200</v>
      </c>
      <c r="U312">
        <v>200</v>
      </c>
      <c r="V312">
        <v>200</v>
      </c>
      <c r="W312">
        <v>200</v>
      </c>
      <c r="X312">
        <v>200</v>
      </c>
      <c r="Y312">
        <v>200</v>
      </c>
      <c r="Z312">
        <v>200</v>
      </c>
      <c r="AA312">
        <v>200</v>
      </c>
      <c r="AB312">
        <v>200</v>
      </c>
      <c r="AC312">
        <v>200</v>
      </c>
      <c r="AD312">
        <v>200</v>
      </c>
      <c r="AE312">
        <v>200</v>
      </c>
      <c r="AF312">
        <v>200</v>
      </c>
      <c r="AG312">
        <v>200</v>
      </c>
      <c r="AH312">
        <v>200</v>
      </c>
      <c r="AI312">
        <v>200</v>
      </c>
      <c r="AJ312">
        <v>200</v>
      </c>
      <c r="AK312">
        <v>200</v>
      </c>
      <c r="AL312">
        <v>270</v>
      </c>
      <c r="AM312">
        <v>270</v>
      </c>
      <c r="AN312">
        <v>270</v>
      </c>
      <c r="AO312">
        <v>270</v>
      </c>
      <c r="AP312">
        <v>270</v>
      </c>
      <c r="AQ312">
        <v>200</v>
      </c>
      <c r="AR312">
        <v>200</v>
      </c>
      <c r="AS312">
        <v>200</v>
      </c>
      <c r="AT312">
        <v>200</v>
      </c>
      <c r="AU312">
        <v>200</v>
      </c>
      <c r="AV312">
        <v>200</v>
      </c>
      <c r="AW312">
        <v>200</v>
      </c>
      <c r="AX312">
        <v>200</v>
      </c>
      <c r="AY312">
        <v>200</v>
      </c>
    </row>
    <row r="313" spans="1:51" x14ac:dyDescent="0.3">
      <c r="A313" t="s">
        <v>678</v>
      </c>
      <c r="B313" t="s">
        <v>73</v>
      </c>
      <c r="C313">
        <v>280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 x14ac:dyDescent="0.3">
      <c r="A314" t="s">
        <v>678</v>
      </c>
      <c r="B314" t="s">
        <v>371</v>
      </c>
      <c r="C314">
        <v>0</v>
      </c>
    </row>
    <row r="315" spans="1:51" x14ac:dyDescent="0.3">
      <c r="A315" t="s">
        <v>678</v>
      </c>
      <c r="B315" t="s">
        <v>372</v>
      </c>
      <c r="C315">
        <v>0</v>
      </c>
    </row>
    <row r="316" spans="1:51" x14ac:dyDescent="0.3">
      <c r="A316" t="s">
        <v>678</v>
      </c>
      <c r="B316" t="s">
        <v>373</v>
      </c>
      <c r="C316">
        <v>0</v>
      </c>
    </row>
    <row r="317" spans="1:51" x14ac:dyDescent="0.3">
      <c r="A317" t="s">
        <v>678</v>
      </c>
      <c r="B317" t="s">
        <v>77</v>
      </c>
      <c r="C317">
        <v>610</v>
      </c>
      <c r="D317">
        <v>590</v>
      </c>
      <c r="E317">
        <v>597.79999999999995</v>
      </c>
      <c r="F317">
        <v>597.79999999999995</v>
      </c>
      <c r="G317">
        <v>597.79999999999995</v>
      </c>
      <c r="H317">
        <v>597.79999999999995</v>
      </c>
      <c r="I317">
        <v>597.79999999999995</v>
      </c>
      <c r="J317">
        <v>597.79999999999995</v>
      </c>
      <c r="K317">
        <v>597.79999999999995</v>
      </c>
      <c r="L317">
        <v>597.79999999999995</v>
      </c>
      <c r="M317">
        <v>597.79999999999995</v>
      </c>
      <c r="N317">
        <v>597.79999999999995</v>
      </c>
      <c r="O317">
        <v>597.79999999999995</v>
      </c>
      <c r="P317">
        <v>597.79999999999995</v>
      </c>
      <c r="Q317">
        <v>597.79999999999995</v>
      </c>
      <c r="R317">
        <v>597.79999999999995</v>
      </c>
      <c r="S317">
        <v>597.79999999999995</v>
      </c>
      <c r="T317">
        <v>597.79999999999995</v>
      </c>
      <c r="U317">
        <v>597.79999999999995</v>
      </c>
      <c r="V317">
        <v>597.79999999999995</v>
      </c>
      <c r="W317">
        <v>597.79999999999995</v>
      </c>
      <c r="X317">
        <v>597.79999999999995</v>
      </c>
      <c r="Y317">
        <v>597.79999999999995</v>
      </c>
      <c r="Z317">
        <v>597.79999999999995</v>
      </c>
      <c r="AA317">
        <v>597.79999999999995</v>
      </c>
      <c r="AB317">
        <v>597.79999999999995</v>
      </c>
      <c r="AC317">
        <v>597.79999999999995</v>
      </c>
      <c r="AD317">
        <v>597.79999999999995</v>
      </c>
      <c r="AE317">
        <v>597.79999999999995</v>
      </c>
      <c r="AF317">
        <v>597.79999999999995</v>
      </c>
      <c r="AG317">
        <v>597.79999999999995</v>
      </c>
      <c r="AH317">
        <v>597.79999999999995</v>
      </c>
      <c r="AI317">
        <v>597.79999999999995</v>
      </c>
      <c r="AJ317">
        <v>597.79999999999995</v>
      </c>
      <c r="AK317">
        <v>597.79999999999995</v>
      </c>
      <c r="AL317">
        <v>597.79999999999995</v>
      </c>
      <c r="AM317">
        <v>597.79999999999995</v>
      </c>
      <c r="AN317">
        <v>597.79999999999995</v>
      </c>
      <c r="AO317">
        <v>597.79999999999995</v>
      </c>
      <c r="AP317">
        <v>597.79999999999995</v>
      </c>
      <c r="AQ317">
        <v>597.79999999999995</v>
      </c>
      <c r="AR317">
        <v>597.79999999999995</v>
      </c>
      <c r="AS317">
        <v>597.79999999999995</v>
      </c>
      <c r="AT317">
        <v>597.79999999999995</v>
      </c>
      <c r="AU317">
        <v>597.79999999999995</v>
      </c>
      <c r="AV317">
        <v>597.79999999999995</v>
      </c>
      <c r="AW317">
        <v>597.79999999999995</v>
      </c>
      <c r="AX317">
        <v>597.79999999999995</v>
      </c>
      <c r="AY317">
        <v>597.79999999999995</v>
      </c>
    </row>
    <row r="318" spans="1:51" x14ac:dyDescent="0.3">
      <c r="A318" t="s">
        <v>678</v>
      </c>
      <c r="B318" t="s">
        <v>78</v>
      </c>
      <c r="C318">
        <v>610</v>
      </c>
      <c r="D318">
        <v>590</v>
      </c>
      <c r="E318">
        <v>597.79999999999995</v>
      </c>
      <c r="F318">
        <v>597.79999999999995</v>
      </c>
      <c r="G318">
        <v>597.79999999999995</v>
      </c>
      <c r="H318">
        <v>597.79999999999995</v>
      </c>
      <c r="I318">
        <v>597.79999999999995</v>
      </c>
      <c r="J318">
        <v>597.79999999999995</v>
      </c>
      <c r="K318">
        <v>597.79999999999995</v>
      </c>
      <c r="L318">
        <v>597.79999999999995</v>
      </c>
      <c r="M318">
        <v>597.79999999999995</v>
      </c>
      <c r="N318">
        <v>597.79999999999995</v>
      </c>
      <c r="O318">
        <v>597.79999999999995</v>
      </c>
      <c r="P318">
        <v>597.79999999999995</v>
      </c>
      <c r="Q318">
        <v>597.79999999999995</v>
      </c>
      <c r="R318">
        <v>597.79999999999995</v>
      </c>
      <c r="S318">
        <v>597.79999999999995</v>
      </c>
      <c r="T318">
        <v>597.79999999999995</v>
      </c>
      <c r="U318">
        <v>597.79999999999995</v>
      </c>
      <c r="V318">
        <v>597.79999999999995</v>
      </c>
      <c r="W318">
        <v>597.79999999999995</v>
      </c>
      <c r="X318">
        <v>597.79999999999995</v>
      </c>
      <c r="Y318">
        <v>597.79999999999995</v>
      </c>
      <c r="Z318">
        <v>597.79999999999995</v>
      </c>
      <c r="AA318">
        <v>597.79999999999995</v>
      </c>
      <c r="AB318">
        <v>597.79999999999995</v>
      </c>
      <c r="AC318">
        <v>597.79999999999995</v>
      </c>
      <c r="AD318">
        <v>597.79999999999995</v>
      </c>
      <c r="AE318">
        <v>597.79999999999995</v>
      </c>
      <c r="AF318">
        <v>597.79999999999995</v>
      </c>
      <c r="AG318">
        <v>597.79999999999995</v>
      </c>
      <c r="AH318">
        <v>597.79999999999995</v>
      </c>
      <c r="AI318">
        <v>597.79999999999995</v>
      </c>
      <c r="AJ318">
        <v>597.79999999999995</v>
      </c>
      <c r="AK318">
        <v>597.79999999999995</v>
      </c>
      <c r="AL318">
        <v>597.79999999999995</v>
      </c>
      <c r="AM318">
        <v>597.79999999999995</v>
      </c>
      <c r="AN318">
        <v>597.79999999999995</v>
      </c>
      <c r="AO318">
        <v>597.79999999999995</v>
      </c>
      <c r="AP318">
        <v>597.79999999999995</v>
      </c>
      <c r="AQ318">
        <v>597.79999999999995</v>
      </c>
      <c r="AR318">
        <v>597.79999999999995</v>
      </c>
      <c r="AS318">
        <v>597.79999999999995</v>
      </c>
      <c r="AT318">
        <v>597.79999999999995</v>
      </c>
      <c r="AU318">
        <v>597.79999999999995</v>
      </c>
      <c r="AV318">
        <v>597.79999999999995</v>
      </c>
      <c r="AW318">
        <v>597.79999999999995</v>
      </c>
      <c r="AX318">
        <v>597.79999999999995</v>
      </c>
      <c r="AY318">
        <v>597.79999999999995</v>
      </c>
    </row>
    <row r="319" spans="1:51" x14ac:dyDescent="0.3">
      <c r="A319" t="s">
        <v>678</v>
      </c>
      <c r="B319" t="s">
        <v>62</v>
      </c>
      <c r="C319">
        <v>811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40.75</v>
      </c>
      <c r="R319">
        <v>122.25</v>
      </c>
      <c r="S319">
        <v>203.75</v>
      </c>
      <c r="T319">
        <v>285.25</v>
      </c>
      <c r="U319">
        <v>366.75</v>
      </c>
      <c r="V319">
        <v>448.25</v>
      </c>
      <c r="W319">
        <v>529.75</v>
      </c>
      <c r="X319">
        <v>611.25</v>
      </c>
      <c r="Y319">
        <v>692.75</v>
      </c>
      <c r="Z319">
        <v>771.74</v>
      </c>
      <c r="AA319">
        <v>794.78</v>
      </c>
      <c r="AB319">
        <v>794.78</v>
      </c>
      <c r="AC319">
        <v>794.78</v>
      </c>
      <c r="AD319">
        <v>794.78</v>
      </c>
      <c r="AE319">
        <v>794.78</v>
      </c>
      <c r="AF319">
        <v>794.78</v>
      </c>
      <c r="AG319">
        <v>794.78</v>
      </c>
      <c r="AH319">
        <v>794.78</v>
      </c>
      <c r="AI319">
        <v>794.78</v>
      </c>
      <c r="AJ319">
        <v>794.78</v>
      </c>
      <c r="AK319">
        <v>794.78</v>
      </c>
      <c r="AL319">
        <v>794.78</v>
      </c>
      <c r="AM319">
        <v>794.78</v>
      </c>
      <c r="AN319">
        <v>794.78</v>
      </c>
      <c r="AO319">
        <v>794.78</v>
      </c>
      <c r="AP319">
        <v>794.78</v>
      </c>
      <c r="AQ319">
        <v>794.78</v>
      </c>
      <c r="AR319">
        <v>794.78</v>
      </c>
      <c r="AS319">
        <v>794.78</v>
      </c>
      <c r="AT319">
        <v>794.78</v>
      </c>
      <c r="AU319">
        <v>794.78</v>
      </c>
      <c r="AV319">
        <v>794.78</v>
      </c>
      <c r="AW319">
        <v>794.78</v>
      </c>
      <c r="AX319">
        <v>794.78</v>
      </c>
      <c r="AY319">
        <v>794.78</v>
      </c>
    </row>
    <row r="320" spans="1:51" x14ac:dyDescent="0.3">
      <c r="A320" t="s">
        <v>678</v>
      </c>
      <c r="B320" t="s">
        <v>59</v>
      </c>
      <c r="C320">
        <v>610</v>
      </c>
      <c r="D320">
        <v>590</v>
      </c>
      <c r="E320">
        <v>610</v>
      </c>
      <c r="F320">
        <v>610</v>
      </c>
      <c r="G320">
        <v>610</v>
      </c>
      <c r="H320">
        <v>610</v>
      </c>
      <c r="I320">
        <v>610</v>
      </c>
      <c r="J320">
        <v>610</v>
      </c>
      <c r="K320">
        <v>610</v>
      </c>
      <c r="L320">
        <v>610</v>
      </c>
      <c r="M320">
        <v>610</v>
      </c>
      <c r="N320">
        <v>610</v>
      </c>
      <c r="O320">
        <v>610</v>
      </c>
      <c r="P320">
        <v>610</v>
      </c>
      <c r="Q320">
        <v>610</v>
      </c>
      <c r="R320">
        <v>610</v>
      </c>
      <c r="S320">
        <v>610</v>
      </c>
      <c r="T320">
        <v>610</v>
      </c>
      <c r="U320">
        <v>610</v>
      </c>
      <c r="V320">
        <v>610</v>
      </c>
      <c r="W320">
        <v>610</v>
      </c>
      <c r="X320">
        <v>610</v>
      </c>
      <c r="Y320">
        <v>610</v>
      </c>
      <c r="Z320">
        <v>610</v>
      </c>
      <c r="AA320">
        <v>610</v>
      </c>
      <c r="AB320">
        <v>610</v>
      </c>
      <c r="AC320">
        <v>610</v>
      </c>
      <c r="AD320">
        <v>610</v>
      </c>
      <c r="AE320">
        <v>610</v>
      </c>
      <c r="AF320">
        <v>610</v>
      </c>
      <c r="AG320">
        <v>610</v>
      </c>
      <c r="AH320">
        <v>610</v>
      </c>
      <c r="AI320">
        <v>610</v>
      </c>
      <c r="AJ320">
        <v>610</v>
      </c>
      <c r="AK320">
        <v>610</v>
      </c>
      <c r="AL320">
        <v>610</v>
      </c>
      <c r="AM320">
        <v>610</v>
      </c>
      <c r="AN320">
        <v>610</v>
      </c>
      <c r="AO320">
        <v>610</v>
      </c>
      <c r="AP320">
        <v>610</v>
      </c>
      <c r="AQ320">
        <v>610</v>
      </c>
      <c r="AR320">
        <v>610</v>
      </c>
      <c r="AS320">
        <v>610</v>
      </c>
      <c r="AT320">
        <v>610</v>
      </c>
      <c r="AU320">
        <v>610</v>
      </c>
      <c r="AV320">
        <v>610</v>
      </c>
      <c r="AW320">
        <v>610</v>
      </c>
      <c r="AX320">
        <v>610</v>
      </c>
      <c r="AY320">
        <v>610</v>
      </c>
    </row>
    <row r="321" spans="1:51" x14ac:dyDescent="0.3">
      <c r="A321" t="s">
        <v>678</v>
      </c>
      <c r="B321" t="s">
        <v>60</v>
      </c>
      <c r="C321">
        <v>610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3">
      <c r="A322" t="s">
        <v>678</v>
      </c>
      <c r="B322" t="s">
        <v>374</v>
      </c>
      <c r="C322">
        <v>35.866149999999998</v>
      </c>
      <c r="D322">
        <v>33.81</v>
      </c>
      <c r="E322">
        <v>33.81</v>
      </c>
      <c r="F322">
        <v>33.81</v>
      </c>
      <c r="G322">
        <v>33.81</v>
      </c>
      <c r="H322">
        <v>33.81</v>
      </c>
      <c r="I322">
        <v>33.81</v>
      </c>
      <c r="J322">
        <v>33.81</v>
      </c>
      <c r="K322">
        <v>33.81</v>
      </c>
      <c r="L322">
        <v>33.81</v>
      </c>
      <c r="M322">
        <v>33.81</v>
      </c>
      <c r="N322">
        <v>33.81</v>
      </c>
      <c r="O322">
        <v>33.81</v>
      </c>
      <c r="P322">
        <v>33.81</v>
      </c>
      <c r="Q322">
        <v>33.81</v>
      </c>
      <c r="R322">
        <v>33.81</v>
      </c>
      <c r="S322">
        <v>33.81</v>
      </c>
      <c r="T322">
        <v>33.81</v>
      </c>
      <c r="U322">
        <v>33.81</v>
      </c>
      <c r="V322">
        <v>33.81</v>
      </c>
      <c r="W322">
        <v>33.81</v>
      </c>
      <c r="X322">
        <v>33.81</v>
      </c>
      <c r="Y322">
        <v>33.81</v>
      </c>
      <c r="Z322">
        <v>33.81</v>
      </c>
      <c r="AA322">
        <v>33.81</v>
      </c>
      <c r="AB322">
        <v>33.81</v>
      </c>
      <c r="AC322">
        <v>33.81</v>
      </c>
      <c r="AD322">
        <v>33.81</v>
      </c>
      <c r="AE322">
        <v>33.81</v>
      </c>
      <c r="AF322">
        <v>33.81</v>
      </c>
      <c r="AG322">
        <v>33.81</v>
      </c>
      <c r="AH322">
        <v>33.81</v>
      </c>
      <c r="AI322">
        <v>33.81</v>
      </c>
      <c r="AJ322">
        <v>33.81</v>
      </c>
      <c r="AK322">
        <v>33.81</v>
      </c>
      <c r="AL322">
        <v>33.81</v>
      </c>
      <c r="AM322">
        <v>33.81</v>
      </c>
      <c r="AN322">
        <v>33.81</v>
      </c>
      <c r="AO322">
        <v>33.81</v>
      </c>
      <c r="AP322">
        <v>33.81</v>
      </c>
      <c r="AQ322">
        <v>33.81</v>
      </c>
      <c r="AR322">
        <v>33.81</v>
      </c>
      <c r="AS322">
        <v>33.81</v>
      </c>
      <c r="AT322">
        <v>33.81</v>
      </c>
      <c r="AU322">
        <v>33.81</v>
      </c>
      <c r="AV322">
        <v>33.81</v>
      </c>
      <c r="AW322">
        <v>33.81</v>
      </c>
      <c r="AX322">
        <v>33.81</v>
      </c>
      <c r="AY322">
        <v>33.81</v>
      </c>
    </row>
    <row r="323" spans="1:51" x14ac:dyDescent="0.3">
      <c r="A323" t="s">
        <v>678</v>
      </c>
      <c r="B323" t="s">
        <v>376</v>
      </c>
      <c r="D323">
        <v>108</v>
      </c>
      <c r="E323">
        <v>108</v>
      </c>
      <c r="F323">
        <v>108</v>
      </c>
      <c r="G323">
        <v>108</v>
      </c>
      <c r="H323">
        <v>108</v>
      </c>
      <c r="I323">
        <v>108</v>
      </c>
      <c r="J323">
        <v>108</v>
      </c>
      <c r="K323">
        <v>108</v>
      </c>
      <c r="L323">
        <v>108</v>
      </c>
      <c r="M323">
        <v>108</v>
      </c>
      <c r="N323">
        <v>108</v>
      </c>
      <c r="O323">
        <v>108</v>
      </c>
      <c r="P323">
        <v>108</v>
      </c>
      <c r="Q323">
        <v>108</v>
      </c>
      <c r="R323">
        <v>108</v>
      </c>
      <c r="S323">
        <v>108</v>
      </c>
      <c r="T323">
        <v>108</v>
      </c>
      <c r="U323">
        <v>108</v>
      </c>
      <c r="V323">
        <v>108</v>
      </c>
      <c r="W323">
        <v>108</v>
      </c>
      <c r="X323">
        <v>108</v>
      </c>
      <c r="Y323">
        <v>108</v>
      </c>
      <c r="Z323">
        <v>108</v>
      </c>
      <c r="AA323">
        <v>108</v>
      </c>
      <c r="AB323">
        <v>108</v>
      </c>
      <c r="AC323">
        <v>108</v>
      </c>
      <c r="AD323">
        <v>108</v>
      </c>
      <c r="AE323">
        <v>108</v>
      </c>
      <c r="AF323">
        <v>108</v>
      </c>
      <c r="AG323">
        <v>108</v>
      </c>
      <c r="AH323">
        <v>108</v>
      </c>
      <c r="AI323">
        <v>108</v>
      </c>
      <c r="AJ323">
        <v>108</v>
      </c>
      <c r="AK323">
        <v>108</v>
      </c>
      <c r="AL323">
        <v>108</v>
      </c>
      <c r="AM323">
        <v>108</v>
      </c>
      <c r="AN323">
        <v>108</v>
      </c>
      <c r="AO323">
        <v>108</v>
      </c>
      <c r="AP323">
        <v>108</v>
      </c>
      <c r="AQ323">
        <v>108</v>
      </c>
      <c r="AR323">
        <v>108</v>
      </c>
      <c r="AS323">
        <v>108</v>
      </c>
      <c r="AT323">
        <v>108</v>
      </c>
      <c r="AU323">
        <v>108</v>
      </c>
      <c r="AV323">
        <v>108</v>
      </c>
      <c r="AW323">
        <v>108</v>
      </c>
      <c r="AX323">
        <v>108</v>
      </c>
      <c r="AY323">
        <v>108</v>
      </c>
    </row>
    <row r="324" spans="1:51" x14ac:dyDescent="0.3">
      <c r="A324" t="s">
        <v>678</v>
      </c>
      <c r="B324" t="s">
        <v>377</v>
      </c>
      <c r="D324">
        <v>85</v>
      </c>
      <c r="E324">
        <v>85</v>
      </c>
      <c r="F324">
        <v>85</v>
      </c>
      <c r="G324">
        <v>85</v>
      </c>
      <c r="H324">
        <v>85</v>
      </c>
      <c r="I324">
        <v>85</v>
      </c>
      <c r="J324">
        <v>85</v>
      </c>
      <c r="K324">
        <v>85</v>
      </c>
      <c r="L324">
        <v>85</v>
      </c>
      <c r="M324">
        <v>85</v>
      </c>
      <c r="N324">
        <v>85</v>
      </c>
      <c r="O324">
        <v>85</v>
      </c>
      <c r="P324">
        <v>85</v>
      </c>
      <c r="Q324">
        <v>85</v>
      </c>
      <c r="R324">
        <v>85</v>
      </c>
      <c r="S324">
        <v>85</v>
      </c>
      <c r="T324">
        <v>85</v>
      </c>
      <c r="U324">
        <v>85</v>
      </c>
      <c r="V324">
        <v>87.55</v>
      </c>
      <c r="W324">
        <v>85</v>
      </c>
      <c r="X324">
        <v>85</v>
      </c>
      <c r="Y324">
        <v>85</v>
      </c>
      <c r="Z324">
        <v>87.05</v>
      </c>
      <c r="AA324">
        <v>85</v>
      </c>
      <c r="AB324">
        <v>85</v>
      </c>
      <c r="AC324">
        <v>85</v>
      </c>
      <c r="AD324">
        <v>85</v>
      </c>
      <c r="AE324">
        <v>85</v>
      </c>
      <c r="AF324">
        <v>92.79</v>
      </c>
      <c r="AG324">
        <v>85</v>
      </c>
      <c r="AH324">
        <v>85</v>
      </c>
      <c r="AI324">
        <v>85</v>
      </c>
      <c r="AJ324">
        <v>85</v>
      </c>
      <c r="AK324">
        <v>93.93</v>
      </c>
      <c r="AL324">
        <v>85</v>
      </c>
      <c r="AM324">
        <v>85</v>
      </c>
      <c r="AN324">
        <v>94</v>
      </c>
      <c r="AO324">
        <v>98.6</v>
      </c>
      <c r="AP324">
        <v>97.7</v>
      </c>
      <c r="AQ324">
        <v>94.7</v>
      </c>
      <c r="AR324">
        <v>85</v>
      </c>
      <c r="AS324">
        <v>96</v>
      </c>
      <c r="AT324">
        <v>85</v>
      </c>
      <c r="AU324">
        <v>85</v>
      </c>
      <c r="AV324">
        <v>91.44</v>
      </c>
      <c r="AW324">
        <v>85</v>
      </c>
      <c r="AX324">
        <v>85</v>
      </c>
      <c r="AY324">
        <v>87.53</v>
      </c>
    </row>
    <row r="325" spans="1:51" x14ac:dyDescent="0.3">
      <c r="A325" t="s">
        <v>678</v>
      </c>
      <c r="B325" t="s">
        <v>378</v>
      </c>
      <c r="C325">
        <v>40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40</v>
      </c>
      <c r="T325">
        <v>40</v>
      </c>
      <c r="U325">
        <v>40</v>
      </c>
      <c r="V325">
        <v>40</v>
      </c>
      <c r="W325">
        <v>40</v>
      </c>
      <c r="X325">
        <v>40</v>
      </c>
      <c r="Y325">
        <v>30</v>
      </c>
      <c r="Z325">
        <v>30</v>
      </c>
      <c r="AA325">
        <v>30</v>
      </c>
      <c r="AB325">
        <v>30</v>
      </c>
      <c r="AC325">
        <v>30</v>
      </c>
      <c r="AD325">
        <v>30</v>
      </c>
      <c r="AE325">
        <v>30</v>
      </c>
      <c r="AF325">
        <v>30</v>
      </c>
      <c r="AG325">
        <v>30</v>
      </c>
      <c r="AH325">
        <v>30</v>
      </c>
      <c r="AI325">
        <v>30</v>
      </c>
      <c r="AJ325">
        <v>30</v>
      </c>
      <c r="AK325">
        <v>30</v>
      </c>
      <c r="AL325">
        <v>30</v>
      </c>
      <c r="AM325">
        <v>30</v>
      </c>
      <c r="AN325">
        <v>31.3</v>
      </c>
      <c r="AO325">
        <v>40</v>
      </c>
      <c r="AP325">
        <v>36</v>
      </c>
      <c r="AQ325">
        <v>30</v>
      </c>
      <c r="AR325">
        <v>30</v>
      </c>
      <c r="AS325">
        <v>30</v>
      </c>
      <c r="AT325">
        <v>30</v>
      </c>
      <c r="AU325">
        <v>30</v>
      </c>
      <c r="AV325">
        <v>30</v>
      </c>
      <c r="AW325">
        <v>0</v>
      </c>
      <c r="AX325">
        <v>0</v>
      </c>
      <c r="AY325">
        <v>0</v>
      </c>
    </row>
    <row r="326" spans="1:51" x14ac:dyDescent="0.3">
      <c r="A326" t="s">
        <v>678</v>
      </c>
      <c r="B326" t="s">
        <v>379</v>
      </c>
      <c r="C326">
        <v>40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40</v>
      </c>
      <c r="AB326">
        <v>40</v>
      </c>
      <c r="AC326">
        <v>40</v>
      </c>
      <c r="AD326">
        <v>40</v>
      </c>
      <c r="AE326">
        <v>40</v>
      </c>
      <c r="AF326">
        <v>40</v>
      </c>
      <c r="AG326">
        <v>30</v>
      </c>
      <c r="AH326">
        <v>30</v>
      </c>
      <c r="AI326">
        <v>30</v>
      </c>
      <c r="AJ326">
        <v>30</v>
      </c>
      <c r="AK326">
        <v>30</v>
      </c>
      <c r="AL326">
        <v>30</v>
      </c>
      <c r="AM326">
        <v>30</v>
      </c>
      <c r="AN326">
        <v>30</v>
      </c>
      <c r="AO326">
        <v>40</v>
      </c>
      <c r="AP326">
        <v>38.44</v>
      </c>
      <c r="AQ326">
        <v>36</v>
      </c>
      <c r="AR326">
        <v>36</v>
      </c>
      <c r="AS326">
        <v>30</v>
      </c>
      <c r="AT326">
        <v>30</v>
      </c>
      <c r="AU326">
        <v>30</v>
      </c>
      <c r="AV326">
        <v>30</v>
      </c>
      <c r="AW326">
        <v>0</v>
      </c>
      <c r="AX326">
        <v>0</v>
      </c>
      <c r="AY326">
        <v>0</v>
      </c>
    </row>
    <row r="327" spans="1:51" x14ac:dyDescent="0.3">
      <c r="A327" t="s">
        <v>678</v>
      </c>
      <c r="B327" t="s">
        <v>380</v>
      </c>
    </row>
    <row r="328" spans="1:51" x14ac:dyDescent="0.3">
      <c r="A328" t="s">
        <v>678</v>
      </c>
      <c r="B328" t="s">
        <v>381</v>
      </c>
      <c r="C328">
        <v>16.670000000000002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16.16</v>
      </c>
      <c r="AM328">
        <v>16.16</v>
      </c>
      <c r="AN328">
        <v>16.16</v>
      </c>
      <c r="AO328">
        <v>16.16</v>
      </c>
      <c r="AP328">
        <v>16.16</v>
      </c>
      <c r="AQ328">
        <v>16.16</v>
      </c>
      <c r="AR328">
        <v>10.5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</row>
    <row r="329" spans="1:51" x14ac:dyDescent="0.3">
      <c r="A329" t="s">
        <v>678</v>
      </c>
      <c r="B329" t="s">
        <v>382</v>
      </c>
      <c r="C329">
        <v>16.670000000000002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16.16</v>
      </c>
      <c r="AM329">
        <v>16.16</v>
      </c>
      <c r="AN329">
        <v>16.16</v>
      </c>
      <c r="AO329">
        <v>16.16</v>
      </c>
      <c r="AP329">
        <v>16.16</v>
      </c>
      <c r="AQ329">
        <v>16.16</v>
      </c>
      <c r="AR329">
        <v>16.16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 x14ac:dyDescent="0.3">
      <c r="A330" t="s">
        <v>678</v>
      </c>
      <c r="B330" t="s">
        <v>383</v>
      </c>
      <c r="C330">
        <v>16.670000000000002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16.16</v>
      </c>
      <c r="AM330">
        <v>16.16</v>
      </c>
      <c r="AN330">
        <v>16.16</v>
      </c>
      <c r="AO330">
        <v>16.16</v>
      </c>
      <c r="AP330">
        <v>16.16</v>
      </c>
      <c r="AQ330">
        <v>16.16</v>
      </c>
      <c r="AR330">
        <v>16.16</v>
      </c>
      <c r="AS330">
        <v>14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 x14ac:dyDescent="0.3">
      <c r="A331" t="s">
        <v>678</v>
      </c>
      <c r="B331" t="s">
        <v>384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37.520000000000003</v>
      </c>
      <c r="V331">
        <v>10</v>
      </c>
      <c r="W331">
        <v>41.42</v>
      </c>
      <c r="X331">
        <v>45</v>
      </c>
      <c r="Y331">
        <v>45</v>
      </c>
      <c r="Z331">
        <v>45.6</v>
      </c>
      <c r="AA331">
        <v>36.35</v>
      </c>
      <c r="AB331">
        <v>34.57</v>
      </c>
      <c r="AC331">
        <v>45.45</v>
      </c>
      <c r="AD331">
        <v>45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45</v>
      </c>
      <c r="AM331">
        <v>45</v>
      </c>
      <c r="AN331">
        <v>39.4</v>
      </c>
      <c r="AO331">
        <v>45.6</v>
      </c>
      <c r="AP331">
        <v>39.4</v>
      </c>
      <c r="AQ331">
        <v>39.4</v>
      </c>
      <c r="AR331">
        <v>45</v>
      </c>
      <c r="AS331">
        <v>45</v>
      </c>
      <c r="AT331">
        <v>28.14</v>
      </c>
      <c r="AU331">
        <v>10</v>
      </c>
      <c r="AV331">
        <v>45.6</v>
      </c>
      <c r="AW331">
        <v>45.6</v>
      </c>
      <c r="AX331">
        <v>42.77</v>
      </c>
      <c r="AY331">
        <v>10</v>
      </c>
    </row>
    <row r="332" spans="1:51" x14ac:dyDescent="0.3">
      <c r="A332" t="s">
        <v>678</v>
      </c>
      <c r="B332" t="s">
        <v>385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10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45</v>
      </c>
      <c r="AH332">
        <v>45</v>
      </c>
      <c r="AI332">
        <v>45</v>
      </c>
      <c r="AJ332">
        <v>29.59</v>
      </c>
      <c r="AK332">
        <v>10</v>
      </c>
      <c r="AL332">
        <v>10</v>
      </c>
      <c r="AM332">
        <v>10</v>
      </c>
      <c r="AN332">
        <v>45</v>
      </c>
      <c r="AO332">
        <v>45.09</v>
      </c>
      <c r="AP332">
        <v>45</v>
      </c>
      <c r="AQ332">
        <v>45</v>
      </c>
      <c r="AR332">
        <v>45</v>
      </c>
      <c r="AS332">
        <v>45</v>
      </c>
      <c r="AT332">
        <v>45</v>
      </c>
      <c r="AU332">
        <v>25.72</v>
      </c>
      <c r="AV332">
        <v>10</v>
      </c>
      <c r="AW332">
        <v>10</v>
      </c>
      <c r="AX332">
        <v>10</v>
      </c>
      <c r="AY332">
        <v>10</v>
      </c>
    </row>
    <row r="333" spans="1:51" x14ac:dyDescent="0.3">
      <c r="A333" t="s">
        <v>678</v>
      </c>
      <c r="B333" t="s">
        <v>386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45.25</v>
      </c>
      <c r="Z333">
        <v>45.6</v>
      </c>
      <c r="AA333">
        <v>10</v>
      </c>
      <c r="AB333">
        <v>10</v>
      </c>
      <c r="AC333">
        <v>10</v>
      </c>
      <c r="AD333">
        <v>28.83</v>
      </c>
      <c r="AE333">
        <v>44.28</v>
      </c>
      <c r="AF333">
        <v>45.6</v>
      </c>
      <c r="AG333">
        <v>45</v>
      </c>
      <c r="AH333">
        <v>45</v>
      </c>
      <c r="AI333">
        <v>45</v>
      </c>
      <c r="AJ333">
        <v>45</v>
      </c>
      <c r="AK333">
        <v>45.6</v>
      </c>
      <c r="AL333">
        <v>10</v>
      </c>
      <c r="AM333">
        <v>10</v>
      </c>
      <c r="AN333">
        <v>45</v>
      </c>
      <c r="AO333">
        <v>45.6</v>
      </c>
      <c r="AP333">
        <v>45</v>
      </c>
      <c r="AQ333">
        <v>45</v>
      </c>
      <c r="AR333">
        <v>39.4</v>
      </c>
      <c r="AS333">
        <v>45</v>
      </c>
      <c r="AT333">
        <v>45</v>
      </c>
      <c r="AU333">
        <v>45</v>
      </c>
      <c r="AV333">
        <v>10</v>
      </c>
      <c r="AW333">
        <v>45.07</v>
      </c>
      <c r="AX333">
        <v>10</v>
      </c>
      <c r="AY333">
        <v>10</v>
      </c>
    </row>
    <row r="334" spans="1:51" x14ac:dyDescent="0.3">
      <c r="A334" t="s">
        <v>678</v>
      </c>
      <c r="B334" t="s">
        <v>387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10</v>
      </c>
      <c r="J334">
        <v>10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31.38</v>
      </c>
      <c r="Y334">
        <v>10</v>
      </c>
      <c r="Z334">
        <v>10</v>
      </c>
      <c r="AA334">
        <v>10</v>
      </c>
      <c r="AB334">
        <v>10</v>
      </c>
      <c r="AC334">
        <v>10</v>
      </c>
      <c r="AD334">
        <v>10</v>
      </c>
      <c r="AE334">
        <v>45</v>
      </c>
      <c r="AF334">
        <v>45.6</v>
      </c>
      <c r="AG334">
        <v>35.799999999999997</v>
      </c>
      <c r="AH334">
        <v>34.68</v>
      </c>
      <c r="AI334">
        <v>33.17</v>
      </c>
      <c r="AJ334">
        <v>45</v>
      </c>
      <c r="AK334">
        <v>45.6</v>
      </c>
      <c r="AL334">
        <v>37.08</v>
      </c>
      <c r="AM334">
        <v>28.92</v>
      </c>
      <c r="AN334">
        <v>45</v>
      </c>
      <c r="AO334">
        <v>45.6</v>
      </c>
      <c r="AP334">
        <v>45</v>
      </c>
      <c r="AQ334">
        <v>45</v>
      </c>
      <c r="AR334">
        <v>45</v>
      </c>
      <c r="AS334">
        <v>39.4</v>
      </c>
      <c r="AT334">
        <v>45</v>
      </c>
      <c r="AU334">
        <v>45</v>
      </c>
      <c r="AV334">
        <v>10</v>
      </c>
      <c r="AW334">
        <v>10</v>
      </c>
      <c r="AX334">
        <v>10</v>
      </c>
      <c r="AY334">
        <v>10</v>
      </c>
    </row>
    <row r="335" spans="1:51" x14ac:dyDescent="0.3">
      <c r="A335" t="s">
        <v>678</v>
      </c>
      <c r="B335" t="s">
        <v>388</v>
      </c>
      <c r="C335">
        <v>125</v>
      </c>
      <c r="D335">
        <v>83.2</v>
      </c>
      <c r="E335">
        <v>62.4</v>
      </c>
      <c r="F335">
        <v>62</v>
      </c>
      <c r="G335">
        <v>78.099999999999994</v>
      </c>
      <c r="H335">
        <v>86.65</v>
      </c>
      <c r="I335">
        <v>80.02</v>
      </c>
      <c r="J335">
        <v>73.94</v>
      </c>
      <c r="K335">
        <v>73.94</v>
      </c>
      <c r="L335">
        <v>73.94</v>
      </c>
      <c r="M335">
        <v>73.94</v>
      </c>
      <c r="N335">
        <v>73.94</v>
      </c>
      <c r="O335">
        <v>73.94</v>
      </c>
      <c r="P335">
        <v>73.94</v>
      </c>
      <c r="Q335">
        <v>103.75</v>
      </c>
      <c r="R335">
        <v>125</v>
      </c>
      <c r="S335">
        <v>125</v>
      </c>
      <c r="T335">
        <v>125</v>
      </c>
      <c r="U335">
        <v>125</v>
      </c>
      <c r="V335">
        <v>125</v>
      </c>
      <c r="W335">
        <v>125</v>
      </c>
      <c r="X335">
        <v>125</v>
      </c>
      <c r="Y335">
        <v>125</v>
      </c>
      <c r="Z335">
        <v>125</v>
      </c>
      <c r="AA335">
        <v>125</v>
      </c>
      <c r="AB335">
        <v>125</v>
      </c>
      <c r="AC335">
        <v>125</v>
      </c>
      <c r="AD335">
        <v>125</v>
      </c>
      <c r="AE335">
        <v>125</v>
      </c>
      <c r="AF335">
        <v>125</v>
      </c>
      <c r="AG335">
        <v>125</v>
      </c>
      <c r="AH335">
        <v>125</v>
      </c>
      <c r="AI335">
        <v>125</v>
      </c>
      <c r="AJ335">
        <v>125</v>
      </c>
      <c r="AK335">
        <v>125</v>
      </c>
      <c r="AL335">
        <v>125</v>
      </c>
      <c r="AM335">
        <v>125</v>
      </c>
      <c r="AN335">
        <v>125</v>
      </c>
      <c r="AO335">
        <v>125</v>
      </c>
      <c r="AP335">
        <v>125</v>
      </c>
      <c r="AQ335">
        <v>125</v>
      </c>
      <c r="AR335">
        <v>125</v>
      </c>
      <c r="AS335">
        <v>125</v>
      </c>
      <c r="AT335">
        <v>125</v>
      </c>
      <c r="AU335">
        <v>125</v>
      </c>
      <c r="AV335">
        <v>125</v>
      </c>
      <c r="AW335">
        <v>125</v>
      </c>
      <c r="AX335">
        <v>125</v>
      </c>
      <c r="AY335">
        <v>125</v>
      </c>
    </row>
    <row r="336" spans="1:51" x14ac:dyDescent="0.3">
      <c r="A336" t="s">
        <v>678</v>
      </c>
      <c r="B336" t="s">
        <v>389</v>
      </c>
      <c r="C336">
        <v>125</v>
      </c>
      <c r="D336">
        <v>125</v>
      </c>
      <c r="E336">
        <v>125</v>
      </c>
      <c r="F336">
        <v>101</v>
      </c>
      <c r="G336">
        <v>103.75</v>
      </c>
      <c r="H336">
        <v>83.75</v>
      </c>
      <c r="I336">
        <v>83.75</v>
      </c>
      <c r="J336">
        <v>83.75</v>
      </c>
      <c r="K336">
        <v>72.94</v>
      </c>
      <c r="L336">
        <v>72.94</v>
      </c>
      <c r="M336">
        <v>72.94</v>
      </c>
      <c r="N336">
        <v>72.94</v>
      </c>
      <c r="O336">
        <v>87.5</v>
      </c>
      <c r="P336">
        <v>95.5</v>
      </c>
      <c r="Q336">
        <v>103.75</v>
      </c>
      <c r="R336">
        <v>125</v>
      </c>
      <c r="S336">
        <v>125</v>
      </c>
      <c r="T336">
        <v>125</v>
      </c>
      <c r="U336">
        <v>125</v>
      </c>
      <c r="V336">
        <v>125</v>
      </c>
      <c r="W336">
        <v>125</v>
      </c>
      <c r="X336">
        <v>125</v>
      </c>
      <c r="Y336">
        <v>125</v>
      </c>
      <c r="Z336">
        <v>125</v>
      </c>
      <c r="AA336">
        <v>125</v>
      </c>
      <c r="AB336">
        <v>125</v>
      </c>
      <c r="AC336">
        <v>125</v>
      </c>
      <c r="AD336">
        <v>125</v>
      </c>
      <c r="AE336">
        <v>125</v>
      </c>
      <c r="AF336">
        <v>125</v>
      </c>
      <c r="AG336">
        <v>125</v>
      </c>
      <c r="AH336">
        <v>125</v>
      </c>
      <c r="AI336">
        <v>125</v>
      </c>
      <c r="AJ336">
        <v>125</v>
      </c>
      <c r="AK336">
        <v>125</v>
      </c>
      <c r="AL336">
        <v>125</v>
      </c>
      <c r="AM336">
        <v>125</v>
      </c>
      <c r="AN336">
        <v>125</v>
      </c>
      <c r="AO336">
        <v>125</v>
      </c>
      <c r="AP336">
        <v>125</v>
      </c>
      <c r="AQ336">
        <v>125</v>
      </c>
      <c r="AR336">
        <v>125</v>
      </c>
      <c r="AS336">
        <v>125</v>
      </c>
      <c r="AT336">
        <v>125</v>
      </c>
      <c r="AU336">
        <v>125</v>
      </c>
      <c r="AV336">
        <v>125</v>
      </c>
      <c r="AW336">
        <v>125</v>
      </c>
      <c r="AX336">
        <v>125</v>
      </c>
      <c r="AY336">
        <v>125</v>
      </c>
    </row>
    <row r="337" spans="1:51" x14ac:dyDescent="0.3">
      <c r="A337" t="s">
        <v>678</v>
      </c>
      <c r="B337" t="s">
        <v>390</v>
      </c>
      <c r="C337">
        <v>130</v>
      </c>
      <c r="D337">
        <v>130</v>
      </c>
      <c r="E337">
        <v>130</v>
      </c>
      <c r="F337">
        <v>130</v>
      </c>
      <c r="G337">
        <v>90.4</v>
      </c>
      <c r="H337">
        <v>87</v>
      </c>
      <c r="I337">
        <v>87</v>
      </c>
      <c r="J337">
        <v>87</v>
      </c>
      <c r="K337">
        <v>87</v>
      </c>
      <c r="L337">
        <v>85.8</v>
      </c>
      <c r="M337">
        <v>97.4</v>
      </c>
      <c r="N337">
        <v>126.3</v>
      </c>
      <c r="O337">
        <v>130</v>
      </c>
      <c r="P337">
        <v>130</v>
      </c>
      <c r="Q337">
        <v>103</v>
      </c>
      <c r="R337">
        <v>99</v>
      </c>
      <c r="S337">
        <v>102.5</v>
      </c>
      <c r="T337">
        <v>130</v>
      </c>
      <c r="U337">
        <v>130</v>
      </c>
      <c r="V337">
        <v>130</v>
      </c>
      <c r="W337">
        <v>130</v>
      </c>
      <c r="X337">
        <v>130</v>
      </c>
      <c r="Y337">
        <v>130</v>
      </c>
      <c r="Z337">
        <v>130</v>
      </c>
      <c r="AA337">
        <v>130</v>
      </c>
      <c r="AB337">
        <v>130</v>
      </c>
      <c r="AC337">
        <v>130</v>
      </c>
      <c r="AD337">
        <v>130</v>
      </c>
      <c r="AE337">
        <v>130</v>
      </c>
      <c r="AF337">
        <v>130</v>
      </c>
      <c r="AG337">
        <v>130</v>
      </c>
      <c r="AH337">
        <v>130</v>
      </c>
      <c r="AI337">
        <v>130</v>
      </c>
      <c r="AJ337">
        <v>130</v>
      </c>
      <c r="AK337">
        <v>130</v>
      </c>
      <c r="AL337">
        <v>130</v>
      </c>
      <c r="AM337">
        <v>130</v>
      </c>
      <c r="AN337">
        <v>130</v>
      </c>
      <c r="AO337">
        <v>130</v>
      </c>
      <c r="AP337">
        <v>130</v>
      </c>
      <c r="AQ337">
        <v>130</v>
      </c>
      <c r="AR337">
        <v>130</v>
      </c>
      <c r="AS337">
        <v>130</v>
      </c>
      <c r="AT337">
        <v>130</v>
      </c>
      <c r="AU337">
        <v>130</v>
      </c>
      <c r="AV337">
        <v>130</v>
      </c>
      <c r="AW337">
        <v>130</v>
      </c>
      <c r="AX337">
        <v>130</v>
      </c>
      <c r="AY337">
        <v>130</v>
      </c>
    </row>
    <row r="338" spans="1:51" x14ac:dyDescent="0.3">
      <c r="A338" t="s">
        <v>678</v>
      </c>
      <c r="B338" t="s">
        <v>391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60</v>
      </c>
      <c r="W338">
        <v>60</v>
      </c>
      <c r="X338">
        <v>60</v>
      </c>
      <c r="Y338">
        <v>60</v>
      </c>
      <c r="Z338">
        <v>60</v>
      </c>
      <c r="AA338">
        <v>60</v>
      </c>
      <c r="AB338">
        <v>60</v>
      </c>
      <c r="AC338">
        <v>60</v>
      </c>
      <c r="AD338">
        <v>60</v>
      </c>
      <c r="AE338">
        <v>60</v>
      </c>
      <c r="AF338">
        <v>60</v>
      </c>
      <c r="AG338">
        <v>60</v>
      </c>
      <c r="AH338">
        <v>60</v>
      </c>
      <c r="AI338">
        <v>60</v>
      </c>
      <c r="AJ338">
        <v>60</v>
      </c>
      <c r="AK338">
        <v>60</v>
      </c>
      <c r="AL338">
        <v>20</v>
      </c>
      <c r="AM338">
        <v>20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3">
      <c r="A339" t="s">
        <v>678</v>
      </c>
      <c r="B339" t="s">
        <v>392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3">
      <c r="A340" t="s">
        <v>678</v>
      </c>
      <c r="B340" t="s">
        <v>393</v>
      </c>
      <c r="C340">
        <v>22.2</v>
      </c>
    </row>
    <row r="341" spans="1:51" x14ac:dyDescent="0.3">
      <c r="A341" t="s">
        <v>678</v>
      </c>
      <c r="B341" t="s">
        <v>394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40.5</v>
      </c>
      <c r="U341">
        <v>50</v>
      </c>
      <c r="V341">
        <v>50</v>
      </c>
      <c r="W341">
        <v>50</v>
      </c>
      <c r="X341">
        <v>50</v>
      </c>
      <c r="Y341">
        <v>50</v>
      </c>
      <c r="Z341">
        <v>50</v>
      </c>
      <c r="AA341">
        <v>50</v>
      </c>
      <c r="AB341">
        <v>50</v>
      </c>
      <c r="AC341">
        <v>50</v>
      </c>
      <c r="AD341">
        <v>50</v>
      </c>
      <c r="AE341">
        <v>50</v>
      </c>
      <c r="AF341">
        <v>50</v>
      </c>
      <c r="AG341">
        <v>50</v>
      </c>
      <c r="AH341">
        <v>50</v>
      </c>
      <c r="AI341">
        <v>50</v>
      </c>
      <c r="AJ341">
        <v>50</v>
      </c>
      <c r="AK341">
        <v>50</v>
      </c>
      <c r="AL341">
        <v>42</v>
      </c>
      <c r="AM341">
        <v>42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 x14ac:dyDescent="0.3">
      <c r="A342" t="s">
        <v>678</v>
      </c>
      <c r="B342" t="s">
        <v>395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3">
      <c r="A343" t="s">
        <v>678</v>
      </c>
      <c r="B343" t="s">
        <v>397</v>
      </c>
      <c r="D343">
        <v>28368.43</v>
      </c>
      <c r="E343">
        <v>27884.1</v>
      </c>
      <c r="F343">
        <v>27627.03</v>
      </c>
      <c r="G343">
        <v>27346.95</v>
      </c>
      <c r="H343">
        <v>27144.65</v>
      </c>
      <c r="I343">
        <v>26935.759999999998</v>
      </c>
      <c r="J343">
        <v>26806.25</v>
      </c>
      <c r="K343">
        <v>26975.13</v>
      </c>
      <c r="L343">
        <v>27428.13</v>
      </c>
      <c r="M343">
        <v>28071.22</v>
      </c>
      <c r="N343">
        <v>28806.11</v>
      </c>
      <c r="O343">
        <v>28357.85</v>
      </c>
      <c r="P343">
        <v>27872.22</v>
      </c>
      <c r="Q343">
        <v>27984.799999999999</v>
      </c>
      <c r="R343">
        <v>29081.21</v>
      </c>
      <c r="S343">
        <v>30172.79</v>
      </c>
      <c r="T343">
        <v>30794.42</v>
      </c>
      <c r="U343">
        <v>31781.8</v>
      </c>
      <c r="V343">
        <v>32211.34</v>
      </c>
      <c r="W343">
        <v>32575.63</v>
      </c>
      <c r="X343">
        <v>32947.040000000001</v>
      </c>
      <c r="Y343">
        <v>32989.9</v>
      </c>
      <c r="Z343">
        <v>32610.080000000002</v>
      </c>
      <c r="AA343">
        <v>31821.85</v>
      </c>
      <c r="AB343">
        <v>31714.15</v>
      </c>
      <c r="AC343">
        <v>32621.49</v>
      </c>
      <c r="AD343">
        <v>33774.11</v>
      </c>
      <c r="AE343">
        <v>33879.919999999998</v>
      </c>
      <c r="AF343">
        <v>33971.93</v>
      </c>
      <c r="AG343">
        <v>33946.69</v>
      </c>
      <c r="AH343">
        <v>33924.35</v>
      </c>
      <c r="AI343">
        <v>33529.120000000003</v>
      </c>
      <c r="AJ343">
        <v>33277.24</v>
      </c>
      <c r="AK343">
        <v>33099.620000000003</v>
      </c>
      <c r="AL343">
        <v>33717.5</v>
      </c>
      <c r="AM343">
        <v>34745.06</v>
      </c>
      <c r="AN343">
        <v>34532.86</v>
      </c>
      <c r="AO343">
        <v>34184.089999999997</v>
      </c>
      <c r="AP343">
        <v>33995.620000000003</v>
      </c>
      <c r="AQ343">
        <v>33705.07</v>
      </c>
      <c r="AR343">
        <v>33397.83</v>
      </c>
      <c r="AS343">
        <v>32958.99</v>
      </c>
      <c r="AT343">
        <v>32256.35</v>
      </c>
      <c r="AU343">
        <v>31552.720000000001</v>
      </c>
      <c r="AV343">
        <v>30918.09</v>
      </c>
      <c r="AW343">
        <v>30225.040000000001</v>
      </c>
      <c r="AX343">
        <v>29718.77</v>
      </c>
      <c r="AY343">
        <v>29177.72</v>
      </c>
    </row>
    <row r="344" spans="1:51" x14ac:dyDescent="0.3">
      <c r="A344" t="s">
        <v>679</v>
      </c>
      <c r="B344" t="s">
        <v>399</v>
      </c>
      <c r="D344">
        <v>3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3">
      <c r="A345" t="s">
        <v>679</v>
      </c>
      <c r="B345" t="s">
        <v>402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3">
      <c r="A346" t="s">
        <v>679</v>
      </c>
      <c r="B346" t="s">
        <v>255</v>
      </c>
      <c r="C346">
        <v>371.5</v>
      </c>
      <c r="D346">
        <v>262</v>
      </c>
      <c r="E346">
        <v>272</v>
      </c>
      <c r="F346">
        <v>259</v>
      </c>
      <c r="G346">
        <v>252</v>
      </c>
      <c r="H346">
        <v>247</v>
      </c>
      <c r="I346">
        <v>258</v>
      </c>
      <c r="J346">
        <v>252</v>
      </c>
      <c r="K346">
        <v>257</v>
      </c>
      <c r="L346">
        <v>257</v>
      </c>
      <c r="M346">
        <v>262</v>
      </c>
      <c r="N346">
        <v>248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 x14ac:dyDescent="0.3">
      <c r="A347" t="s">
        <v>679</v>
      </c>
      <c r="B347" t="s">
        <v>256</v>
      </c>
      <c r="C347">
        <v>371.5</v>
      </c>
      <c r="D347">
        <v>265</v>
      </c>
      <c r="E347">
        <v>253</v>
      </c>
      <c r="F347">
        <v>249</v>
      </c>
      <c r="G347">
        <v>251</v>
      </c>
      <c r="H347">
        <v>250</v>
      </c>
      <c r="I347">
        <v>253</v>
      </c>
      <c r="J347">
        <v>251</v>
      </c>
      <c r="K347">
        <v>256</v>
      </c>
      <c r="L347">
        <v>258</v>
      </c>
      <c r="M347">
        <v>257</v>
      </c>
      <c r="N347">
        <v>252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3">
      <c r="A348" t="s">
        <v>679</v>
      </c>
      <c r="B348" t="s">
        <v>257</v>
      </c>
      <c r="C348">
        <v>371.5</v>
      </c>
      <c r="D348">
        <v>256</v>
      </c>
      <c r="E348">
        <v>251</v>
      </c>
      <c r="F348">
        <v>270</v>
      </c>
      <c r="G348">
        <v>267</v>
      </c>
      <c r="H348">
        <v>222</v>
      </c>
      <c r="I348">
        <v>258</v>
      </c>
      <c r="J348">
        <v>266</v>
      </c>
      <c r="K348">
        <v>262</v>
      </c>
      <c r="L348">
        <v>254</v>
      </c>
      <c r="M348">
        <v>249</v>
      </c>
      <c r="N348">
        <v>262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3">
      <c r="A349" t="s">
        <v>679</v>
      </c>
      <c r="B349" t="s">
        <v>258</v>
      </c>
      <c r="C349">
        <v>575.20000000000005</v>
      </c>
      <c r="D349">
        <v>413</v>
      </c>
      <c r="E349">
        <v>404</v>
      </c>
      <c r="F349">
        <v>409</v>
      </c>
      <c r="G349">
        <v>410</v>
      </c>
      <c r="H349">
        <v>409</v>
      </c>
      <c r="I349">
        <v>415</v>
      </c>
      <c r="J349">
        <v>415</v>
      </c>
      <c r="K349">
        <v>418</v>
      </c>
      <c r="L349">
        <v>415</v>
      </c>
      <c r="M349">
        <v>409</v>
      </c>
      <c r="N349">
        <v>408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3">
      <c r="A350" t="s">
        <v>679</v>
      </c>
      <c r="B350" t="s">
        <v>259</v>
      </c>
      <c r="C350">
        <v>575.20000000000005</v>
      </c>
      <c r="D350">
        <v>399</v>
      </c>
      <c r="E350">
        <v>404</v>
      </c>
      <c r="F350">
        <v>394</v>
      </c>
      <c r="G350">
        <v>404</v>
      </c>
      <c r="H350">
        <v>387</v>
      </c>
      <c r="I350">
        <v>402</v>
      </c>
      <c r="J350">
        <v>387</v>
      </c>
      <c r="K350">
        <v>393</v>
      </c>
      <c r="L350">
        <v>390</v>
      </c>
      <c r="M350">
        <v>395</v>
      </c>
      <c r="N350">
        <v>402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 x14ac:dyDescent="0.3">
      <c r="A351" t="s">
        <v>679</v>
      </c>
      <c r="B351" t="s">
        <v>260</v>
      </c>
      <c r="C351">
        <v>575.20000000000005</v>
      </c>
      <c r="D351">
        <v>375</v>
      </c>
      <c r="E351">
        <v>334</v>
      </c>
      <c r="F351">
        <v>333</v>
      </c>
      <c r="G351">
        <v>335</v>
      </c>
      <c r="H351">
        <v>382</v>
      </c>
      <c r="I351">
        <v>421</v>
      </c>
      <c r="J351">
        <v>413</v>
      </c>
      <c r="K351">
        <v>417</v>
      </c>
      <c r="L351">
        <v>414</v>
      </c>
      <c r="M351">
        <v>413</v>
      </c>
      <c r="N351">
        <v>408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3">
      <c r="A352" t="s">
        <v>679</v>
      </c>
      <c r="B352" t="s">
        <v>403</v>
      </c>
      <c r="C352">
        <v>172.5</v>
      </c>
      <c r="D352">
        <v>88</v>
      </c>
      <c r="E352">
        <v>89</v>
      </c>
      <c r="F352">
        <v>88</v>
      </c>
      <c r="G352">
        <v>88</v>
      </c>
      <c r="H352">
        <v>88</v>
      </c>
      <c r="I352">
        <v>88</v>
      </c>
      <c r="J352">
        <v>89</v>
      </c>
      <c r="K352">
        <v>88</v>
      </c>
      <c r="L352">
        <v>88</v>
      </c>
      <c r="M352">
        <v>88</v>
      </c>
      <c r="N352">
        <v>88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3">
      <c r="A353" t="s">
        <v>679</v>
      </c>
      <c r="B353" t="s">
        <v>404</v>
      </c>
      <c r="C353">
        <v>125</v>
      </c>
      <c r="D353">
        <v>84</v>
      </c>
      <c r="E353">
        <v>84</v>
      </c>
      <c r="F353">
        <v>82</v>
      </c>
      <c r="G353">
        <v>81</v>
      </c>
      <c r="H353">
        <v>83</v>
      </c>
      <c r="I353">
        <v>85</v>
      </c>
      <c r="J353">
        <v>82</v>
      </c>
      <c r="K353">
        <v>81</v>
      </c>
      <c r="L353">
        <v>84</v>
      </c>
      <c r="M353">
        <v>83</v>
      </c>
      <c r="N353">
        <v>84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 x14ac:dyDescent="0.3">
      <c r="A354" t="s">
        <v>679</v>
      </c>
      <c r="B354" t="s">
        <v>405</v>
      </c>
      <c r="C354">
        <v>125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3">
      <c r="A355" t="s">
        <v>679</v>
      </c>
      <c r="B355" t="s">
        <v>406</v>
      </c>
      <c r="C355">
        <v>125</v>
      </c>
      <c r="D355">
        <v>81</v>
      </c>
      <c r="E355">
        <v>87</v>
      </c>
      <c r="F355">
        <v>84</v>
      </c>
      <c r="G355">
        <v>84</v>
      </c>
      <c r="H355">
        <v>84</v>
      </c>
      <c r="I355">
        <v>85</v>
      </c>
      <c r="J355">
        <v>85</v>
      </c>
      <c r="K355">
        <v>87</v>
      </c>
      <c r="L355">
        <v>89</v>
      </c>
      <c r="M355">
        <v>87</v>
      </c>
      <c r="N355">
        <v>81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3">
      <c r="A356" t="s">
        <v>679</v>
      </c>
      <c r="B356" t="s">
        <v>407</v>
      </c>
      <c r="C356">
        <v>172.5</v>
      </c>
      <c r="D356">
        <v>40</v>
      </c>
      <c r="E356">
        <v>40</v>
      </c>
      <c r="F356">
        <v>40</v>
      </c>
      <c r="G356">
        <v>40</v>
      </c>
      <c r="H356">
        <v>40</v>
      </c>
      <c r="I356">
        <v>40</v>
      </c>
      <c r="J356">
        <v>40</v>
      </c>
      <c r="K356">
        <v>40</v>
      </c>
      <c r="L356">
        <v>40</v>
      </c>
      <c r="M356">
        <v>40</v>
      </c>
      <c r="N356">
        <v>40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3">
      <c r="A357" t="s">
        <v>679</v>
      </c>
      <c r="B357" t="s">
        <v>408</v>
      </c>
      <c r="C357">
        <v>125</v>
      </c>
      <c r="D357">
        <v>82</v>
      </c>
      <c r="E357">
        <v>85</v>
      </c>
      <c r="F357">
        <v>85</v>
      </c>
      <c r="G357">
        <v>84</v>
      </c>
      <c r="H357">
        <v>84</v>
      </c>
      <c r="I357">
        <v>84</v>
      </c>
      <c r="J357">
        <v>85</v>
      </c>
      <c r="K357">
        <v>84</v>
      </c>
      <c r="L357">
        <v>84</v>
      </c>
      <c r="M357">
        <v>84</v>
      </c>
      <c r="N357">
        <v>85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 x14ac:dyDescent="0.3">
      <c r="A358" t="s">
        <v>679</v>
      </c>
      <c r="B358" t="s">
        <v>409</v>
      </c>
      <c r="C358">
        <v>125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3">
      <c r="A359" t="s">
        <v>679</v>
      </c>
      <c r="B359" t="s">
        <v>410</v>
      </c>
      <c r="C359">
        <v>125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 x14ac:dyDescent="0.3">
      <c r="A360" t="s">
        <v>679</v>
      </c>
      <c r="B360" t="s">
        <v>411</v>
      </c>
      <c r="C360">
        <v>250</v>
      </c>
      <c r="D360">
        <v>251</v>
      </c>
      <c r="E360">
        <v>251</v>
      </c>
      <c r="F360">
        <v>251</v>
      </c>
      <c r="G360">
        <v>251</v>
      </c>
      <c r="H360">
        <v>249</v>
      </c>
      <c r="I360">
        <v>250</v>
      </c>
      <c r="J360">
        <v>250</v>
      </c>
      <c r="K360">
        <v>250</v>
      </c>
      <c r="L360">
        <v>250</v>
      </c>
      <c r="M360">
        <v>250</v>
      </c>
      <c r="N360">
        <v>250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 x14ac:dyDescent="0.3">
      <c r="A361" t="s">
        <v>679</v>
      </c>
      <c r="B361" t="s">
        <v>412</v>
      </c>
      <c r="C361">
        <v>235</v>
      </c>
      <c r="D361">
        <v>233</v>
      </c>
      <c r="E361">
        <v>234</v>
      </c>
      <c r="F361">
        <v>234</v>
      </c>
      <c r="G361">
        <v>234</v>
      </c>
      <c r="H361">
        <v>233</v>
      </c>
      <c r="I361">
        <v>231</v>
      </c>
      <c r="J361">
        <v>234</v>
      </c>
      <c r="K361">
        <v>234</v>
      </c>
      <c r="L361">
        <v>234</v>
      </c>
      <c r="M361">
        <v>235</v>
      </c>
      <c r="N361">
        <v>233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3">
      <c r="A362" t="s">
        <v>679</v>
      </c>
      <c r="B362" t="s">
        <v>413</v>
      </c>
      <c r="C362">
        <v>235</v>
      </c>
      <c r="D362">
        <v>218</v>
      </c>
      <c r="E362">
        <v>219</v>
      </c>
      <c r="F362">
        <v>219</v>
      </c>
      <c r="G362">
        <v>219</v>
      </c>
      <c r="H362">
        <v>218</v>
      </c>
      <c r="I362">
        <v>218</v>
      </c>
      <c r="J362">
        <v>219</v>
      </c>
      <c r="K362">
        <v>219</v>
      </c>
      <c r="L362">
        <v>219</v>
      </c>
      <c r="M362">
        <v>219</v>
      </c>
      <c r="N362">
        <v>219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3">
      <c r="A363" t="s">
        <v>679</v>
      </c>
      <c r="B363" t="s">
        <v>414</v>
      </c>
      <c r="C363">
        <v>293.8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3">
      <c r="A364" t="s">
        <v>679</v>
      </c>
      <c r="B364" t="s">
        <v>415</v>
      </c>
      <c r="C364">
        <v>283.25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3">
      <c r="A365" t="s">
        <v>679</v>
      </c>
      <c r="B365" t="s">
        <v>416</v>
      </c>
      <c r="C365">
        <v>283.25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3">
      <c r="A366" t="s">
        <v>679</v>
      </c>
      <c r="B366" t="s">
        <v>265</v>
      </c>
      <c r="C366">
        <v>56.5</v>
      </c>
      <c r="D366">
        <v>57</v>
      </c>
      <c r="E366">
        <v>57</v>
      </c>
      <c r="F366">
        <v>57</v>
      </c>
      <c r="G366">
        <v>57</v>
      </c>
      <c r="H366">
        <v>57</v>
      </c>
      <c r="I366">
        <v>57</v>
      </c>
      <c r="J366">
        <v>57</v>
      </c>
      <c r="K366">
        <v>57</v>
      </c>
      <c r="L366">
        <v>57</v>
      </c>
      <c r="M366">
        <v>57</v>
      </c>
      <c r="N366">
        <v>57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3">
      <c r="A367" t="s">
        <v>679</v>
      </c>
      <c r="B367" t="s">
        <v>266</v>
      </c>
      <c r="C367">
        <v>56.5</v>
      </c>
      <c r="D367">
        <v>57</v>
      </c>
      <c r="E367">
        <v>57</v>
      </c>
      <c r="F367">
        <v>57</v>
      </c>
      <c r="G367">
        <v>57</v>
      </c>
      <c r="H367">
        <v>57</v>
      </c>
      <c r="I367">
        <v>57</v>
      </c>
      <c r="J367">
        <v>57</v>
      </c>
      <c r="K367">
        <v>57</v>
      </c>
      <c r="L367">
        <v>57</v>
      </c>
      <c r="M367">
        <v>57</v>
      </c>
      <c r="N367">
        <v>57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3">
      <c r="A368" t="s">
        <v>679</v>
      </c>
      <c r="B368" t="s">
        <v>267</v>
      </c>
      <c r="C368">
        <v>57</v>
      </c>
      <c r="D368">
        <v>56</v>
      </c>
      <c r="E368">
        <v>56</v>
      </c>
      <c r="F368">
        <v>56</v>
      </c>
      <c r="G368">
        <v>56</v>
      </c>
      <c r="H368">
        <v>56</v>
      </c>
      <c r="I368">
        <v>56</v>
      </c>
      <c r="J368">
        <v>56</v>
      </c>
      <c r="K368">
        <v>56</v>
      </c>
      <c r="L368">
        <v>56</v>
      </c>
      <c r="M368">
        <v>57</v>
      </c>
      <c r="N368">
        <v>57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3">
      <c r="A369" t="s">
        <v>679</v>
      </c>
      <c r="B369" t="s">
        <v>268</v>
      </c>
      <c r="C369">
        <v>17.02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3">
      <c r="A370" t="s">
        <v>679</v>
      </c>
      <c r="B370" t="s">
        <v>269</v>
      </c>
      <c r="C370">
        <v>17.02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3">
      <c r="A371" t="s">
        <v>679</v>
      </c>
      <c r="B371" t="s">
        <v>270</v>
      </c>
      <c r="C371">
        <v>17.02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3">
      <c r="A372" t="s">
        <v>679</v>
      </c>
      <c r="B372" t="s">
        <v>271</v>
      </c>
      <c r="C372">
        <v>17.02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 x14ac:dyDescent="0.3">
      <c r="A373" t="s">
        <v>679</v>
      </c>
      <c r="B373" t="s">
        <v>272</v>
      </c>
      <c r="C373">
        <v>17.02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">
      <c r="A374" t="s">
        <v>679</v>
      </c>
      <c r="B374" t="s">
        <v>273</v>
      </c>
      <c r="C374">
        <v>17.02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3">
      <c r="A375" t="s">
        <v>679</v>
      </c>
      <c r="B375" t="s">
        <v>417</v>
      </c>
      <c r="C375">
        <v>236</v>
      </c>
      <c r="D375">
        <v>63</v>
      </c>
      <c r="E375">
        <v>63</v>
      </c>
      <c r="F375">
        <v>62</v>
      </c>
      <c r="G375">
        <v>62</v>
      </c>
      <c r="H375">
        <v>62</v>
      </c>
      <c r="I375">
        <v>62</v>
      </c>
      <c r="J375">
        <v>62</v>
      </c>
      <c r="K375">
        <v>62</v>
      </c>
      <c r="L375">
        <v>62</v>
      </c>
      <c r="M375">
        <v>62</v>
      </c>
      <c r="N375">
        <v>63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3">
      <c r="A376" t="s">
        <v>679</v>
      </c>
      <c r="B376" t="s">
        <v>418</v>
      </c>
      <c r="C376">
        <v>212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3">
      <c r="A377" t="s">
        <v>679</v>
      </c>
      <c r="B377" t="s">
        <v>419</v>
      </c>
      <c r="C377">
        <v>212</v>
      </c>
      <c r="D377">
        <v>104</v>
      </c>
      <c r="E377">
        <v>104</v>
      </c>
      <c r="F377">
        <v>103</v>
      </c>
      <c r="G377">
        <v>104</v>
      </c>
      <c r="H377">
        <v>102</v>
      </c>
      <c r="I377">
        <v>105</v>
      </c>
      <c r="J377">
        <v>104</v>
      </c>
      <c r="K377">
        <v>103</v>
      </c>
      <c r="L377">
        <v>103</v>
      </c>
      <c r="M377">
        <v>103</v>
      </c>
      <c r="N377">
        <v>104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 x14ac:dyDescent="0.3">
      <c r="A378" t="s">
        <v>679</v>
      </c>
      <c r="B378" t="s">
        <v>275</v>
      </c>
      <c r="C378">
        <v>280</v>
      </c>
      <c r="D378">
        <v>261</v>
      </c>
      <c r="E378">
        <v>259</v>
      </c>
      <c r="F378">
        <v>244</v>
      </c>
      <c r="G378">
        <v>244</v>
      </c>
      <c r="H378">
        <v>254</v>
      </c>
      <c r="I378">
        <v>255</v>
      </c>
      <c r="J378">
        <v>252</v>
      </c>
      <c r="K378">
        <v>261</v>
      </c>
      <c r="L378">
        <v>257</v>
      </c>
      <c r="M378">
        <v>257</v>
      </c>
      <c r="N378">
        <v>264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3">
      <c r="A379" t="s">
        <v>679</v>
      </c>
      <c r="B379" t="s">
        <v>276</v>
      </c>
      <c r="C379">
        <v>280</v>
      </c>
      <c r="D379">
        <v>252</v>
      </c>
      <c r="E379">
        <v>250</v>
      </c>
      <c r="F379">
        <v>242</v>
      </c>
      <c r="G379">
        <v>251</v>
      </c>
      <c r="H379">
        <v>250</v>
      </c>
      <c r="I379">
        <v>252</v>
      </c>
      <c r="J379">
        <v>254</v>
      </c>
      <c r="K379">
        <v>253</v>
      </c>
      <c r="L379">
        <v>254</v>
      </c>
      <c r="M379">
        <v>254</v>
      </c>
      <c r="N379">
        <v>248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3">
      <c r="A380" t="s">
        <v>679</v>
      </c>
      <c r="B380" t="s">
        <v>83</v>
      </c>
      <c r="C380">
        <v>540</v>
      </c>
      <c r="D380">
        <v>430</v>
      </c>
      <c r="E380">
        <v>432</v>
      </c>
      <c r="F380">
        <v>430</v>
      </c>
      <c r="G380">
        <v>437</v>
      </c>
      <c r="H380">
        <v>433</v>
      </c>
      <c r="I380">
        <v>434</v>
      </c>
      <c r="J380">
        <v>477</v>
      </c>
      <c r="K380">
        <v>478</v>
      </c>
      <c r="L380">
        <v>467</v>
      </c>
      <c r="M380">
        <v>469</v>
      </c>
      <c r="N380">
        <v>468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">
      <c r="A381" t="s">
        <v>679</v>
      </c>
      <c r="B381" t="s">
        <v>80</v>
      </c>
      <c r="C381">
        <v>323</v>
      </c>
      <c r="D381">
        <v>270</v>
      </c>
      <c r="E381">
        <v>262</v>
      </c>
      <c r="F381">
        <v>257</v>
      </c>
      <c r="G381">
        <v>258</v>
      </c>
      <c r="H381">
        <v>256</v>
      </c>
      <c r="I381">
        <v>258</v>
      </c>
      <c r="J381">
        <v>259</v>
      </c>
      <c r="K381">
        <v>257</v>
      </c>
      <c r="L381">
        <v>258</v>
      </c>
      <c r="M381">
        <v>257</v>
      </c>
      <c r="N381">
        <v>258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 x14ac:dyDescent="0.3">
      <c r="A382" t="s">
        <v>679</v>
      </c>
      <c r="B382" t="s">
        <v>81</v>
      </c>
      <c r="C382">
        <v>323</v>
      </c>
      <c r="D382">
        <v>269</v>
      </c>
      <c r="E382">
        <v>258</v>
      </c>
      <c r="F382">
        <v>254</v>
      </c>
      <c r="G382">
        <v>252</v>
      </c>
      <c r="H382">
        <v>252</v>
      </c>
      <c r="I382">
        <v>253</v>
      </c>
      <c r="J382">
        <v>251</v>
      </c>
      <c r="K382">
        <v>251</v>
      </c>
      <c r="L382">
        <v>251</v>
      </c>
      <c r="M382">
        <v>255</v>
      </c>
      <c r="N382">
        <v>256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 x14ac:dyDescent="0.3">
      <c r="A383" t="s">
        <v>679</v>
      </c>
      <c r="B383" t="s">
        <v>82</v>
      </c>
      <c r="C383">
        <v>323</v>
      </c>
      <c r="D383">
        <v>263</v>
      </c>
      <c r="E383">
        <v>255</v>
      </c>
      <c r="F383">
        <v>254</v>
      </c>
      <c r="G383">
        <v>255</v>
      </c>
      <c r="H383">
        <v>255</v>
      </c>
      <c r="I383">
        <v>255</v>
      </c>
      <c r="J383">
        <v>255</v>
      </c>
      <c r="K383">
        <v>255</v>
      </c>
      <c r="L383">
        <v>255</v>
      </c>
      <c r="M383">
        <v>255</v>
      </c>
      <c r="N383">
        <v>255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3">
      <c r="A384" t="s">
        <v>679</v>
      </c>
      <c r="B384" t="s">
        <v>277</v>
      </c>
      <c r="C384">
        <v>280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3">
      <c r="A385" t="s">
        <v>679</v>
      </c>
      <c r="B385" t="s">
        <v>278</v>
      </c>
      <c r="C385">
        <v>280</v>
      </c>
      <c r="D385">
        <v>273</v>
      </c>
      <c r="E385">
        <v>272</v>
      </c>
      <c r="F385">
        <v>271</v>
      </c>
      <c r="G385">
        <v>273</v>
      </c>
      <c r="H385">
        <v>274</v>
      </c>
      <c r="I385">
        <v>272</v>
      </c>
      <c r="J385">
        <v>272</v>
      </c>
      <c r="K385">
        <v>271</v>
      </c>
      <c r="L385">
        <v>271</v>
      </c>
      <c r="M385">
        <v>273</v>
      </c>
      <c r="N385">
        <v>273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3">
      <c r="A386" t="s">
        <v>679</v>
      </c>
      <c r="B386" t="s">
        <v>279</v>
      </c>
      <c r="C386">
        <v>280</v>
      </c>
      <c r="D386">
        <v>265</v>
      </c>
      <c r="E386">
        <v>275</v>
      </c>
      <c r="F386">
        <v>278</v>
      </c>
      <c r="G386">
        <v>278</v>
      </c>
      <c r="H386">
        <v>274</v>
      </c>
      <c r="I386">
        <v>273</v>
      </c>
      <c r="J386">
        <v>275</v>
      </c>
      <c r="K386">
        <v>276</v>
      </c>
      <c r="L386">
        <v>271</v>
      </c>
      <c r="M386">
        <v>275</v>
      </c>
      <c r="N386">
        <v>276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3">
      <c r="A387" t="s">
        <v>679</v>
      </c>
      <c r="B387" t="s">
        <v>280</v>
      </c>
      <c r="C387">
        <v>293</v>
      </c>
      <c r="D387">
        <v>235</v>
      </c>
      <c r="E387">
        <v>223</v>
      </c>
      <c r="F387">
        <v>215</v>
      </c>
      <c r="G387">
        <v>224</v>
      </c>
      <c r="H387">
        <v>224</v>
      </c>
      <c r="I387">
        <v>224</v>
      </c>
      <c r="J387">
        <v>225</v>
      </c>
      <c r="K387">
        <v>225</v>
      </c>
      <c r="L387">
        <v>206</v>
      </c>
      <c r="M387">
        <v>197</v>
      </c>
      <c r="N387">
        <v>197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3">
      <c r="A388" t="s">
        <v>679</v>
      </c>
      <c r="B388" t="s">
        <v>281</v>
      </c>
      <c r="C388">
        <v>371.5</v>
      </c>
      <c r="D388">
        <v>292</v>
      </c>
      <c r="E388">
        <v>289</v>
      </c>
      <c r="F388">
        <v>286</v>
      </c>
      <c r="G388">
        <v>292</v>
      </c>
      <c r="H388">
        <v>285</v>
      </c>
      <c r="I388">
        <v>278</v>
      </c>
      <c r="J388">
        <v>262</v>
      </c>
      <c r="K388">
        <v>250</v>
      </c>
      <c r="L388">
        <v>258</v>
      </c>
      <c r="M388">
        <v>254</v>
      </c>
      <c r="N388">
        <v>264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">
      <c r="A389" t="s">
        <v>679</v>
      </c>
      <c r="B389" t="s">
        <v>283</v>
      </c>
      <c r="C389">
        <v>162</v>
      </c>
      <c r="D389">
        <v>94</v>
      </c>
      <c r="E389">
        <v>95</v>
      </c>
      <c r="F389">
        <v>94</v>
      </c>
      <c r="G389">
        <v>94</v>
      </c>
      <c r="H389">
        <v>94</v>
      </c>
      <c r="I389">
        <v>94</v>
      </c>
      <c r="J389">
        <v>94</v>
      </c>
      <c r="K389">
        <v>94</v>
      </c>
      <c r="L389">
        <v>94</v>
      </c>
      <c r="M389">
        <v>95</v>
      </c>
      <c r="N389">
        <v>94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</row>
    <row r="390" spans="1:51" x14ac:dyDescent="0.3">
      <c r="A390" t="s">
        <v>679</v>
      </c>
      <c r="B390" t="s">
        <v>284</v>
      </c>
      <c r="C390">
        <v>162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 x14ac:dyDescent="0.3">
      <c r="A391" t="s">
        <v>679</v>
      </c>
      <c r="B391" t="s">
        <v>420</v>
      </c>
      <c r="C391">
        <v>124</v>
      </c>
      <c r="D391">
        <v>25</v>
      </c>
      <c r="E391">
        <v>25</v>
      </c>
      <c r="F391">
        <v>25</v>
      </c>
      <c r="G391">
        <v>25</v>
      </c>
      <c r="H391">
        <v>25</v>
      </c>
      <c r="I391">
        <v>25</v>
      </c>
      <c r="J391">
        <v>25</v>
      </c>
      <c r="K391">
        <v>25</v>
      </c>
      <c r="L391">
        <v>25</v>
      </c>
      <c r="M391">
        <v>25</v>
      </c>
      <c r="N391">
        <v>25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 x14ac:dyDescent="0.3">
      <c r="A392" t="s">
        <v>679</v>
      </c>
      <c r="B392" t="s">
        <v>421</v>
      </c>
      <c r="C392">
        <v>90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3">
      <c r="A393" t="s">
        <v>679</v>
      </c>
      <c r="B393" t="s">
        <v>422</v>
      </c>
      <c r="C393">
        <v>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 x14ac:dyDescent="0.3">
      <c r="A394" t="s">
        <v>679</v>
      </c>
      <c r="B394" t="s">
        <v>423</v>
      </c>
      <c r="C394">
        <v>100</v>
      </c>
      <c r="D394">
        <v>94</v>
      </c>
      <c r="E394">
        <v>95</v>
      </c>
      <c r="F394">
        <v>94</v>
      </c>
      <c r="G394">
        <v>94</v>
      </c>
      <c r="H394">
        <v>94</v>
      </c>
      <c r="I394">
        <v>94</v>
      </c>
      <c r="J394">
        <v>94</v>
      </c>
      <c r="K394">
        <v>95</v>
      </c>
      <c r="L394">
        <v>95</v>
      </c>
      <c r="M394">
        <v>96</v>
      </c>
      <c r="N394">
        <v>96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3">
      <c r="A395" t="s">
        <v>679</v>
      </c>
      <c r="B395" t="s">
        <v>424</v>
      </c>
      <c r="C395">
        <v>70</v>
      </c>
      <c r="D395">
        <v>31</v>
      </c>
      <c r="E395">
        <v>33</v>
      </c>
      <c r="F395">
        <v>34</v>
      </c>
      <c r="G395">
        <v>29</v>
      </c>
      <c r="H395">
        <v>31</v>
      </c>
      <c r="I395">
        <v>30</v>
      </c>
      <c r="J395">
        <v>30</v>
      </c>
      <c r="K395">
        <v>30</v>
      </c>
      <c r="L395">
        <v>30</v>
      </c>
      <c r="M395">
        <v>33</v>
      </c>
      <c r="N395">
        <v>34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3">
      <c r="A396" t="s">
        <v>679</v>
      </c>
      <c r="B396" t="s">
        <v>425</v>
      </c>
      <c r="C396">
        <v>235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3">
      <c r="A397" t="s">
        <v>679</v>
      </c>
      <c r="B397" t="s">
        <v>426</v>
      </c>
      <c r="C397">
        <v>235</v>
      </c>
      <c r="D397">
        <v>131</v>
      </c>
      <c r="E397">
        <v>140</v>
      </c>
      <c r="F397">
        <v>155</v>
      </c>
      <c r="G397">
        <v>128</v>
      </c>
      <c r="H397">
        <v>137</v>
      </c>
      <c r="I397">
        <v>131</v>
      </c>
      <c r="J397">
        <v>136</v>
      </c>
      <c r="K397">
        <v>131</v>
      </c>
      <c r="L397">
        <v>131</v>
      </c>
      <c r="M397">
        <v>160</v>
      </c>
      <c r="N397">
        <v>159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 x14ac:dyDescent="0.3">
      <c r="A398" t="s">
        <v>679</v>
      </c>
      <c r="B398" t="s">
        <v>427</v>
      </c>
      <c r="C398">
        <v>70</v>
      </c>
      <c r="D398">
        <v>36</v>
      </c>
      <c r="E398">
        <v>39</v>
      </c>
      <c r="F398">
        <v>39</v>
      </c>
      <c r="G398">
        <v>36</v>
      </c>
      <c r="H398">
        <v>36</v>
      </c>
      <c r="I398">
        <v>35</v>
      </c>
      <c r="J398">
        <v>36</v>
      </c>
      <c r="K398">
        <v>36</v>
      </c>
      <c r="L398">
        <v>37</v>
      </c>
      <c r="M398">
        <v>39</v>
      </c>
      <c r="N398">
        <v>40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3">
      <c r="A399" t="s">
        <v>679</v>
      </c>
      <c r="B399" t="s">
        <v>428</v>
      </c>
      <c r="C399">
        <v>70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3">
      <c r="A400" t="s">
        <v>679</v>
      </c>
      <c r="B400" t="s">
        <v>287</v>
      </c>
      <c r="C400">
        <v>165</v>
      </c>
      <c r="D400">
        <v>124</v>
      </c>
      <c r="E400">
        <v>116</v>
      </c>
      <c r="F400">
        <v>120</v>
      </c>
      <c r="G400">
        <v>109</v>
      </c>
      <c r="H400">
        <v>108</v>
      </c>
      <c r="I400">
        <v>108</v>
      </c>
      <c r="J400">
        <v>109</v>
      </c>
      <c r="K400">
        <v>110</v>
      </c>
      <c r="L400">
        <v>116</v>
      </c>
      <c r="M400">
        <v>120</v>
      </c>
      <c r="N400">
        <v>127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 x14ac:dyDescent="0.3">
      <c r="A401" t="s">
        <v>679</v>
      </c>
      <c r="B401" t="s">
        <v>288</v>
      </c>
      <c r="C401">
        <v>330</v>
      </c>
      <c r="D401">
        <v>196</v>
      </c>
      <c r="E401">
        <v>202</v>
      </c>
      <c r="F401">
        <v>194</v>
      </c>
      <c r="G401">
        <v>161</v>
      </c>
      <c r="H401">
        <v>173</v>
      </c>
      <c r="I401">
        <v>159</v>
      </c>
      <c r="J401">
        <v>171</v>
      </c>
      <c r="K401">
        <v>163</v>
      </c>
      <c r="L401">
        <v>187</v>
      </c>
      <c r="M401">
        <v>179</v>
      </c>
      <c r="N401">
        <v>236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3">
      <c r="A402" t="s">
        <v>679</v>
      </c>
      <c r="B402" t="s">
        <v>429</v>
      </c>
      <c r="C402">
        <v>69.616299999999995</v>
      </c>
      <c r="D402">
        <v>64</v>
      </c>
      <c r="E402">
        <v>64</v>
      </c>
      <c r="F402">
        <v>64</v>
      </c>
      <c r="G402">
        <v>64</v>
      </c>
      <c r="H402">
        <v>64</v>
      </c>
      <c r="I402">
        <v>64</v>
      </c>
      <c r="J402">
        <v>64</v>
      </c>
      <c r="K402">
        <v>64</v>
      </c>
      <c r="L402">
        <v>64</v>
      </c>
      <c r="M402">
        <v>64</v>
      </c>
      <c r="N402">
        <v>64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3">
      <c r="A403" t="s">
        <v>679</v>
      </c>
      <c r="B403" t="s">
        <v>430</v>
      </c>
      <c r="C403">
        <v>69.588210000000004</v>
      </c>
      <c r="D403">
        <v>64</v>
      </c>
      <c r="E403">
        <v>64</v>
      </c>
      <c r="F403">
        <v>64</v>
      </c>
      <c r="G403">
        <v>64</v>
      </c>
      <c r="H403">
        <v>64</v>
      </c>
      <c r="I403">
        <v>64</v>
      </c>
      <c r="J403">
        <v>64</v>
      </c>
      <c r="K403">
        <v>64</v>
      </c>
      <c r="L403">
        <v>64</v>
      </c>
      <c r="M403">
        <v>64</v>
      </c>
      <c r="N403">
        <v>64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3">
      <c r="A404" t="s">
        <v>679</v>
      </c>
      <c r="B404" t="s">
        <v>431</v>
      </c>
      <c r="C404">
        <v>69.563299999999998</v>
      </c>
      <c r="D404">
        <v>62</v>
      </c>
      <c r="E404">
        <v>63</v>
      </c>
      <c r="F404">
        <v>63</v>
      </c>
      <c r="G404">
        <v>62</v>
      </c>
      <c r="H404">
        <v>63</v>
      </c>
      <c r="I404">
        <v>62</v>
      </c>
      <c r="J404">
        <v>63</v>
      </c>
      <c r="K404">
        <v>62</v>
      </c>
      <c r="L404">
        <v>63</v>
      </c>
      <c r="M404">
        <v>63</v>
      </c>
      <c r="N404">
        <v>63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 x14ac:dyDescent="0.3">
      <c r="A405" t="s">
        <v>679</v>
      </c>
      <c r="B405" t="s">
        <v>291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3">
      <c r="A406" t="s">
        <v>679</v>
      </c>
      <c r="B406" t="s">
        <v>31</v>
      </c>
      <c r="C406">
        <v>625</v>
      </c>
      <c r="D406">
        <v>548</v>
      </c>
      <c r="E406">
        <v>551</v>
      </c>
      <c r="F406">
        <v>551</v>
      </c>
      <c r="G406">
        <v>547</v>
      </c>
      <c r="H406">
        <v>547</v>
      </c>
      <c r="I406">
        <v>545</v>
      </c>
      <c r="J406">
        <v>549</v>
      </c>
      <c r="K406">
        <v>568</v>
      </c>
      <c r="L406">
        <v>603</v>
      </c>
      <c r="M406">
        <v>601</v>
      </c>
      <c r="N406">
        <v>604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3">
      <c r="A407" t="s">
        <v>679</v>
      </c>
      <c r="B407" t="s">
        <v>66</v>
      </c>
      <c r="C407">
        <v>991</v>
      </c>
      <c r="D407">
        <v>928</v>
      </c>
      <c r="E407">
        <v>927</v>
      </c>
      <c r="F407">
        <v>927</v>
      </c>
      <c r="G407">
        <v>859</v>
      </c>
      <c r="H407">
        <v>848</v>
      </c>
      <c r="I407">
        <v>858</v>
      </c>
      <c r="J407">
        <v>861</v>
      </c>
      <c r="K407">
        <v>859</v>
      </c>
      <c r="L407">
        <v>865</v>
      </c>
      <c r="M407">
        <v>864</v>
      </c>
      <c r="N407">
        <v>864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3">
      <c r="A408" t="s">
        <v>679</v>
      </c>
      <c r="B408" t="s">
        <v>68</v>
      </c>
      <c r="C408">
        <v>991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3">
      <c r="A409" t="s">
        <v>679</v>
      </c>
      <c r="B409" t="s">
        <v>41</v>
      </c>
      <c r="C409">
        <v>1000</v>
      </c>
      <c r="D409">
        <v>926</v>
      </c>
      <c r="E409">
        <v>927</v>
      </c>
      <c r="F409">
        <v>926</v>
      </c>
      <c r="G409">
        <v>917</v>
      </c>
      <c r="H409">
        <v>826</v>
      </c>
      <c r="I409">
        <v>814</v>
      </c>
      <c r="J409">
        <v>743</v>
      </c>
      <c r="K409">
        <v>738</v>
      </c>
      <c r="L409">
        <v>736</v>
      </c>
      <c r="M409">
        <v>796</v>
      </c>
      <c r="N409">
        <v>797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3">
      <c r="A410" t="s">
        <v>679</v>
      </c>
      <c r="B410" t="s">
        <v>45</v>
      </c>
      <c r="C410">
        <v>1000</v>
      </c>
      <c r="D410">
        <v>925</v>
      </c>
      <c r="E410">
        <v>925</v>
      </c>
      <c r="F410">
        <v>924</v>
      </c>
      <c r="G410">
        <v>908</v>
      </c>
      <c r="H410">
        <v>817</v>
      </c>
      <c r="I410">
        <v>793</v>
      </c>
      <c r="J410">
        <v>734</v>
      </c>
      <c r="K410">
        <v>736</v>
      </c>
      <c r="L410">
        <v>734</v>
      </c>
      <c r="M410">
        <v>793</v>
      </c>
      <c r="N410">
        <v>797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3">
      <c r="A411" t="s">
        <v>679</v>
      </c>
      <c r="B411" t="s">
        <v>292</v>
      </c>
      <c r="C411">
        <v>14.48911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 x14ac:dyDescent="0.3">
      <c r="A412" t="s">
        <v>679</v>
      </c>
      <c r="B412" t="s">
        <v>432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3">
      <c r="A413" t="s">
        <v>679</v>
      </c>
      <c r="B413" t="s">
        <v>433</v>
      </c>
      <c r="D413">
        <v>6</v>
      </c>
      <c r="E413">
        <v>6</v>
      </c>
      <c r="F413">
        <v>6</v>
      </c>
      <c r="G413">
        <v>6</v>
      </c>
      <c r="H413">
        <v>6</v>
      </c>
      <c r="I413">
        <v>6</v>
      </c>
      <c r="J413">
        <v>6</v>
      </c>
      <c r="K413">
        <v>6</v>
      </c>
      <c r="L413">
        <v>6</v>
      </c>
      <c r="M413">
        <v>6</v>
      </c>
      <c r="N413">
        <v>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3">
      <c r="A414" t="s">
        <v>679</v>
      </c>
      <c r="B414" t="s">
        <v>434</v>
      </c>
      <c r="D414">
        <v>3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3">
      <c r="A415" t="s">
        <v>679</v>
      </c>
      <c r="B415" t="s">
        <v>435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 x14ac:dyDescent="0.3">
      <c r="A416" t="s">
        <v>679</v>
      </c>
      <c r="B416" t="s">
        <v>436</v>
      </c>
      <c r="D416">
        <v>6</v>
      </c>
      <c r="E416">
        <v>6</v>
      </c>
      <c r="F416">
        <v>6</v>
      </c>
      <c r="G416">
        <v>6</v>
      </c>
      <c r="H416">
        <v>6</v>
      </c>
      <c r="I416">
        <v>6</v>
      </c>
      <c r="J416">
        <v>6</v>
      </c>
      <c r="K416">
        <v>6</v>
      </c>
      <c r="L416">
        <v>6</v>
      </c>
      <c r="M416">
        <v>6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3">
      <c r="A417" t="s">
        <v>679</v>
      </c>
      <c r="B417" t="s">
        <v>297</v>
      </c>
      <c r="C417">
        <v>174.6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3">
      <c r="A418" t="s">
        <v>679</v>
      </c>
      <c r="B418" t="s">
        <v>298</v>
      </c>
      <c r="C418">
        <v>174.6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 x14ac:dyDescent="0.3">
      <c r="A419" t="s">
        <v>679</v>
      </c>
      <c r="B419" t="s">
        <v>299</v>
      </c>
      <c r="C419">
        <v>174.6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 x14ac:dyDescent="0.3">
      <c r="A420" t="s">
        <v>679</v>
      </c>
      <c r="B420" t="s">
        <v>300</v>
      </c>
      <c r="C420">
        <v>174.6</v>
      </c>
      <c r="D420">
        <v>94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">
      <c r="A421" t="s">
        <v>679</v>
      </c>
      <c r="B421" t="s">
        <v>301</v>
      </c>
      <c r="C421">
        <v>30</v>
      </c>
      <c r="D421">
        <v>30</v>
      </c>
      <c r="E421">
        <v>30</v>
      </c>
      <c r="F421">
        <v>30</v>
      </c>
      <c r="G421">
        <v>30</v>
      </c>
      <c r="H421">
        <v>30</v>
      </c>
      <c r="I421">
        <v>30</v>
      </c>
      <c r="J421">
        <v>30</v>
      </c>
      <c r="K421">
        <v>30</v>
      </c>
      <c r="L421">
        <v>30</v>
      </c>
      <c r="M421">
        <v>30</v>
      </c>
      <c r="N421">
        <v>30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3">
      <c r="A422" t="s">
        <v>679</v>
      </c>
      <c r="B422" t="s">
        <v>302</v>
      </c>
      <c r="C422">
        <v>52.3</v>
      </c>
      <c r="D422">
        <v>52</v>
      </c>
      <c r="E422">
        <v>52</v>
      </c>
      <c r="F422">
        <v>52</v>
      </c>
      <c r="G422">
        <v>52</v>
      </c>
      <c r="H422">
        <v>52</v>
      </c>
      <c r="I422">
        <v>52</v>
      </c>
      <c r="J422">
        <v>52</v>
      </c>
      <c r="K422">
        <v>52</v>
      </c>
      <c r="L422">
        <v>52</v>
      </c>
      <c r="M422">
        <v>52</v>
      </c>
      <c r="N422">
        <v>52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3">
      <c r="A423" t="s">
        <v>679</v>
      </c>
      <c r="B423" t="s">
        <v>303</v>
      </c>
      <c r="C423">
        <v>52.3</v>
      </c>
      <c r="D423">
        <v>53</v>
      </c>
      <c r="E423">
        <v>52</v>
      </c>
      <c r="F423">
        <v>53</v>
      </c>
      <c r="G423">
        <v>53</v>
      </c>
      <c r="H423">
        <v>52</v>
      </c>
      <c r="I423">
        <v>53</v>
      </c>
      <c r="J423">
        <v>53</v>
      </c>
      <c r="K423">
        <v>53</v>
      </c>
      <c r="L423">
        <v>53</v>
      </c>
      <c r="M423">
        <v>53</v>
      </c>
      <c r="N423">
        <v>53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3">
      <c r="A424" t="s">
        <v>679</v>
      </c>
      <c r="B424" t="s">
        <v>304</v>
      </c>
      <c r="C424">
        <v>52</v>
      </c>
      <c r="D424">
        <v>46</v>
      </c>
      <c r="E424">
        <v>46</v>
      </c>
      <c r="F424">
        <v>46</v>
      </c>
      <c r="G424">
        <v>46</v>
      </c>
      <c r="H424">
        <v>45</v>
      </c>
      <c r="I424">
        <v>46</v>
      </c>
      <c r="J424">
        <v>46</v>
      </c>
      <c r="K424">
        <v>45</v>
      </c>
      <c r="L424">
        <v>46</v>
      </c>
      <c r="M424">
        <v>47</v>
      </c>
      <c r="N424">
        <v>47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3">
      <c r="A425" t="s">
        <v>679</v>
      </c>
      <c r="B425" t="s">
        <v>305</v>
      </c>
      <c r="C425">
        <v>55</v>
      </c>
      <c r="D425">
        <v>42</v>
      </c>
      <c r="E425">
        <v>42</v>
      </c>
      <c r="F425">
        <v>42</v>
      </c>
      <c r="G425">
        <v>42</v>
      </c>
      <c r="H425">
        <v>42</v>
      </c>
      <c r="I425">
        <v>42</v>
      </c>
      <c r="J425">
        <v>42</v>
      </c>
      <c r="K425">
        <v>42</v>
      </c>
      <c r="L425">
        <v>42</v>
      </c>
      <c r="M425">
        <v>42</v>
      </c>
      <c r="N425">
        <v>42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3">
      <c r="A426" t="s">
        <v>679</v>
      </c>
      <c r="B426" t="s">
        <v>306</v>
      </c>
      <c r="C426">
        <v>55</v>
      </c>
      <c r="D426">
        <v>42</v>
      </c>
      <c r="E426">
        <v>42</v>
      </c>
      <c r="F426">
        <v>42</v>
      </c>
      <c r="G426">
        <v>42</v>
      </c>
      <c r="H426">
        <v>42</v>
      </c>
      <c r="I426">
        <v>42</v>
      </c>
      <c r="J426">
        <v>42</v>
      </c>
      <c r="K426">
        <v>42</v>
      </c>
      <c r="L426">
        <v>42</v>
      </c>
      <c r="M426">
        <v>42</v>
      </c>
      <c r="N426">
        <v>42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 x14ac:dyDescent="0.3">
      <c r="A427" t="s">
        <v>679</v>
      </c>
      <c r="B427" t="s">
        <v>437</v>
      </c>
      <c r="C427">
        <v>204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3">
      <c r="A428" t="s">
        <v>679</v>
      </c>
      <c r="B428" t="s">
        <v>438</v>
      </c>
      <c r="C428">
        <v>137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3">
      <c r="A429" t="s">
        <v>679</v>
      </c>
      <c r="B429" t="s">
        <v>439</v>
      </c>
      <c r="C429">
        <v>137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 x14ac:dyDescent="0.3">
      <c r="A430" t="s">
        <v>679</v>
      </c>
      <c r="B430" t="s">
        <v>440</v>
      </c>
      <c r="C430">
        <v>137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3">
      <c r="A431" t="s">
        <v>679</v>
      </c>
      <c r="B431" t="s">
        <v>308</v>
      </c>
      <c r="C431">
        <v>144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3">
      <c r="A432" t="s">
        <v>679</v>
      </c>
      <c r="B432" t="s">
        <v>309</v>
      </c>
      <c r="C432">
        <v>137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 x14ac:dyDescent="0.3">
      <c r="A433" t="s">
        <v>679</v>
      </c>
      <c r="B433" t="s">
        <v>310</v>
      </c>
      <c r="C433">
        <v>137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3">
      <c r="A434" t="s">
        <v>679</v>
      </c>
      <c r="B434" t="s">
        <v>311</v>
      </c>
      <c r="C434">
        <v>123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3">
      <c r="A435" t="s">
        <v>679</v>
      </c>
      <c r="B435" t="s">
        <v>312</v>
      </c>
      <c r="C435">
        <v>123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90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 x14ac:dyDescent="0.3">
      <c r="A436" t="s">
        <v>679</v>
      </c>
      <c r="B436" t="s">
        <v>313</v>
      </c>
      <c r="C436">
        <v>123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 x14ac:dyDescent="0.3">
      <c r="A437" t="s">
        <v>679</v>
      </c>
      <c r="B437" t="s">
        <v>314</v>
      </c>
      <c r="C437">
        <v>123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 x14ac:dyDescent="0.3">
      <c r="A438" t="s">
        <v>679</v>
      </c>
      <c r="B438" t="s">
        <v>315</v>
      </c>
      <c r="C438">
        <v>123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3">
      <c r="A439" t="s">
        <v>679</v>
      </c>
      <c r="B439" t="s">
        <v>316</v>
      </c>
      <c r="C439">
        <v>123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3">
      <c r="A440" t="s">
        <v>679</v>
      </c>
      <c r="B440" t="s">
        <v>317</v>
      </c>
      <c r="C440">
        <v>123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 x14ac:dyDescent="0.3">
      <c r="A441" t="s">
        <v>679</v>
      </c>
      <c r="B441" t="s">
        <v>318</v>
      </c>
      <c r="C441">
        <v>123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">
      <c r="A442" t="s">
        <v>679</v>
      </c>
      <c r="B442" t="s">
        <v>319</v>
      </c>
      <c r="C442">
        <v>239.55</v>
      </c>
      <c r="D442">
        <v>48</v>
      </c>
      <c r="E442">
        <v>48</v>
      </c>
      <c r="F442">
        <v>49</v>
      </c>
      <c r="G442">
        <v>48</v>
      </c>
      <c r="H442">
        <v>48</v>
      </c>
      <c r="I442">
        <v>47</v>
      </c>
      <c r="J442">
        <v>47</v>
      </c>
      <c r="K442">
        <v>47</v>
      </c>
      <c r="L442">
        <v>47</v>
      </c>
      <c r="M442">
        <v>47</v>
      </c>
      <c r="N442">
        <v>47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3">
      <c r="A443" t="s">
        <v>679</v>
      </c>
      <c r="B443" t="s">
        <v>320</v>
      </c>
      <c r="C443">
        <v>140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3">
      <c r="A444" t="s">
        <v>679</v>
      </c>
      <c r="B444" t="s">
        <v>321</v>
      </c>
      <c r="C444">
        <v>140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3">
      <c r="A445" t="s">
        <v>679</v>
      </c>
      <c r="B445" t="s">
        <v>322</v>
      </c>
      <c r="C445">
        <v>140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3">
      <c r="A446" t="s">
        <v>679</v>
      </c>
      <c r="B446" t="s">
        <v>323</v>
      </c>
      <c r="C446">
        <v>232.79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3">
      <c r="A447" t="s">
        <v>679</v>
      </c>
      <c r="B447" t="s">
        <v>324</v>
      </c>
      <c r="C447">
        <v>140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3">
      <c r="A448" t="s">
        <v>679</v>
      </c>
      <c r="B448" t="s">
        <v>325</v>
      </c>
      <c r="C448">
        <v>140</v>
      </c>
      <c r="D448">
        <v>100</v>
      </c>
      <c r="E448">
        <v>100</v>
      </c>
      <c r="F448">
        <v>100</v>
      </c>
      <c r="G448">
        <v>100</v>
      </c>
      <c r="H448">
        <v>100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3">
      <c r="A449" t="s">
        <v>679</v>
      </c>
      <c r="B449" t="s">
        <v>326</v>
      </c>
      <c r="C449">
        <v>140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3">
      <c r="A450" t="s">
        <v>679</v>
      </c>
      <c r="B450" t="s">
        <v>327</v>
      </c>
      <c r="C450">
        <v>71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3">
      <c r="A451" t="s">
        <v>679</v>
      </c>
      <c r="B451" t="s">
        <v>328</v>
      </c>
      <c r="C451">
        <v>143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3">
      <c r="A452" t="s">
        <v>679</v>
      </c>
      <c r="B452" t="s">
        <v>89</v>
      </c>
      <c r="C452">
        <v>290</v>
      </c>
      <c r="D452">
        <v>182</v>
      </c>
      <c r="E452">
        <v>183</v>
      </c>
      <c r="F452">
        <v>183</v>
      </c>
      <c r="G452">
        <v>183</v>
      </c>
      <c r="H452">
        <v>181</v>
      </c>
      <c r="I452">
        <v>181</v>
      </c>
      <c r="J452">
        <v>180</v>
      </c>
      <c r="K452">
        <v>180</v>
      </c>
      <c r="L452">
        <v>193</v>
      </c>
      <c r="M452">
        <v>196</v>
      </c>
      <c r="N452">
        <v>194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3">
      <c r="A453" t="s">
        <v>679</v>
      </c>
      <c r="B453" t="s">
        <v>90</v>
      </c>
      <c r="C453">
        <v>290</v>
      </c>
      <c r="D453">
        <v>195</v>
      </c>
      <c r="E453">
        <v>186</v>
      </c>
      <c r="F453">
        <v>186</v>
      </c>
      <c r="G453">
        <v>180</v>
      </c>
      <c r="H453">
        <v>179</v>
      </c>
      <c r="I453">
        <v>174</v>
      </c>
      <c r="J453">
        <v>175</v>
      </c>
      <c r="K453">
        <v>172</v>
      </c>
      <c r="L453">
        <v>185</v>
      </c>
      <c r="M453">
        <v>178</v>
      </c>
      <c r="N453">
        <v>194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3">
      <c r="A454" t="s">
        <v>679</v>
      </c>
      <c r="B454" t="s">
        <v>91</v>
      </c>
      <c r="C454">
        <v>290</v>
      </c>
      <c r="D454">
        <v>184</v>
      </c>
      <c r="E454">
        <v>179</v>
      </c>
      <c r="F454">
        <v>178</v>
      </c>
      <c r="G454">
        <v>177</v>
      </c>
      <c r="H454">
        <v>178</v>
      </c>
      <c r="I454">
        <v>178</v>
      </c>
      <c r="J454">
        <v>179</v>
      </c>
      <c r="K454">
        <v>177</v>
      </c>
      <c r="L454">
        <v>195</v>
      </c>
      <c r="M454">
        <v>198</v>
      </c>
      <c r="N454">
        <v>200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3">
      <c r="A455" t="s">
        <v>679</v>
      </c>
      <c r="B455" t="s">
        <v>441</v>
      </c>
      <c r="C455">
        <v>30</v>
      </c>
      <c r="D455">
        <v>23</v>
      </c>
      <c r="E455">
        <v>23</v>
      </c>
      <c r="F455">
        <v>23</v>
      </c>
      <c r="G455">
        <v>23</v>
      </c>
      <c r="H455">
        <v>23</v>
      </c>
      <c r="I455">
        <v>23</v>
      </c>
      <c r="J455">
        <v>23</v>
      </c>
      <c r="K455">
        <v>23</v>
      </c>
      <c r="L455">
        <v>23</v>
      </c>
      <c r="M455">
        <v>23</v>
      </c>
      <c r="N455">
        <v>23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3">
      <c r="A456" t="s">
        <v>679</v>
      </c>
      <c r="B456" t="s">
        <v>442</v>
      </c>
      <c r="C456">
        <v>30</v>
      </c>
      <c r="D456">
        <v>23</v>
      </c>
      <c r="E456">
        <v>23</v>
      </c>
      <c r="F456">
        <v>23</v>
      </c>
      <c r="G456">
        <v>23</v>
      </c>
      <c r="H456">
        <v>23</v>
      </c>
      <c r="I456">
        <v>23</v>
      </c>
      <c r="J456">
        <v>23</v>
      </c>
      <c r="K456">
        <v>23</v>
      </c>
      <c r="L456">
        <v>23</v>
      </c>
      <c r="M456">
        <v>23</v>
      </c>
      <c r="N456">
        <v>23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3">
      <c r="A457" t="s">
        <v>679</v>
      </c>
      <c r="B457" t="s">
        <v>443</v>
      </c>
      <c r="C457">
        <v>30</v>
      </c>
      <c r="D457">
        <v>23</v>
      </c>
      <c r="E457">
        <v>23</v>
      </c>
      <c r="F457">
        <v>23</v>
      </c>
      <c r="G457">
        <v>23</v>
      </c>
      <c r="H457">
        <v>23</v>
      </c>
      <c r="I457">
        <v>23</v>
      </c>
      <c r="J457">
        <v>23</v>
      </c>
      <c r="K457">
        <v>23</v>
      </c>
      <c r="L457">
        <v>23</v>
      </c>
      <c r="M457">
        <v>23</v>
      </c>
      <c r="N457">
        <v>23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3">
      <c r="A458" t="s">
        <v>679</v>
      </c>
      <c r="B458" t="s">
        <v>444</v>
      </c>
      <c r="C458">
        <v>30</v>
      </c>
      <c r="D458">
        <v>27</v>
      </c>
      <c r="E458">
        <v>27</v>
      </c>
      <c r="F458">
        <v>27</v>
      </c>
      <c r="G458">
        <v>27</v>
      </c>
      <c r="H458">
        <v>27</v>
      </c>
      <c r="I458">
        <v>27</v>
      </c>
      <c r="J458">
        <v>27</v>
      </c>
      <c r="K458">
        <v>27</v>
      </c>
      <c r="L458">
        <v>27</v>
      </c>
      <c r="M458">
        <v>27</v>
      </c>
      <c r="N458">
        <v>27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 x14ac:dyDescent="0.3">
      <c r="A459" t="s">
        <v>679</v>
      </c>
      <c r="B459" t="s">
        <v>445</v>
      </c>
      <c r="C459">
        <v>30</v>
      </c>
      <c r="D459">
        <v>27</v>
      </c>
      <c r="E459">
        <v>27</v>
      </c>
      <c r="F459">
        <v>27</v>
      </c>
      <c r="G459">
        <v>27</v>
      </c>
      <c r="H459">
        <v>27</v>
      </c>
      <c r="I459">
        <v>27</v>
      </c>
      <c r="J459">
        <v>27</v>
      </c>
      <c r="K459">
        <v>27</v>
      </c>
      <c r="L459">
        <v>27</v>
      </c>
      <c r="M459">
        <v>27</v>
      </c>
      <c r="N459">
        <v>27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3">
      <c r="A460" t="s">
        <v>679</v>
      </c>
      <c r="B460" t="s">
        <v>446</v>
      </c>
      <c r="C460">
        <v>30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3">
      <c r="A461" t="s">
        <v>679</v>
      </c>
      <c r="B461" t="s">
        <v>330</v>
      </c>
      <c r="C461">
        <v>91.728700000000003</v>
      </c>
      <c r="D461">
        <v>92</v>
      </c>
      <c r="E461">
        <v>92</v>
      </c>
      <c r="F461">
        <v>92</v>
      </c>
      <c r="G461">
        <v>92</v>
      </c>
      <c r="H461">
        <v>92</v>
      </c>
      <c r="I461">
        <v>92</v>
      </c>
      <c r="J461">
        <v>92</v>
      </c>
      <c r="K461">
        <v>92</v>
      </c>
      <c r="L461">
        <v>92</v>
      </c>
      <c r="M461">
        <v>92</v>
      </c>
      <c r="N461">
        <v>92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3">
      <c r="A462" t="s">
        <v>679</v>
      </c>
      <c r="B462" t="s">
        <v>331</v>
      </c>
      <c r="C462">
        <v>126.78023</v>
      </c>
      <c r="D462">
        <v>127</v>
      </c>
      <c r="E462">
        <v>127</v>
      </c>
      <c r="F462">
        <v>126</v>
      </c>
      <c r="G462">
        <v>127</v>
      </c>
      <c r="H462">
        <v>126</v>
      </c>
      <c r="I462">
        <v>127</v>
      </c>
      <c r="J462">
        <v>127</v>
      </c>
      <c r="K462">
        <v>128</v>
      </c>
      <c r="L462">
        <v>127</v>
      </c>
      <c r="M462">
        <v>127</v>
      </c>
      <c r="N462">
        <v>127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">
      <c r="A463" t="s">
        <v>679</v>
      </c>
      <c r="B463" t="s">
        <v>332</v>
      </c>
      <c r="C463">
        <v>123.36635</v>
      </c>
      <c r="D463">
        <v>109</v>
      </c>
      <c r="E463">
        <v>108</v>
      </c>
      <c r="F463">
        <v>108</v>
      </c>
      <c r="G463">
        <v>108</v>
      </c>
      <c r="H463">
        <v>108</v>
      </c>
      <c r="I463">
        <v>108</v>
      </c>
      <c r="J463">
        <v>108</v>
      </c>
      <c r="K463">
        <v>108</v>
      </c>
      <c r="L463">
        <v>108</v>
      </c>
      <c r="M463">
        <v>108</v>
      </c>
      <c r="N463">
        <v>108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3">
      <c r="A464" t="s">
        <v>679</v>
      </c>
      <c r="B464" t="s">
        <v>333</v>
      </c>
      <c r="C464">
        <v>122.32919</v>
      </c>
      <c r="D464">
        <v>116</v>
      </c>
      <c r="E464">
        <v>116</v>
      </c>
      <c r="F464">
        <v>116</v>
      </c>
      <c r="G464">
        <v>116</v>
      </c>
      <c r="H464">
        <v>116</v>
      </c>
      <c r="I464">
        <v>116</v>
      </c>
      <c r="J464">
        <v>116</v>
      </c>
      <c r="K464">
        <v>116</v>
      </c>
      <c r="L464">
        <v>116</v>
      </c>
      <c r="M464">
        <v>116</v>
      </c>
      <c r="N464">
        <v>116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3">
      <c r="A465" t="s">
        <v>679</v>
      </c>
      <c r="B465" t="s">
        <v>334</v>
      </c>
      <c r="C465">
        <v>150</v>
      </c>
      <c r="D465">
        <v>22</v>
      </c>
      <c r="E465">
        <v>25</v>
      </c>
      <c r="F465">
        <v>28</v>
      </c>
      <c r="G465">
        <v>21</v>
      </c>
      <c r="H465">
        <v>24</v>
      </c>
      <c r="I465">
        <v>21</v>
      </c>
      <c r="J465">
        <v>21</v>
      </c>
      <c r="K465">
        <v>22</v>
      </c>
      <c r="L465">
        <v>23</v>
      </c>
      <c r="M465">
        <v>16</v>
      </c>
      <c r="N465">
        <v>27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3">
      <c r="A466" t="s">
        <v>679</v>
      </c>
      <c r="B466" t="s">
        <v>335</v>
      </c>
      <c r="C466">
        <v>61.273200000000003</v>
      </c>
      <c r="D466">
        <v>60</v>
      </c>
      <c r="E466">
        <v>60</v>
      </c>
      <c r="F466">
        <v>60</v>
      </c>
      <c r="G466">
        <v>60</v>
      </c>
      <c r="H466">
        <v>60</v>
      </c>
      <c r="I466">
        <v>60</v>
      </c>
      <c r="J466">
        <v>60</v>
      </c>
      <c r="K466">
        <v>60</v>
      </c>
      <c r="L466">
        <v>60</v>
      </c>
      <c r="M466">
        <v>60</v>
      </c>
      <c r="N466">
        <v>60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3">
      <c r="A467" t="s">
        <v>679</v>
      </c>
      <c r="B467" t="s">
        <v>336</v>
      </c>
      <c r="C467">
        <v>33</v>
      </c>
      <c r="D467">
        <v>33</v>
      </c>
      <c r="E467">
        <v>33</v>
      </c>
      <c r="F467">
        <v>33</v>
      </c>
      <c r="G467">
        <v>33</v>
      </c>
      <c r="H467">
        <v>33</v>
      </c>
      <c r="I467">
        <v>33</v>
      </c>
      <c r="J467">
        <v>33</v>
      </c>
      <c r="K467">
        <v>33</v>
      </c>
      <c r="L467">
        <v>33</v>
      </c>
      <c r="M467">
        <v>33</v>
      </c>
      <c r="N467">
        <v>33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3">
      <c r="A468" t="s">
        <v>679</v>
      </c>
      <c r="B468" t="s">
        <v>75</v>
      </c>
      <c r="C468">
        <v>660</v>
      </c>
      <c r="D468">
        <v>551</v>
      </c>
      <c r="E468">
        <v>551</v>
      </c>
      <c r="F468">
        <v>550</v>
      </c>
      <c r="G468">
        <v>545</v>
      </c>
      <c r="H468">
        <v>551</v>
      </c>
      <c r="I468">
        <v>545</v>
      </c>
      <c r="J468">
        <v>551</v>
      </c>
      <c r="K468">
        <v>599</v>
      </c>
      <c r="L468">
        <v>644</v>
      </c>
      <c r="M468">
        <v>643</v>
      </c>
      <c r="N468">
        <v>644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3">
      <c r="A469" t="s">
        <v>679</v>
      </c>
      <c r="B469" t="s">
        <v>447</v>
      </c>
      <c r="C469">
        <v>47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 x14ac:dyDescent="0.3">
      <c r="A470" t="s">
        <v>679</v>
      </c>
      <c r="B470" t="s">
        <v>448</v>
      </c>
      <c r="C470">
        <v>35.5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3">
      <c r="A471" t="s">
        <v>679</v>
      </c>
      <c r="B471" t="s">
        <v>449</v>
      </c>
      <c r="C471">
        <v>36.299999999999997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">
      <c r="A472" t="s">
        <v>679</v>
      </c>
      <c r="B472" t="s">
        <v>338</v>
      </c>
      <c r="C472">
        <v>59.57282</v>
      </c>
      <c r="D472">
        <v>57</v>
      </c>
      <c r="E472">
        <v>57</v>
      </c>
      <c r="F472">
        <v>57</v>
      </c>
      <c r="G472">
        <v>57</v>
      </c>
      <c r="H472">
        <v>57</v>
      </c>
      <c r="I472">
        <v>57</v>
      </c>
      <c r="J472">
        <v>57</v>
      </c>
      <c r="K472">
        <v>57</v>
      </c>
      <c r="L472">
        <v>57</v>
      </c>
      <c r="M472">
        <v>57</v>
      </c>
      <c r="N472">
        <v>57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3">
      <c r="A473" t="s">
        <v>679</v>
      </c>
      <c r="B473" t="s">
        <v>339</v>
      </c>
      <c r="C473">
        <v>18.537800000000001</v>
      </c>
      <c r="D473">
        <v>18</v>
      </c>
      <c r="E473">
        <v>17</v>
      </c>
      <c r="F473">
        <v>16</v>
      </c>
      <c r="G473">
        <v>18</v>
      </c>
      <c r="H473">
        <v>17</v>
      </c>
      <c r="I473">
        <v>16</v>
      </c>
      <c r="J473">
        <v>17</v>
      </c>
      <c r="K473">
        <v>17</v>
      </c>
      <c r="L473">
        <v>16</v>
      </c>
      <c r="M473">
        <v>17</v>
      </c>
      <c r="N473">
        <v>16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3">
      <c r="A474" t="s">
        <v>679</v>
      </c>
      <c r="B474" t="s">
        <v>340</v>
      </c>
      <c r="C474">
        <v>46.6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">
      <c r="A475" t="s">
        <v>679</v>
      </c>
      <c r="B475" t="s">
        <v>341</v>
      </c>
      <c r="C475">
        <v>880</v>
      </c>
      <c r="D475">
        <v>572</v>
      </c>
      <c r="E475">
        <v>607</v>
      </c>
      <c r="F475">
        <v>592</v>
      </c>
      <c r="G475">
        <v>544</v>
      </c>
      <c r="H475">
        <v>518</v>
      </c>
      <c r="I475">
        <v>456</v>
      </c>
      <c r="J475">
        <v>452</v>
      </c>
      <c r="K475">
        <v>474</v>
      </c>
      <c r="L475">
        <v>501</v>
      </c>
      <c r="M475">
        <v>602</v>
      </c>
      <c r="N475">
        <v>694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 x14ac:dyDescent="0.3">
      <c r="A476" t="s">
        <v>679</v>
      </c>
      <c r="B476" t="s">
        <v>342</v>
      </c>
      <c r="C476">
        <v>880</v>
      </c>
      <c r="D476">
        <v>539</v>
      </c>
      <c r="E476">
        <v>612</v>
      </c>
      <c r="F476">
        <v>608</v>
      </c>
      <c r="G476">
        <v>522</v>
      </c>
      <c r="H476">
        <v>577</v>
      </c>
      <c r="I476">
        <v>452</v>
      </c>
      <c r="J476">
        <v>504</v>
      </c>
      <c r="K476">
        <v>473</v>
      </c>
      <c r="L476">
        <v>537</v>
      </c>
      <c r="M476">
        <v>594</v>
      </c>
      <c r="N476">
        <v>673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3">
      <c r="A477" t="s">
        <v>679</v>
      </c>
      <c r="B477" t="s">
        <v>74</v>
      </c>
      <c r="C477">
        <v>924</v>
      </c>
      <c r="D477">
        <v>915</v>
      </c>
      <c r="E477">
        <v>908</v>
      </c>
      <c r="F477">
        <v>911</v>
      </c>
      <c r="G477">
        <v>911</v>
      </c>
      <c r="H477">
        <v>854</v>
      </c>
      <c r="I477">
        <v>775</v>
      </c>
      <c r="J477">
        <v>768</v>
      </c>
      <c r="K477">
        <v>764</v>
      </c>
      <c r="L477">
        <v>800</v>
      </c>
      <c r="M477">
        <v>911</v>
      </c>
      <c r="N477">
        <v>914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">
      <c r="A478" t="s">
        <v>679</v>
      </c>
      <c r="B478" t="s">
        <v>343</v>
      </c>
      <c r="C478">
        <v>145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 x14ac:dyDescent="0.3">
      <c r="A479" t="s">
        <v>679</v>
      </c>
      <c r="B479" t="s">
        <v>343</v>
      </c>
      <c r="C479">
        <v>1.0000000000000001E-5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 x14ac:dyDescent="0.3">
      <c r="A480" t="s">
        <v>679</v>
      </c>
      <c r="B480" t="s">
        <v>344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3">
      <c r="A481" t="s">
        <v>679</v>
      </c>
      <c r="B481" t="s">
        <v>450</v>
      </c>
      <c r="D481">
        <v>4</v>
      </c>
      <c r="E481">
        <v>4</v>
      </c>
      <c r="F481">
        <v>4</v>
      </c>
      <c r="G481">
        <v>4</v>
      </c>
      <c r="H481">
        <v>4</v>
      </c>
      <c r="I481">
        <v>4</v>
      </c>
      <c r="J481">
        <v>4</v>
      </c>
      <c r="K481">
        <v>3</v>
      </c>
      <c r="L481">
        <v>4</v>
      </c>
      <c r="M481">
        <v>4</v>
      </c>
      <c r="N481">
        <v>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 x14ac:dyDescent="0.3">
      <c r="A482" t="s">
        <v>679</v>
      </c>
      <c r="B482" t="s">
        <v>451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3">
      <c r="A483" t="s">
        <v>679</v>
      </c>
      <c r="B483" t="s">
        <v>452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 x14ac:dyDescent="0.3">
      <c r="A484" t="s">
        <v>679</v>
      </c>
      <c r="B484" t="s">
        <v>453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3">
      <c r="A485" t="s">
        <v>679</v>
      </c>
      <c r="B485" t="s">
        <v>454</v>
      </c>
      <c r="C485">
        <v>59.8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3">
      <c r="A486" t="s">
        <v>679</v>
      </c>
      <c r="B486" t="s">
        <v>455</v>
      </c>
      <c r="C486">
        <v>59.8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3">
      <c r="A487" t="s">
        <v>679</v>
      </c>
      <c r="B487" t="s">
        <v>456</v>
      </c>
      <c r="C487">
        <v>59.8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3">
      <c r="A488" t="s">
        <v>679</v>
      </c>
      <c r="B488" t="s">
        <v>457</v>
      </c>
      <c r="D488">
        <v>6</v>
      </c>
      <c r="E488">
        <v>6</v>
      </c>
      <c r="F488">
        <v>6</v>
      </c>
      <c r="G488">
        <v>6</v>
      </c>
      <c r="H488">
        <v>6</v>
      </c>
      <c r="I488">
        <v>6</v>
      </c>
      <c r="J488">
        <v>6</v>
      </c>
      <c r="K488">
        <v>6</v>
      </c>
      <c r="L488">
        <v>6</v>
      </c>
      <c r="M488">
        <v>6</v>
      </c>
      <c r="N488">
        <v>6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 x14ac:dyDescent="0.3">
      <c r="A489" t="s">
        <v>679</v>
      </c>
      <c r="B489" t="s">
        <v>458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3">
      <c r="A490" t="s">
        <v>679</v>
      </c>
      <c r="B490" t="s">
        <v>348</v>
      </c>
      <c r="C490">
        <v>110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3">
      <c r="A491" t="s">
        <v>679</v>
      </c>
      <c r="B491" t="s">
        <v>459</v>
      </c>
      <c r="C491">
        <v>126</v>
      </c>
      <c r="D491">
        <v>26</v>
      </c>
      <c r="E491">
        <v>26</v>
      </c>
      <c r="F491">
        <v>30</v>
      </c>
      <c r="G491">
        <v>31</v>
      </c>
      <c r="H491">
        <v>31</v>
      </c>
      <c r="I491">
        <v>30</v>
      </c>
      <c r="J491">
        <v>31</v>
      </c>
      <c r="K491">
        <v>31</v>
      </c>
      <c r="L491">
        <v>31</v>
      </c>
      <c r="M491">
        <v>31</v>
      </c>
      <c r="N491">
        <v>31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3">
      <c r="A492" t="s">
        <v>679</v>
      </c>
      <c r="B492" t="s">
        <v>460</v>
      </c>
      <c r="C492">
        <v>93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 x14ac:dyDescent="0.3">
      <c r="A493" t="s">
        <v>679</v>
      </c>
      <c r="B493" t="s">
        <v>461</v>
      </c>
      <c r="C493">
        <v>93</v>
      </c>
      <c r="D493">
        <v>82</v>
      </c>
      <c r="E493">
        <v>81</v>
      </c>
      <c r="F493">
        <v>92</v>
      </c>
      <c r="G493">
        <v>92</v>
      </c>
      <c r="H493">
        <v>92</v>
      </c>
      <c r="I493">
        <v>92</v>
      </c>
      <c r="J493">
        <v>91</v>
      </c>
      <c r="K493">
        <v>91</v>
      </c>
      <c r="L493">
        <v>91</v>
      </c>
      <c r="M493">
        <v>92</v>
      </c>
      <c r="N493">
        <v>92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 x14ac:dyDescent="0.3">
      <c r="A494" t="s">
        <v>679</v>
      </c>
      <c r="B494" t="s">
        <v>462</v>
      </c>
      <c r="C494">
        <v>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3">
      <c r="A495" t="s">
        <v>679</v>
      </c>
      <c r="B495" t="s">
        <v>463</v>
      </c>
      <c r="C495">
        <v>126</v>
      </c>
      <c r="D495">
        <v>27</v>
      </c>
      <c r="E495">
        <v>67</v>
      </c>
      <c r="F495">
        <v>34</v>
      </c>
      <c r="G495">
        <v>34</v>
      </c>
      <c r="H495">
        <v>34</v>
      </c>
      <c r="I495">
        <v>34</v>
      </c>
      <c r="J495">
        <v>34</v>
      </c>
      <c r="K495">
        <v>34</v>
      </c>
      <c r="L495">
        <v>34</v>
      </c>
      <c r="M495">
        <v>34</v>
      </c>
      <c r="N495">
        <v>34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">
      <c r="A496" t="s">
        <v>679</v>
      </c>
      <c r="B496" t="s">
        <v>464</v>
      </c>
      <c r="C496">
        <v>93</v>
      </c>
      <c r="D496">
        <v>75</v>
      </c>
      <c r="E496">
        <v>60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3">
      <c r="A497" t="s">
        <v>679</v>
      </c>
      <c r="B497" t="s">
        <v>465</v>
      </c>
      <c r="C497">
        <v>93</v>
      </c>
      <c r="D497">
        <v>79</v>
      </c>
      <c r="E497">
        <v>79</v>
      </c>
      <c r="F497">
        <v>92</v>
      </c>
      <c r="G497">
        <v>92</v>
      </c>
      <c r="H497">
        <v>92</v>
      </c>
      <c r="I497">
        <v>92</v>
      </c>
      <c r="J497">
        <v>92</v>
      </c>
      <c r="K497">
        <v>93</v>
      </c>
      <c r="L497">
        <v>92</v>
      </c>
      <c r="M497">
        <v>92</v>
      </c>
      <c r="N497">
        <v>92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 x14ac:dyDescent="0.3">
      <c r="A498" t="s">
        <v>679</v>
      </c>
      <c r="B498" t="s">
        <v>466</v>
      </c>
      <c r="C498">
        <v>93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 x14ac:dyDescent="0.3">
      <c r="A499" t="s">
        <v>679</v>
      </c>
      <c r="B499" t="s">
        <v>351</v>
      </c>
      <c r="C499">
        <v>773.39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3">
      <c r="A500" t="s">
        <v>679</v>
      </c>
      <c r="B500" t="s">
        <v>352</v>
      </c>
      <c r="C500">
        <v>615</v>
      </c>
      <c r="D500">
        <v>459</v>
      </c>
      <c r="E500">
        <v>460</v>
      </c>
      <c r="F500">
        <v>457</v>
      </c>
      <c r="G500">
        <v>460</v>
      </c>
      <c r="H500">
        <v>458</v>
      </c>
      <c r="I500">
        <v>459</v>
      </c>
      <c r="J500">
        <v>459</v>
      </c>
      <c r="K500">
        <v>459</v>
      </c>
      <c r="L500">
        <v>458</v>
      </c>
      <c r="M500">
        <v>459</v>
      </c>
      <c r="N500">
        <v>460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 x14ac:dyDescent="0.3">
      <c r="A501" t="s">
        <v>679</v>
      </c>
      <c r="B501" t="s">
        <v>86</v>
      </c>
      <c r="C501">
        <v>280</v>
      </c>
      <c r="D501">
        <v>251</v>
      </c>
      <c r="E501">
        <v>252</v>
      </c>
      <c r="F501">
        <v>252</v>
      </c>
      <c r="G501">
        <v>250</v>
      </c>
      <c r="H501">
        <v>251</v>
      </c>
      <c r="I501">
        <v>251</v>
      </c>
      <c r="J501">
        <v>252</v>
      </c>
      <c r="K501">
        <v>252</v>
      </c>
      <c r="L501">
        <v>245</v>
      </c>
      <c r="M501">
        <v>243</v>
      </c>
      <c r="N501">
        <v>241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 x14ac:dyDescent="0.3">
      <c r="A502" t="s">
        <v>679</v>
      </c>
      <c r="B502" t="s">
        <v>85</v>
      </c>
      <c r="C502">
        <v>280</v>
      </c>
      <c r="D502">
        <v>253</v>
      </c>
      <c r="E502">
        <v>251</v>
      </c>
      <c r="F502">
        <v>251</v>
      </c>
      <c r="G502">
        <v>252</v>
      </c>
      <c r="H502">
        <v>255</v>
      </c>
      <c r="I502">
        <v>252</v>
      </c>
      <c r="J502">
        <v>252</v>
      </c>
      <c r="K502">
        <v>246</v>
      </c>
      <c r="L502">
        <v>252</v>
      </c>
      <c r="M502">
        <v>246</v>
      </c>
      <c r="N502">
        <v>240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3">
      <c r="A503" t="s">
        <v>679</v>
      </c>
      <c r="B503" t="s">
        <v>353</v>
      </c>
      <c r="C503">
        <v>54.560989999999997</v>
      </c>
      <c r="D503">
        <v>32</v>
      </c>
      <c r="E503">
        <v>32</v>
      </c>
      <c r="F503">
        <v>32</v>
      </c>
      <c r="G503">
        <v>32</v>
      </c>
      <c r="H503">
        <v>32</v>
      </c>
      <c r="I503">
        <v>32</v>
      </c>
      <c r="J503">
        <v>32</v>
      </c>
      <c r="K503">
        <v>32</v>
      </c>
      <c r="L503">
        <v>32</v>
      </c>
      <c r="M503">
        <v>32</v>
      </c>
      <c r="N503">
        <v>32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3">
      <c r="A504" t="s">
        <v>679</v>
      </c>
      <c r="B504" t="s">
        <v>87</v>
      </c>
      <c r="C504">
        <v>281</v>
      </c>
      <c r="D504">
        <v>278</v>
      </c>
      <c r="E504">
        <v>277</v>
      </c>
      <c r="F504">
        <v>277</v>
      </c>
      <c r="G504">
        <v>277</v>
      </c>
      <c r="H504">
        <v>277</v>
      </c>
      <c r="I504">
        <v>249</v>
      </c>
      <c r="J504">
        <v>250</v>
      </c>
      <c r="K504">
        <v>250</v>
      </c>
      <c r="L504">
        <v>257</v>
      </c>
      <c r="M504">
        <v>276</v>
      </c>
      <c r="N504">
        <v>275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3">
      <c r="A505" t="s">
        <v>679</v>
      </c>
      <c r="B505" t="s">
        <v>88</v>
      </c>
      <c r="C505">
        <v>281</v>
      </c>
      <c r="D505">
        <v>277</v>
      </c>
      <c r="E505">
        <v>277</v>
      </c>
      <c r="F505">
        <v>276</v>
      </c>
      <c r="G505">
        <v>276</v>
      </c>
      <c r="H505">
        <v>276</v>
      </c>
      <c r="I505">
        <v>249</v>
      </c>
      <c r="J505">
        <v>249</v>
      </c>
      <c r="K505">
        <v>249</v>
      </c>
      <c r="L505">
        <v>257</v>
      </c>
      <c r="M505">
        <v>275</v>
      </c>
      <c r="N505">
        <v>276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3">
      <c r="A506" t="s">
        <v>679</v>
      </c>
      <c r="B506" t="s">
        <v>65</v>
      </c>
      <c r="C506">
        <v>614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3">
      <c r="A507" t="s">
        <v>679</v>
      </c>
      <c r="B507" t="s">
        <v>25</v>
      </c>
      <c r="C507">
        <v>945</v>
      </c>
      <c r="D507">
        <v>507</v>
      </c>
      <c r="E507">
        <v>504</v>
      </c>
      <c r="F507">
        <v>502</v>
      </c>
      <c r="G507">
        <v>502</v>
      </c>
      <c r="H507">
        <v>511</v>
      </c>
      <c r="I507">
        <v>503</v>
      </c>
      <c r="J507">
        <v>491</v>
      </c>
      <c r="K507">
        <v>495</v>
      </c>
      <c r="L507">
        <v>504</v>
      </c>
      <c r="M507">
        <v>497</v>
      </c>
      <c r="N507">
        <v>494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 x14ac:dyDescent="0.3">
      <c r="A508" t="s">
        <v>679</v>
      </c>
      <c r="B508" t="s">
        <v>38</v>
      </c>
      <c r="C508">
        <v>950</v>
      </c>
      <c r="D508">
        <v>895</v>
      </c>
      <c r="E508">
        <v>896</v>
      </c>
      <c r="F508">
        <v>893</v>
      </c>
      <c r="G508">
        <v>894</v>
      </c>
      <c r="H508">
        <v>886</v>
      </c>
      <c r="I508">
        <v>892</v>
      </c>
      <c r="J508">
        <v>894</v>
      </c>
      <c r="K508">
        <v>893</v>
      </c>
      <c r="L508">
        <v>906</v>
      </c>
      <c r="M508">
        <v>911</v>
      </c>
      <c r="N508">
        <v>911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3">
      <c r="A509" t="s">
        <v>679</v>
      </c>
      <c r="B509" t="s">
        <v>39</v>
      </c>
      <c r="C509">
        <v>950</v>
      </c>
      <c r="D509">
        <v>892</v>
      </c>
      <c r="E509">
        <v>891</v>
      </c>
      <c r="F509">
        <v>889</v>
      </c>
      <c r="G509">
        <v>887</v>
      </c>
      <c r="H509">
        <v>893</v>
      </c>
      <c r="I509">
        <v>887</v>
      </c>
      <c r="J509">
        <v>889</v>
      </c>
      <c r="K509">
        <v>885</v>
      </c>
      <c r="L509">
        <v>907</v>
      </c>
      <c r="M509">
        <v>906</v>
      </c>
      <c r="N509">
        <v>907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3">
      <c r="A510" t="s">
        <v>679</v>
      </c>
      <c r="B510" t="s">
        <v>32</v>
      </c>
      <c r="C510">
        <v>1000</v>
      </c>
      <c r="D510">
        <v>967</v>
      </c>
      <c r="E510">
        <v>978</v>
      </c>
      <c r="F510">
        <v>977</v>
      </c>
      <c r="G510">
        <v>977</v>
      </c>
      <c r="H510">
        <v>977</v>
      </c>
      <c r="I510">
        <v>964</v>
      </c>
      <c r="J510">
        <v>929</v>
      </c>
      <c r="K510">
        <v>934</v>
      </c>
      <c r="L510">
        <v>977</v>
      </c>
      <c r="M510">
        <v>977</v>
      </c>
      <c r="N510">
        <v>980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3">
      <c r="A511" t="s">
        <v>679</v>
      </c>
      <c r="B511" t="s">
        <v>34</v>
      </c>
      <c r="C511">
        <v>1000</v>
      </c>
      <c r="D511">
        <v>972</v>
      </c>
      <c r="E511">
        <v>978</v>
      </c>
      <c r="F511">
        <v>973</v>
      </c>
      <c r="G511">
        <v>972</v>
      </c>
      <c r="H511">
        <v>977</v>
      </c>
      <c r="I511">
        <v>956</v>
      </c>
      <c r="J511">
        <v>930</v>
      </c>
      <c r="K511">
        <v>931</v>
      </c>
      <c r="L511">
        <v>976</v>
      </c>
      <c r="M511">
        <v>974</v>
      </c>
      <c r="N511">
        <v>978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3">
      <c r="A512" t="s">
        <v>679</v>
      </c>
      <c r="B512" t="s">
        <v>52</v>
      </c>
      <c r="C512">
        <v>660.8</v>
      </c>
      <c r="D512">
        <v>553</v>
      </c>
      <c r="E512">
        <v>411</v>
      </c>
      <c r="F512">
        <v>372</v>
      </c>
      <c r="G512">
        <v>374</v>
      </c>
      <c r="H512">
        <v>376</v>
      </c>
      <c r="I512">
        <v>375</v>
      </c>
      <c r="J512">
        <v>376</v>
      </c>
      <c r="K512">
        <v>374</v>
      </c>
      <c r="L512">
        <v>373</v>
      </c>
      <c r="M512">
        <v>377</v>
      </c>
      <c r="N512">
        <v>436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3">
      <c r="A513" t="s">
        <v>679</v>
      </c>
      <c r="B513" t="s">
        <v>53</v>
      </c>
      <c r="C513">
        <v>660.8</v>
      </c>
      <c r="D513">
        <v>646</v>
      </c>
      <c r="E513">
        <v>644</v>
      </c>
      <c r="F513">
        <v>646</v>
      </c>
      <c r="G513">
        <v>645</v>
      </c>
      <c r="H513">
        <v>645</v>
      </c>
      <c r="I513">
        <v>645</v>
      </c>
      <c r="J513">
        <v>647</v>
      </c>
      <c r="K513">
        <v>647</v>
      </c>
      <c r="L513">
        <v>651</v>
      </c>
      <c r="M513">
        <v>647</v>
      </c>
      <c r="N513">
        <v>644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3">
      <c r="A514" t="s">
        <v>679</v>
      </c>
      <c r="B514" t="s">
        <v>28</v>
      </c>
      <c r="C514">
        <v>661.1</v>
      </c>
      <c r="D514">
        <v>643</v>
      </c>
      <c r="E514">
        <v>641</v>
      </c>
      <c r="F514">
        <v>640</v>
      </c>
      <c r="G514">
        <v>640</v>
      </c>
      <c r="H514">
        <v>640</v>
      </c>
      <c r="I514">
        <v>644</v>
      </c>
      <c r="J514">
        <v>644</v>
      </c>
      <c r="K514">
        <v>644</v>
      </c>
      <c r="L514">
        <v>646</v>
      </c>
      <c r="M514">
        <v>638</v>
      </c>
      <c r="N514">
        <v>644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 x14ac:dyDescent="0.3">
      <c r="A515" t="s">
        <v>679</v>
      </c>
      <c r="B515" t="s">
        <v>30</v>
      </c>
      <c r="C515">
        <v>661.1</v>
      </c>
      <c r="D515">
        <v>637</v>
      </c>
      <c r="E515">
        <v>631</v>
      </c>
      <c r="F515">
        <v>637</v>
      </c>
      <c r="G515">
        <v>634</v>
      </c>
      <c r="H515">
        <v>636</v>
      </c>
      <c r="I515">
        <v>639</v>
      </c>
      <c r="J515">
        <v>638</v>
      </c>
      <c r="K515">
        <v>640</v>
      </c>
      <c r="L515">
        <v>640</v>
      </c>
      <c r="M515">
        <v>637</v>
      </c>
      <c r="N515">
        <v>637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3">
      <c r="A516" t="s">
        <v>679</v>
      </c>
      <c r="B516" t="s">
        <v>467</v>
      </c>
      <c r="C516">
        <v>40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3">
      <c r="A517" t="s">
        <v>679</v>
      </c>
      <c r="B517" t="s">
        <v>468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3">
      <c r="A518" t="s">
        <v>679</v>
      </c>
      <c r="B518" t="s">
        <v>469</v>
      </c>
      <c r="C518">
        <v>100.25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3">
      <c r="A519" t="s">
        <v>679</v>
      </c>
      <c r="B519" t="s">
        <v>470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 x14ac:dyDescent="0.3">
      <c r="A520" t="s">
        <v>679</v>
      </c>
      <c r="B520" t="s">
        <v>471</v>
      </c>
      <c r="C520">
        <v>164.86</v>
      </c>
      <c r="D520">
        <v>50</v>
      </c>
      <c r="E520">
        <v>53</v>
      </c>
      <c r="F520">
        <v>54</v>
      </c>
      <c r="G520">
        <v>55</v>
      </c>
      <c r="H520">
        <v>55</v>
      </c>
      <c r="I520">
        <v>54</v>
      </c>
      <c r="J520">
        <v>55</v>
      </c>
      <c r="K520">
        <v>54</v>
      </c>
      <c r="L520">
        <v>54</v>
      </c>
      <c r="M520">
        <v>55</v>
      </c>
      <c r="N520">
        <v>54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 x14ac:dyDescent="0.3">
      <c r="A521" t="s">
        <v>679</v>
      </c>
      <c r="B521" t="s">
        <v>472</v>
      </c>
      <c r="C521">
        <v>100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3">
      <c r="A522" t="s">
        <v>679</v>
      </c>
      <c r="B522" t="s">
        <v>473</v>
      </c>
      <c r="C522">
        <v>100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3">
      <c r="A523" t="s">
        <v>679</v>
      </c>
      <c r="B523" t="s">
        <v>474</v>
      </c>
      <c r="C523">
        <v>100</v>
      </c>
      <c r="D523">
        <v>99</v>
      </c>
      <c r="E523">
        <v>106</v>
      </c>
      <c r="F523">
        <v>106</v>
      </c>
      <c r="G523">
        <v>106</v>
      </c>
      <c r="H523">
        <v>106</v>
      </c>
      <c r="I523">
        <v>106</v>
      </c>
      <c r="J523">
        <v>106</v>
      </c>
      <c r="K523">
        <v>105</v>
      </c>
      <c r="L523">
        <v>106</v>
      </c>
      <c r="M523">
        <v>106</v>
      </c>
      <c r="N523">
        <v>106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 x14ac:dyDescent="0.3">
      <c r="A524" t="s">
        <v>679</v>
      </c>
      <c r="B524" t="s">
        <v>475</v>
      </c>
      <c r="C524">
        <v>165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 x14ac:dyDescent="0.3">
      <c r="A525" t="s">
        <v>679</v>
      </c>
      <c r="B525" t="s">
        <v>476</v>
      </c>
      <c r="C525">
        <v>145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 x14ac:dyDescent="0.3">
      <c r="A526" t="s">
        <v>679</v>
      </c>
      <c r="B526" t="s">
        <v>477</v>
      </c>
      <c r="C526">
        <v>145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 x14ac:dyDescent="0.3">
      <c r="A527" t="s">
        <v>679</v>
      </c>
      <c r="B527" t="s">
        <v>478</v>
      </c>
      <c r="C527">
        <v>34.33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3">
      <c r="A528" t="s">
        <v>679</v>
      </c>
      <c r="B528" t="s">
        <v>479</v>
      </c>
      <c r="C528">
        <v>34.33</v>
      </c>
      <c r="D528">
        <v>31</v>
      </c>
      <c r="E528">
        <v>31</v>
      </c>
      <c r="F528">
        <v>31</v>
      </c>
      <c r="G528">
        <v>31</v>
      </c>
      <c r="H528">
        <v>30</v>
      </c>
      <c r="I528">
        <v>31</v>
      </c>
      <c r="J528">
        <v>31</v>
      </c>
      <c r="K528">
        <v>31</v>
      </c>
      <c r="L528">
        <v>31</v>
      </c>
      <c r="M528">
        <v>31</v>
      </c>
      <c r="N528">
        <v>31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 x14ac:dyDescent="0.3">
      <c r="A529" t="s">
        <v>679</v>
      </c>
      <c r="B529" t="s">
        <v>480</v>
      </c>
      <c r="C529">
        <v>34.33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 x14ac:dyDescent="0.3">
      <c r="A530" t="s">
        <v>679</v>
      </c>
      <c r="B530" t="s">
        <v>481</v>
      </c>
      <c r="C530">
        <v>26.81</v>
      </c>
      <c r="D530">
        <v>11</v>
      </c>
      <c r="E530">
        <v>11</v>
      </c>
      <c r="F530">
        <v>11</v>
      </c>
      <c r="G530">
        <v>11</v>
      </c>
      <c r="H530">
        <v>11</v>
      </c>
      <c r="I530">
        <v>11</v>
      </c>
      <c r="J530">
        <v>11</v>
      </c>
      <c r="K530">
        <v>11</v>
      </c>
      <c r="L530">
        <v>11</v>
      </c>
      <c r="M530">
        <v>10</v>
      </c>
      <c r="N530">
        <v>10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3">
      <c r="A531" t="s">
        <v>679</v>
      </c>
      <c r="B531" t="s">
        <v>482</v>
      </c>
      <c r="C531">
        <v>26.81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3">
      <c r="A532" t="s">
        <v>679</v>
      </c>
      <c r="B532" t="s">
        <v>483</v>
      </c>
      <c r="D532">
        <v>8</v>
      </c>
      <c r="E532">
        <v>8</v>
      </c>
      <c r="F532">
        <v>8</v>
      </c>
      <c r="G532">
        <v>8</v>
      </c>
      <c r="H532">
        <v>8</v>
      </c>
      <c r="I532">
        <v>8</v>
      </c>
      <c r="J532">
        <v>8</v>
      </c>
      <c r="K532">
        <v>8</v>
      </c>
      <c r="L532">
        <v>8</v>
      </c>
      <c r="M532">
        <v>8</v>
      </c>
      <c r="N532">
        <v>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3">
      <c r="A533" t="s">
        <v>679</v>
      </c>
      <c r="B533" t="s">
        <v>484</v>
      </c>
      <c r="D533">
        <v>6</v>
      </c>
      <c r="E533">
        <v>6</v>
      </c>
      <c r="F533">
        <v>6</v>
      </c>
      <c r="G533">
        <v>6</v>
      </c>
      <c r="H533">
        <v>6</v>
      </c>
      <c r="I533">
        <v>6</v>
      </c>
      <c r="J533">
        <v>6</v>
      </c>
      <c r="K533">
        <v>6</v>
      </c>
      <c r="L533">
        <v>6</v>
      </c>
      <c r="M533">
        <v>6</v>
      </c>
      <c r="N533">
        <v>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3">
      <c r="A534" t="s">
        <v>679</v>
      </c>
      <c r="B534" t="s">
        <v>485</v>
      </c>
      <c r="C534">
        <v>4.71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 x14ac:dyDescent="0.3">
      <c r="A535" t="s">
        <v>679</v>
      </c>
      <c r="B535" t="s">
        <v>486</v>
      </c>
      <c r="C535">
        <v>14.23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 x14ac:dyDescent="0.3">
      <c r="A536" t="s">
        <v>679</v>
      </c>
      <c r="B536" t="s">
        <v>487</v>
      </c>
      <c r="C536">
        <v>14.23</v>
      </c>
      <c r="D536">
        <v>8</v>
      </c>
      <c r="E536">
        <v>8</v>
      </c>
      <c r="F536">
        <v>8</v>
      </c>
      <c r="G536">
        <v>8</v>
      </c>
      <c r="H536">
        <v>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">
      <c r="A537" t="s">
        <v>679</v>
      </c>
      <c r="B537" t="s">
        <v>488</v>
      </c>
      <c r="C537">
        <v>17.86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 x14ac:dyDescent="0.3">
      <c r="A538" t="s">
        <v>679</v>
      </c>
      <c r="B538" t="s">
        <v>489</v>
      </c>
      <c r="C538">
        <v>17.86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 x14ac:dyDescent="0.3">
      <c r="A539" t="s">
        <v>679</v>
      </c>
      <c r="B539" t="s">
        <v>362</v>
      </c>
      <c r="C539">
        <v>80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 x14ac:dyDescent="0.3">
      <c r="A540" t="s">
        <v>679</v>
      </c>
      <c r="B540" t="s">
        <v>363</v>
      </c>
      <c r="C540">
        <v>80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 x14ac:dyDescent="0.3">
      <c r="A541" t="s">
        <v>679</v>
      </c>
      <c r="B541" t="s">
        <v>364</v>
      </c>
      <c r="C541">
        <v>166.5</v>
      </c>
      <c r="D541">
        <v>91</v>
      </c>
      <c r="E541">
        <v>91</v>
      </c>
      <c r="F541">
        <v>91</v>
      </c>
      <c r="G541">
        <v>91</v>
      </c>
      <c r="H541">
        <v>91</v>
      </c>
      <c r="I541">
        <v>91</v>
      </c>
      <c r="J541">
        <v>91</v>
      </c>
      <c r="K541">
        <v>91</v>
      </c>
      <c r="L541">
        <v>91</v>
      </c>
      <c r="M541">
        <v>91</v>
      </c>
      <c r="N541">
        <v>91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3">
      <c r="A542" t="s">
        <v>679</v>
      </c>
      <c r="B542" t="s">
        <v>365</v>
      </c>
      <c r="C542">
        <v>166.5</v>
      </c>
      <c r="D542">
        <v>90</v>
      </c>
      <c r="E542">
        <v>90</v>
      </c>
      <c r="F542">
        <v>89</v>
      </c>
      <c r="G542">
        <v>90</v>
      </c>
      <c r="H542">
        <v>90</v>
      </c>
      <c r="I542">
        <v>90</v>
      </c>
      <c r="J542">
        <v>91</v>
      </c>
      <c r="K542">
        <v>90</v>
      </c>
      <c r="L542">
        <v>90</v>
      </c>
      <c r="M542">
        <v>90</v>
      </c>
      <c r="N542">
        <v>90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 x14ac:dyDescent="0.3">
      <c r="A543" t="s">
        <v>679</v>
      </c>
      <c r="B543" t="s">
        <v>54</v>
      </c>
      <c r="C543">
        <v>370</v>
      </c>
      <c r="D543">
        <v>329</v>
      </c>
      <c r="E543">
        <v>330</v>
      </c>
      <c r="F543">
        <v>329</v>
      </c>
      <c r="G543">
        <v>333</v>
      </c>
      <c r="H543">
        <v>334</v>
      </c>
      <c r="I543">
        <v>347</v>
      </c>
      <c r="J543">
        <v>332</v>
      </c>
      <c r="K543">
        <v>325</v>
      </c>
      <c r="L543">
        <v>328</v>
      </c>
      <c r="M543">
        <v>327</v>
      </c>
      <c r="N543">
        <v>322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 x14ac:dyDescent="0.3">
      <c r="A544" t="s">
        <v>679</v>
      </c>
      <c r="B544" t="s">
        <v>57</v>
      </c>
      <c r="C544">
        <v>370</v>
      </c>
      <c r="D544">
        <v>325</v>
      </c>
      <c r="E544">
        <v>321</v>
      </c>
      <c r="F544">
        <v>327</v>
      </c>
      <c r="G544">
        <v>327</v>
      </c>
      <c r="H544">
        <v>324</v>
      </c>
      <c r="I544">
        <v>326</v>
      </c>
      <c r="J544">
        <v>327</v>
      </c>
      <c r="K544">
        <v>314</v>
      </c>
      <c r="L544">
        <v>313</v>
      </c>
      <c r="M544">
        <v>313</v>
      </c>
      <c r="N544">
        <v>311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3">
      <c r="A545" t="s">
        <v>679</v>
      </c>
      <c r="B545" t="s">
        <v>366</v>
      </c>
      <c r="C545">
        <v>15.5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">
      <c r="A546" t="s">
        <v>679</v>
      </c>
      <c r="B546" t="s">
        <v>367</v>
      </c>
      <c r="C546">
        <v>15.5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3">
      <c r="A547" t="s">
        <v>679</v>
      </c>
      <c r="B547" t="s">
        <v>490</v>
      </c>
      <c r="C547">
        <v>175</v>
      </c>
      <c r="D547">
        <v>65</v>
      </c>
      <c r="E547">
        <v>65</v>
      </c>
      <c r="F547">
        <v>66</v>
      </c>
      <c r="G547">
        <v>66</v>
      </c>
      <c r="H547">
        <v>66</v>
      </c>
      <c r="I547">
        <v>65</v>
      </c>
      <c r="J547">
        <v>65</v>
      </c>
      <c r="K547">
        <v>65</v>
      </c>
      <c r="L547">
        <v>65</v>
      </c>
      <c r="M547">
        <v>65</v>
      </c>
      <c r="N547">
        <v>65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 x14ac:dyDescent="0.3">
      <c r="A548" t="s">
        <v>679</v>
      </c>
      <c r="B548" t="s">
        <v>491</v>
      </c>
      <c r="C548">
        <v>100</v>
      </c>
      <c r="D548">
        <v>50</v>
      </c>
      <c r="E548">
        <v>51</v>
      </c>
      <c r="F548">
        <v>51</v>
      </c>
      <c r="G548">
        <v>51</v>
      </c>
      <c r="H548">
        <v>51</v>
      </c>
      <c r="I548">
        <v>51</v>
      </c>
      <c r="J548">
        <v>52</v>
      </c>
      <c r="K548">
        <v>50</v>
      </c>
      <c r="L548">
        <v>50</v>
      </c>
      <c r="M548">
        <v>50</v>
      </c>
      <c r="N548">
        <v>49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 x14ac:dyDescent="0.3">
      <c r="A549" t="s">
        <v>679</v>
      </c>
      <c r="B549" t="s">
        <v>492</v>
      </c>
      <c r="C549">
        <v>100</v>
      </c>
      <c r="D549">
        <v>49</v>
      </c>
      <c r="E549">
        <v>49</v>
      </c>
      <c r="F549">
        <v>51</v>
      </c>
      <c r="G549">
        <v>49</v>
      </c>
      <c r="H549">
        <v>50</v>
      </c>
      <c r="I549">
        <v>48</v>
      </c>
      <c r="J549">
        <v>49</v>
      </c>
      <c r="K549">
        <v>49</v>
      </c>
      <c r="L549">
        <v>51</v>
      </c>
      <c r="M549">
        <v>50</v>
      </c>
      <c r="N549">
        <v>49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3">
      <c r="A550" t="s">
        <v>679</v>
      </c>
      <c r="B550" t="s">
        <v>493</v>
      </c>
      <c r="C550">
        <v>100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3">
      <c r="A551" t="s">
        <v>679</v>
      </c>
      <c r="B551" t="s">
        <v>494</v>
      </c>
      <c r="C551">
        <v>165</v>
      </c>
      <c r="D551">
        <v>39</v>
      </c>
      <c r="E551">
        <v>42</v>
      </c>
      <c r="F551">
        <v>43</v>
      </c>
      <c r="G551">
        <v>40</v>
      </c>
      <c r="H551">
        <v>43</v>
      </c>
      <c r="I551">
        <v>40</v>
      </c>
      <c r="J551">
        <v>43</v>
      </c>
      <c r="K551">
        <v>41</v>
      </c>
      <c r="L551">
        <v>42</v>
      </c>
      <c r="M551">
        <v>41</v>
      </c>
      <c r="N551">
        <v>39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3">
      <c r="A552" t="s">
        <v>679</v>
      </c>
      <c r="B552" t="s">
        <v>495</v>
      </c>
      <c r="C552">
        <v>100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3">
      <c r="A553" t="s">
        <v>679</v>
      </c>
      <c r="B553" t="s">
        <v>496</v>
      </c>
      <c r="C553">
        <v>100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 x14ac:dyDescent="0.3">
      <c r="A554" t="s">
        <v>679</v>
      </c>
      <c r="B554" t="s">
        <v>497</v>
      </c>
      <c r="C554">
        <v>100</v>
      </c>
      <c r="D554">
        <v>80</v>
      </c>
      <c r="E554">
        <v>94</v>
      </c>
      <c r="F554">
        <v>90</v>
      </c>
      <c r="G554">
        <v>84</v>
      </c>
      <c r="H554">
        <v>86</v>
      </c>
      <c r="I554">
        <v>84</v>
      </c>
      <c r="J554">
        <v>95</v>
      </c>
      <c r="K554">
        <v>93</v>
      </c>
      <c r="L554">
        <v>92</v>
      </c>
      <c r="M554">
        <v>84</v>
      </c>
      <c r="N554">
        <v>79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 x14ac:dyDescent="0.3">
      <c r="A555" t="s">
        <v>679</v>
      </c>
      <c r="B555" t="s">
        <v>498</v>
      </c>
      <c r="C555">
        <v>170</v>
      </c>
      <c r="D555">
        <v>39</v>
      </c>
      <c r="E555">
        <v>39</v>
      </c>
      <c r="F555">
        <v>39</v>
      </c>
      <c r="G555">
        <v>39</v>
      </c>
      <c r="H555">
        <v>39</v>
      </c>
      <c r="I555">
        <v>39</v>
      </c>
      <c r="J555">
        <v>39</v>
      </c>
      <c r="K555">
        <v>39</v>
      </c>
      <c r="L555">
        <v>39</v>
      </c>
      <c r="M555">
        <v>39</v>
      </c>
      <c r="N555">
        <v>38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 x14ac:dyDescent="0.3">
      <c r="A556" t="s">
        <v>679</v>
      </c>
      <c r="B556" t="s">
        <v>499</v>
      </c>
      <c r="C556">
        <v>100</v>
      </c>
      <c r="D556">
        <v>81</v>
      </c>
      <c r="E556">
        <v>82</v>
      </c>
      <c r="F556">
        <v>82</v>
      </c>
      <c r="G556">
        <v>82</v>
      </c>
      <c r="H556">
        <v>82</v>
      </c>
      <c r="I556">
        <v>82</v>
      </c>
      <c r="J556">
        <v>82</v>
      </c>
      <c r="K556">
        <v>82</v>
      </c>
      <c r="L556">
        <v>82</v>
      </c>
      <c r="M556">
        <v>82</v>
      </c>
      <c r="N556">
        <v>76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 x14ac:dyDescent="0.3">
      <c r="A557" t="s">
        <v>679</v>
      </c>
      <c r="B557" t="s">
        <v>500</v>
      </c>
      <c r="C557">
        <v>100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3">
      <c r="A558" t="s">
        <v>679</v>
      </c>
      <c r="B558" t="s">
        <v>501</v>
      </c>
      <c r="C558">
        <v>100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 x14ac:dyDescent="0.3">
      <c r="A559" t="s">
        <v>679</v>
      </c>
      <c r="B559" t="s">
        <v>502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 x14ac:dyDescent="0.3">
      <c r="A560" t="s">
        <v>679</v>
      </c>
      <c r="B560" t="s">
        <v>503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 x14ac:dyDescent="0.3">
      <c r="A561" t="s">
        <v>679</v>
      </c>
      <c r="B561" t="s">
        <v>504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3">
      <c r="A562" t="s">
        <v>679</v>
      </c>
      <c r="B562" t="s">
        <v>505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 x14ac:dyDescent="0.3">
      <c r="A563" t="s">
        <v>679</v>
      </c>
      <c r="B563" t="s">
        <v>506</v>
      </c>
      <c r="C563">
        <v>2.16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3">
      <c r="A564" t="s">
        <v>679</v>
      </c>
      <c r="B564" t="s">
        <v>47</v>
      </c>
      <c r="C564">
        <v>323</v>
      </c>
      <c r="D564">
        <v>290</v>
      </c>
      <c r="E564">
        <v>272</v>
      </c>
      <c r="F564">
        <v>298</v>
      </c>
      <c r="G564">
        <v>297</v>
      </c>
      <c r="H564">
        <v>274</v>
      </c>
      <c r="I564">
        <v>278</v>
      </c>
      <c r="J564">
        <v>278</v>
      </c>
      <c r="K564">
        <v>278</v>
      </c>
      <c r="L564">
        <v>278</v>
      </c>
      <c r="M564">
        <v>278</v>
      </c>
      <c r="N564">
        <v>278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3">
      <c r="A565" t="s">
        <v>679</v>
      </c>
      <c r="B565" t="s">
        <v>50</v>
      </c>
      <c r="C565">
        <v>323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 x14ac:dyDescent="0.3">
      <c r="A566" t="s">
        <v>679</v>
      </c>
      <c r="B566" t="s">
        <v>69</v>
      </c>
      <c r="C566">
        <v>615</v>
      </c>
      <c r="D566">
        <v>586</v>
      </c>
      <c r="E566">
        <v>530</v>
      </c>
      <c r="F566">
        <v>502</v>
      </c>
      <c r="G566">
        <v>504</v>
      </c>
      <c r="H566">
        <v>497</v>
      </c>
      <c r="I566">
        <v>500</v>
      </c>
      <c r="J566">
        <v>503</v>
      </c>
      <c r="K566">
        <v>531</v>
      </c>
      <c r="L566">
        <v>579</v>
      </c>
      <c r="M566">
        <v>584</v>
      </c>
      <c r="N566">
        <v>588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3">
      <c r="A567" t="s">
        <v>679</v>
      </c>
      <c r="B567" t="s">
        <v>72</v>
      </c>
      <c r="C567">
        <v>280</v>
      </c>
      <c r="D567">
        <v>206</v>
      </c>
      <c r="E567">
        <v>202</v>
      </c>
      <c r="F567">
        <v>202</v>
      </c>
      <c r="G567">
        <v>203</v>
      </c>
      <c r="H567">
        <v>198</v>
      </c>
      <c r="I567">
        <v>198</v>
      </c>
      <c r="J567">
        <v>201</v>
      </c>
      <c r="K567">
        <v>201</v>
      </c>
      <c r="L567">
        <v>203</v>
      </c>
      <c r="M567">
        <v>204</v>
      </c>
      <c r="N567">
        <v>204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 x14ac:dyDescent="0.3">
      <c r="A568" t="s">
        <v>679</v>
      </c>
      <c r="B568" t="s">
        <v>73</v>
      </c>
      <c r="C568">
        <v>280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 x14ac:dyDescent="0.3">
      <c r="A569" t="s">
        <v>679</v>
      </c>
      <c r="B569" t="s">
        <v>371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3">
      <c r="A570" t="s">
        <v>679</v>
      </c>
      <c r="B570" t="s">
        <v>372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 x14ac:dyDescent="0.3">
      <c r="A571" t="s">
        <v>679</v>
      </c>
      <c r="B571" t="s">
        <v>373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 x14ac:dyDescent="0.3">
      <c r="A572" t="s">
        <v>679</v>
      </c>
      <c r="B572" t="s">
        <v>77</v>
      </c>
      <c r="C572">
        <v>610</v>
      </c>
      <c r="D572">
        <v>499</v>
      </c>
      <c r="E572">
        <v>501</v>
      </c>
      <c r="F572">
        <v>499</v>
      </c>
      <c r="G572">
        <v>496</v>
      </c>
      <c r="H572">
        <v>492</v>
      </c>
      <c r="I572">
        <v>485</v>
      </c>
      <c r="J572">
        <v>496</v>
      </c>
      <c r="K572">
        <v>513</v>
      </c>
      <c r="L572">
        <v>591</v>
      </c>
      <c r="M572">
        <v>594</v>
      </c>
      <c r="N572">
        <v>595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</row>
    <row r="573" spans="1:51" x14ac:dyDescent="0.3">
      <c r="A573" t="s">
        <v>679</v>
      </c>
      <c r="B573" t="s">
        <v>78</v>
      </c>
      <c r="C573">
        <v>610</v>
      </c>
      <c r="D573">
        <v>501</v>
      </c>
      <c r="E573">
        <v>497</v>
      </c>
      <c r="F573">
        <v>505</v>
      </c>
      <c r="G573">
        <v>497</v>
      </c>
      <c r="H573">
        <v>497</v>
      </c>
      <c r="I573">
        <v>497</v>
      </c>
      <c r="J573">
        <v>497</v>
      </c>
      <c r="K573">
        <v>539</v>
      </c>
      <c r="L573">
        <v>604</v>
      </c>
      <c r="M573">
        <v>602</v>
      </c>
      <c r="N573">
        <v>606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 x14ac:dyDescent="0.3">
      <c r="A574" t="s">
        <v>679</v>
      </c>
      <c r="B574" t="s">
        <v>62</v>
      </c>
      <c r="C574">
        <v>811</v>
      </c>
      <c r="D574">
        <v>18</v>
      </c>
      <c r="E574">
        <v>14</v>
      </c>
      <c r="F574">
        <v>15</v>
      </c>
      <c r="G574">
        <v>22</v>
      </c>
      <c r="H574">
        <v>22</v>
      </c>
      <c r="I574">
        <v>23</v>
      </c>
      <c r="J574">
        <v>22</v>
      </c>
      <c r="K574">
        <v>22</v>
      </c>
      <c r="L574">
        <v>22</v>
      </c>
      <c r="M574">
        <v>22</v>
      </c>
      <c r="N574">
        <v>22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 x14ac:dyDescent="0.3">
      <c r="A575" t="s">
        <v>679</v>
      </c>
      <c r="B575" t="s">
        <v>59</v>
      </c>
      <c r="C575">
        <v>610</v>
      </c>
      <c r="D575">
        <v>548</v>
      </c>
      <c r="E575">
        <v>521</v>
      </c>
      <c r="F575">
        <v>488</v>
      </c>
      <c r="G575">
        <v>486</v>
      </c>
      <c r="H575">
        <v>491</v>
      </c>
      <c r="I575">
        <v>501</v>
      </c>
      <c r="J575">
        <v>503</v>
      </c>
      <c r="K575">
        <v>530</v>
      </c>
      <c r="L575">
        <v>593</v>
      </c>
      <c r="M575">
        <v>624</v>
      </c>
      <c r="N575">
        <v>603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3">
      <c r="A576" t="s">
        <v>679</v>
      </c>
      <c r="B576" t="s">
        <v>60</v>
      </c>
      <c r="C576">
        <v>610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 x14ac:dyDescent="0.3">
      <c r="A577" t="s">
        <v>679</v>
      </c>
      <c r="B577" t="s">
        <v>374</v>
      </c>
      <c r="C577">
        <v>35.866149999999998</v>
      </c>
      <c r="D577">
        <v>33</v>
      </c>
      <c r="E577">
        <v>34</v>
      </c>
      <c r="F577">
        <v>34</v>
      </c>
      <c r="G577">
        <v>34</v>
      </c>
      <c r="H577">
        <v>35</v>
      </c>
      <c r="I577">
        <v>35</v>
      </c>
      <c r="J577">
        <v>35</v>
      </c>
      <c r="K577">
        <v>35</v>
      </c>
      <c r="L577">
        <v>34</v>
      </c>
      <c r="M577">
        <v>34</v>
      </c>
      <c r="N577">
        <v>33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 x14ac:dyDescent="0.3">
      <c r="A578" t="s">
        <v>679</v>
      </c>
      <c r="B578" t="s">
        <v>507</v>
      </c>
      <c r="C578">
        <v>17.649999999999999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">
      <c r="A579" t="s">
        <v>679</v>
      </c>
      <c r="B579" t="s">
        <v>508</v>
      </c>
      <c r="C579">
        <v>18.3</v>
      </c>
      <c r="D579">
        <v>5.99</v>
      </c>
      <c r="E579">
        <v>6.21</v>
      </c>
      <c r="F579">
        <v>6.52</v>
      </c>
      <c r="G579">
        <v>6.25</v>
      </c>
      <c r="H579">
        <v>6.17</v>
      </c>
      <c r="I579">
        <v>6.4</v>
      </c>
      <c r="J579">
        <v>6.02</v>
      </c>
      <c r="K579">
        <v>6.51</v>
      </c>
      <c r="L579">
        <v>5.99</v>
      </c>
      <c r="M579">
        <v>5.89</v>
      </c>
      <c r="N579">
        <v>5.88</v>
      </c>
      <c r="O579">
        <v>6.36</v>
      </c>
      <c r="P579">
        <v>6.14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 x14ac:dyDescent="0.3">
      <c r="A580" t="s">
        <v>679</v>
      </c>
      <c r="B580" t="s">
        <v>509</v>
      </c>
      <c r="C580">
        <v>39.5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3">
      <c r="A581" t="s">
        <v>679</v>
      </c>
      <c r="B581" t="s">
        <v>510</v>
      </c>
      <c r="C581">
        <v>36.15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 x14ac:dyDescent="0.3">
      <c r="A582" t="s">
        <v>679</v>
      </c>
      <c r="B582" t="s">
        <v>511</v>
      </c>
      <c r="C582">
        <v>102.23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 x14ac:dyDescent="0.3">
      <c r="A583" t="s">
        <v>679</v>
      </c>
      <c r="B583" t="s">
        <v>512</v>
      </c>
      <c r="C583">
        <v>102.23</v>
      </c>
      <c r="D583">
        <v>100.33</v>
      </c>
      <c r="E583">
        <v>100.28</v>
      </c>
      <c r="F583">
        <v>100.29</v>
      </c>
      <c r="G583">
        <v>100.11</v>
      </c>
      <c r="H583">
        <v>99.94</v>
      </c>
      <c r="I583">
        <v>99.9</v>
      </c>
      <c r="J583">
        <v>100.09</v>
      </c>
      <c r="K583">
        <v>100.52</v>
      </c>
      <c r="L583">
        <v>100.15</v>
      </c>
      <c r="M583">
        <v>100.28</v>
      </c>
      <c r="N583">
        <v>100.03</v>
      </c>
      <c r="O583">
        <v>100.39</v>
      </c>
      <c r="P583">
        <v>100.37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 x14ac:dyDescent="0.3">
      <c r="A584" t="s">
        <v>679</v>
      </c>
      <c r="B584" t="s">
        <v>513</v>
      </c>
      <c r="C584">
        <v>130.44</v>
      </c>
      <c r="D584">
        <v>85.96</v>
      </c>
      <c r="E584">
        <v>86.26</v>
      </c>
      <c r="F584">
        <v>86.3</v>
      </c>
      <c r="G584">
        <v>85.99</v>
      </c>
      <c r="H584">
        <v>86.23</v>
      </c>
      <c r="I584">
        <v>86.58</v>
      </c>
      <c r="J584">
        <v>86.47</v>
      </c>
      <c r="K584">
        <v>86.19</v>
      </c>
      <c r="L584">
        <v>85.68</v>
      </c>
      <c r="M584">
        <v>85.93</v>
      </c>
      <c r="N584">
        <v>85.73</v>
      </c>
      <c r="O584">
        <v>85.95</v>
      </c>
      <c r="P584">
        <v>85.87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3">
      <c r="A585" t="s">
        <v>679</v>
      </c>
      <c r="B585" t="s">
        <v>378</v>
      </c>
      <c r="C585">
        <v>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3">
      <c r="A586" t="s">
        <v>679</v>
      </c>
      <c r="B586" t="s">
        <v>379</v>
      </c>
      <c r="C586">
        <v>40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 x14ac:dyDescent="0.3">
      <c r="A587" t="s">
        <v>679</v>
      </c>
      <c r="B587" t="s">
        <v>381</v>
      </c>
      <c r="C587">
        <v>16.670000000000002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3">
      <c r="A588" t="s">
        <v>679</v>
      </c>
      <c r="B588" t="s">
        <v>382</v>
      </c>
      <c r="C588">
        <v>16.670000000000002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 x14ac:dyDescent="0.3">
      <c r="A589" t="s">
        <v>679</v>
      </c>
      <c r="B589" t="s">
        <v>383</v>
      </c>
      <c r="C589">
        <v>16.670000000000002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 x14ac:dyDescent="0.3">
      <c r="A590" t="s">
        <v>679</v>
      </c>
      <c r="B590" t="s">
        <v>514</v>
      </c>
      <c r="C590">
        <v>15.2</v>
      </c>
      <c r="D590">
        <v>14.13</v>
      </c>
      <c r="E590">
        <v>13.52</v>
      </c>
      <c r="F590">
        <v>13.67</v>
      </c>
      <c r="G590">
        <v>14.12</v>
      </c>
      <c r="H590">
        <v>14.03</v>
      </c>
      <c r="I590">
        <v>13.53</v>
      </c>
      <c r="J590">
        <v>13.3</v>
      </c>
      <c r="K590">
        <v>14.16</v>
      </c>
      <c r="L590">
        <v>14.01</v>
      </c>
      <c r="M590">
        <v>14.26</v>
      </c>
      <c r="N590">
        <v>14.32</v>
      </c>
      <c r="O590">
        <v>13.64</v>
      </c>
      <c r="P590">
        <v>12.86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 x14ac:dyDescent="0.3">
      <c r="A591" t="s">
        <v>679</v>
      </c>
      <c r="B591" t="s">
        <v>515</v>
      </c>
      <c r="C591">
        <v>15.2</v>
      </c>
      <c r="D591">
        <v>14.37</v>
      </c>
      <c r="E591">
        <v>13.74</v>
      </c>
      <c r="F591">
        <v>14.94</v>
      </c>
      <c r="G591">
        <v>14.38</v>
      </c>
      <c r="H591">
        <v>14.44</v>
      </c>
      <c r="I591">
        <v>14.43</v>
      </c>
      <c r="J591">
        <v>14.82</v>
      </c>
      <c r="K591">
        <v>15.36</v>
      </c>
      <c r="L591">
        <v>15.24</v>
      </c>
      <c r="M591">
        <v>14.75</v>
      </c>
      <c r="N591">
        <v>14.9</v>
      </c>
      <c r="O591">
        <v>13.68</v>
      </c>
      <c r="P591">
        <v>14.17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 x14ac:dyDescent="0.3">
      <c r="A592" t="s">
        <v>679</v>
      </c>
      <c r="B592" t="s">
        <v>516</v>
      </c>
      <c r="C592">
        <v>15.2</v>
      </c>
      <c r="D592">
        <v>13.01</v>
      </c>
      <c r="E592">
        <v>13.36</v>
      </c>
      <c r="F592">
        <v>13.6</v>
      </c>
      <c r="G592">
        <v>14.62</v>
      </c>
      <c r="H592">
        <v>15.12</v>
      </c>
      <c r="I592">
        <v>14.91</v>
      </c>
      <c r="J592">
        <v>14.89</v>
      </c>
      <c r="K592">
        <v>14.85</v>
      </c>
      <c r="L592">
        <v>14.73</v>
      </c>
      <c r="M592">
        <v>15.02</v>
      </c>
      <c r="N592">
        <v>14.5</v>
      </c>
      <c r="O592">
        <v>14.7</v>
      </c>
      <c r="P592">
        <v>13.54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3">
      <c r="A593" t="s">
        <v>679</v>
      </c>
      <c r="B593" t="s">
        <v>517</v>
      </c>
      <c r="C593">
        <v>15.2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 x14ac:dyDescent="0.3">
      <c r="A594" t="s">
        <v>679</v>
      </c>
      <c r="B594" t="s">
        <v>518</v>
      </c>
      <c r="C594">
        <v>15.2</v>
      </c>
      <c r="D594">
        <v>14</v>
      </c>
      <c r="E594">
        <v>14.86</v>
      </c>
      <c r="F594">
        <v>15.29</v>
      </c>
      <c r="G594">
        <v>14.48</v>
      </c>
      <c r="H594">
        <v>13.76</v>
      </c>
      <c r="I594">
        <v>14.09</v>
      </c>
      <c r="J594">
        <v>15</v>
      </c>
      <c r="K594">
        <v>13.62</v>
      </c>
      <c r="L594">
        <v>14.71</v>
      </c>
      <c r="M594">
        <v>14.58</v>
      </c>
      <c r="N594">
        <v>15.41</v>
      </c>
      <c r="O594">
        <v>13.92</v>
      </c>
      <c r="P594">
        <v>15.53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 x14ac:dyDescent="0.3">
      <c r="A595" t="s">
        <v>679</v>
      </c>
      <c r="B595" t="s">
        <v>519</v>
      </c>
      <c r="C595">
        <v>15.2</v>
      </c>
      <c r="D595">
        <v>14.67</v>
      </c>
      <c r="E595">
        <v>15.06</v>
      </c>
      <c r="F595">
        <v>14.33</v>
      </c>
      <c r="G595">
        <v>14.95</v>
      </c>
      <c r="H595">
        <v>14.66</v>
      </c>
      <c r="I595">
        <v>14.15</v>
      </c>
      <c r="J595">
        <v>13.75</v>
      </c>
      <c r="K595">
        <v>14.03</v>
      </c>
      <c r="L595">
        <v>15.75</v>
      </c>
      <c r="M595">
        <v>15.2</v>
      </c>
      <c r="N595">
        <v>15.11</v>
      </c>
      <c r="O595">
        <v>14.98</v>
      </c>
      <c r="P595">
        <v>14.63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 x14ac:dyDescent="0.3">
      <c r="A596" t="s">
        <v>679</v>
      </c>
      <c r="B596" t="s">
        <v>520</v>
      </c>
      <c r="C596">
        <v>15.2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3">
      <c r="A597" t="s">
        <v>679</v>
      </c>
      <c r="B597" t="s">
        <v>521</v>
      </c>
      <c r="C597">
        <v>15.2</v>
      </c>
      <c r="D597">
        <v>12.1</v>
      </c>
      <c r="E597">
        <v>11.45</v>
      </c>
      <c r="F597">
        <v>11.91</v>
      </c>
      <c r="G597">
        <v>11.24</v>
      </c>
      <c r="H597">
        <v>11.66</v>
      </c>
      <c r="I597">
        <v>11.14</v>
      </c>
      <c r="J597">
        <v>11.43</v>
      </c>
      <c r="K597">
        <v>13.41</v>
      </c>
      <c r="L597">
        <v>12.9</v>
      </c>
      <c r="M597">
        <v>13.4</v>
      </c>
      <c r="N597">
        <v>12.77</v>
      </c>
      <c r="O597">
        <v>13.38</v>
      </c>
      <c r="P597">
        <v>13.24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3">
      <c r="A598" t="s">
        <v>679</v>
      </c>
      <c r="B598" t="s">
        <v>522</v>
      </c>
      <c r="C598">
        <v>15.2</v>
      </c>
      <c r="D598">
        <v>13.89</v>
      </c>
      <c r="E598">
        <v>12.87</v>
      </c>
      <c r="F598">
        <v>13.96</v>
      </c>
      <c r="G598">
        <v>13.04</v>
      </c>
      <c r="H598">
        <v>13.27</v>
      </c>
      <c r="I598">
        <v>13.42</v>
      </c>
      <c r="J598">
        <v>13.78</v>
      </c>
      <c r="K598">
        <v>12.51</v>
      </c>
      <c r="L598">
        <v>13.63</v>
      </c>
      <c r="M598">
        <v>12.79</v>
      </c>
      <c r="N598">
        <v>12.58</v>
      </c>
      <c r="O598">
        <v>14.09</v>
      </c>
      <c r="P598">
        <v>13.19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 x14ac:dyDescent="0.3">
      <c r="A599" t="s">
        <v>679</v>
      </c>
      <c r="B599" t="s">
        <v>523</v>
      </c>
      <c r="C599">
        <v>15.2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 x14ac:dyDescent="0.3">
      <c r="A600" t="s">
        <v>679</v>
      </c>
      <c r="B600" t="s">
        <v>524</v>
      </c>
      <c r="C600">
        <v>15.2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 x14ac:dyDescent="0.3">
      <c r="A601" t="s">
        <v>679</v>
      </c>
      <c r="B601" t="s">
        <v>525</v>
      </c>
      <c r="C601">
        <v>15.2</v>
      </c>
      <c r="D601">
        <v>14.58</v>
      </c>
      <c r="E601">
        <v>15.01</v>
      </c>
      <c r="F601">
        <v>14.56</v>
      </c>
      <c r="G601">
        <v>14.93</v>
      </c>
      <c r="H601">
        <v>14.7</v>
      </c>
      <c r="I601">
        <v>14.11</v>
      </c>
      <c r="J601">
        <v>15.38</v>
      </c>
      <c r="K601">
        <v>14.29</v>
      </c>
      <c r="L601">
        <v>15.14</v>
      </c>
      <c r="M601">
        <v>14.65</v>
      </c>
      <c r="N601">
        <v>13.44</v>
      </c>
      <c r="O601">
        <v>14.92</v>
      </c>
      <c r="P601">
        <v>14.62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 x14ac:dyDescent="0.3">
      <c r="A602" t="s">
        <v>679</v>
      </c>
      <c r="B602" t="s">
        <v>388</v>
      </c>
      <c r="C602">
        <v>125</v>
      </c>
      <c r="D602">
        <v>90.3</v>
      </c>
      <c r="E602">
        <v>91.21</v>
      </c>
      <c r="F602">
        <v>80.290000000000006</v>
      </c>
      <c r="G602">
        <v>80.42</v>
      </c>
      <c r="H602">
        <v>71.69</v>
      </c>
      <c r="I602">
        <v>68.48</v>
      </c>
      <c r="J602">
        <v>62.76</v>
      </c>
      <c r="K602">
        <v>64</v>
      </c>
      <c r="L602">
        <v>62.77</v>
      </c>
      <c r="M602">
        <v>71.44</v>
      </c>
      <c r="N602">
        <v>80.56</v>
      </c>
      <c r="O602">
        <v>85.44</v>
      </c>
      <c r="P602">
        <v>90.54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3">
      <c r="A603" t="s">
        <v>679</v>
      </c>
      <c r="B603" t="s">
        <v>389</v>
      </c>
      <c r="C603">
        <v>125</v>
      </c>
      <c r="D603">
        <v>91.48</v>
      </c>
      <c r="E603">
        <v>87.92</v>
      </c>
      <c r="F603">
        <v>80.31</v>
      </c>
      <c r="G603">
        <v>79.319999999999993</v>
      </c>
      <c r="H603">
        <v>69.55</v>
      </c>
      <c r="I603">
        <v>65.680000000000007</v>
      </c>
      <c r="J603">
        <v>62.11</v>
      </c>
      <c r="K603">
        <v>62.41</v>
      </c>
      <c r="L603">
        <v>62.7</v>
      </c>
      <c r="M603">
        <v>70.41</v>
      </c>
      <c r="N603">
        <v>79.739999999999995</v>
      </c>
      <c r="O603">
        <v>87.26</v>
      </c>
      <c r="P603">
        <v>90.89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3">
      <c r="A604" t="s">
        <v>679</v>
      </c>
      <c r="B604" t="s">
        <v>390</v>
      </c>
      <c r="C604">
        <v>130</v>
      </c>
      <c r="D604">
        <v>91.44</v>
      </c>
      <c r="E604">
        <v>88.47</v>
      </c>
      <c r="F604">
        <v>90.17</v>
      </c>
      <c r="G604">
        <v>71.290000000000006</v>
      </c>
      <c r="H604">
        <v>69.34</v>
      </c>
      <c r="I604">
        <v>65.34</v>
      </c>
      <c r="J604">
        <v>65.819999999999993</v>
      </c>
      <c r="K604">
        <v>64.22</v>
      </c>
      <c r="L604">
        <v>64.510000000000005</v>
      </c>
      <c r="M604">
        <v>70.5</v>
      </c>
      <c r="N604">
        <v>78.19</v>
      </c>
      <c r="O604">
        <v>85.11</v>
      </c>
      <c r="P604">
        <v>90.5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 x14ac:dyDescent="0.3">
      <c r="A605" t="s">
        <v>679</v>
      </c>
      <c r="B605" t="s">
        <v>391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 x14ac:dyDescent="0.3">
      <c r="A606" t="s">
        <v>679</v>
      </c>
      <c r="B606" t="s">
        <v>392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3">
      <c r="A607" t="s">
        <v>679</v>
      </c>
      <c r="B607" t="s">
        <v>393</v>
      </c>
      <c r="C607">
        <v>22.2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3">
      <c r="A608" t="s">
        <v>679</v>
      </c>
      <c r="B608" t="s">
        <v>394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 x14ac:dyDescent="0.3">
      <c r="A609" t="s">
        <v>679</v>
      </c>
      <c r="B609" t="s">
        <v>395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F27A8-0873-4A05-B982-A3B8B8B44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calculator</vt:lpstr>
      <vt:lpstr>monitor</vt:lpstr>
      <vt:lpstr>INT</vt:lpstr>
      <vt:lpstr>ROH</vt:lpstr>
      <vt:lpstr>RT</vt:lpstr>
      <vt:lpstr>catatan</vt:lpstr>
      <vt:lpstr>FODER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SHOFWAN</dc:creator>
  <cp:lastModifiedBy>MOHAMMAD SHOFWAN</cp:lastModifiedBy>
  <dcterms:created xsi:type="dcterms:W3CDTF">2025-11-19T13:10:21Z</dcterms:created>
  <dcterms:modified xsi:type="dcterms:W3CDTF">2026-09-07T23:14:18Z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2025-11-19T13:23:31Z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f4be44f0-b989-429f-b493-8ca3df7eb52e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